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ml.chart+xml" PartName="/xl/charts/chart1.xml"/>
  <Override ContentType="application/vnd.ms-office.chartstyle+xml" PartName="/xl/charts/style1.xml"/>
  <Override ContentType="application/vnd.ms-office.chartcolorstyle+xml" PartName="/xl/charts/colors1.xml"/>
  <Override ContentType="application/vnd.openxmlformats-officedocument.drawingml.chart+xml" PartName="/xl/charts/chart2.xml"/>
  <Override ContentType="application/vnd.ms-office.chartstyle+xml" PartName="/xl/charts/style2.xml"/>
  <Override ContentType="application/vnd.ms-office.chartcolorstyle+xml" PartName="/xl/charts/colors2.xml"/>
  <Override ContentType="application/vnd.openxmlformats-officedocument.drawing+xml" PartName="/xl/drawings/drawing2.xml"/>
  <Override ContentType="application/vnd.openxmlformats-officedocument.drawingml.chart+xml" PartName="/xl/charts/chart3.xml"/>
  <Override ContentType="application/vnd.ms-office.chartstyle+xml" PartName="/xl/charts/style3.xml"/>
  <Override ContentType="application/vnd.ms-office.chartcolorstyle+xml" PartName="/xl/charts/colors3.xml"/>
  <Override ContentType="application/vnd.openxmlformats-officedocument.drawingml.chart+xml" PartName="/xl/charts/chart4.xml"/>
  <Override ContentType="application/vnd.ms-office.chartstyle+xml" PartName="/xl/charts/style4.xml"/>
  <Override ContentType="application/vnd.ms-office.chartcolorstyle+xml" PartName="/xl/charts/colors4.xml"/>
  <Override ContentType="application/vnd.openxmlformats-officedocument.drawingml.chart+xml" PartName="/xl/charts/chart5.xml"/>
  <Override ContentType="application/vnd.ms-office.chartstyle+xml" PartName="/xl/charts/style5.xml"/>
  <Override ContentType="application/vnd.ms-office.chartcolorstyle+xml" PartName="/xl/charts/colors5.xml"/>
  <Override ContentType="application/vnd.openxmlformats-officedocument.drawingml.chart+xml" PartName="/xl/charts/chart6.xml"/>
  <Override ContentType="application/vnd.ms-office.chartstyle+xml" PartName="/xl/charts/style6.xml"/>
  <Override ContentType="application/vnd.ms-office.chartcolorstyle+xml" PartName="/xl/charts/colors6.xml"/>
  <Override ContentType="application/vnd.openxmlformats-officedocument.drawingml.chart+xml" PartName="/xl/charts/chart7.xml"/>
  <Override ContentType="application/vnd.ms-office.chartstyle+xml" PartName="/xl/charts/style7.xml"/>
  <Override ContentType="application/vnd.ms-office.chartcolorstyle+xml" PartName="/xl/charts/colors7.xml"/>
  <Override ContentType="application/vnd.openxmlformats-officedocument.drawingml.chart+xml" PartName="/xl/charts/chart8.xml"/>
  <Override ContentType="application/vnd.ms-office.chartstyle+xml" PartName="/xl/charts/style8.xml"/>
  <Override ContentType="application/vnd.ms-office.chartcolorstyle+xml" PartName="/xl/charts/colors8.xml"/>
  <Override ContentType="application/vnd.openxmlformats-officedocument.drawing+xml" PartName="/xl/drawings/drawing3.xml"/>
  <Override ContentType="application/vnd.openxmlformats-officedocument.drawingml.chart+xml" PartName="/xl/charts/chart9.xml"/>
  <Override ContentType="application/vnd.ms-office.chartstyle+xml" PartName="/xl/charts/style9.xml"/>
  <Override ContentType="application/vnd.ms-office.chartcolorstyle+xml" PartName="/xl/charts/colors9.xml"/>
  <Override ContentType="application/vnd.openxmlformats-officedocument.drawingml.chart+xml" PartName="/xl/charts/chart10.xml"/>
  <Override ContentType="application/vnd.ms-office.chartstyle+xml" PartName="/xl/charts/style10.xml"/>
  <Override ContentType="application/vnd.ms-office.chartcolorstyle+xml" PartName="/xl/charts/colors10.xml"/>
  <Override ContentType="application/vnd.openxmlformats-officedocument.drawingml.chart+xml" PartName="/xl/charts/chart11.xml"/>
  <Override ContentType="application/vnd.ms-office.chartstyle+xml" PartName="/xl/charts/style11.xml"/>
  <Override ContentType="application/vnd.ms-office.chartcolorstyle+xml" PartName="/xl/charts/colors11.xml"/>
  <Override ContentType="application/vnd.openxmlformats-officedocument.themeOverride+xml" PartName="/xl/theme/themeOverride1.xml"/>
  <Override ContentType="application/vnd.openxmlformats-officedocument.drawingml.chart+xml" PartName="/xl/charts/chart12.xml"/>
  <Override ContentType="application/vnd.ms-office.chartstyle+xml" PartName="/xl/charts/style12.xml"/>
  <Override ContentType="application/vnd.ms-office.chartcolorstyle+xml" PartName="/xl/charts/colors12.xml"/>
  <Override ContentType="application/vnd.openxmlformats-officedocument.drawing+xml" PartName="/xl/drawings/drawing4.xml"/>
  <Override ContentType="application/vnd.openxmlformats-officedocument.drawingml.chart+xml" PartName="/xl/charts/chart13.xml"/>
  <Override ContentType="application/vnd.ms-office.chartstyle+xml" PartName="/xl/charts/style13.xml"/>
  <Override ContentType="application/vnd.ms-office.chartcolorstyle+xml" PartName="/xl/charts/colors13.xml"/>
  <Override ContentType="application/vnd.openxmlformats-officedocument.drawingml.chart+xml" PartName="/xl/charts/chart14.xml"/>
  <Override ContentType="application/vnd.ms-office.chartstyle+xml" PartName="/xl/charts/style14.xml"/>
  <Override ContentType="application/vnd.ms-office.chartcolorstyle+xml" PartName="/xl/charts/colors14.xml"/>
  <Override ContentType="application/vnd.openxmlformats-officedocument.drawingml.chart+xml" PartName="/xl/charts/chart15.xml"/>
  <Override ContentType="application/vnd.ms-office.chartstyle+xml" PartName="/xl/charts/style15.xml"/>
  <Override ContentType="application/vnd.ms-office.chartcolorstyle+xml" PartName="/xl/charts/colors15.xml"/>
  <Override ContentType="application/vnd.openxmlformats-officedocument.drawingml.chart+xml" PartName="/xl/charts/chart16.xml"/>
  <Override ContentType="application/vnd.ms-office.chartstyle+xml" PartName="/xl/charts/style16.xml"/>
  <Override ContentType="application/vnd.ms-office.chartcolorstyle+xml" PartName="/xl/charts/colors16.xml"/>
  <Override ContentType="application/vnd.openxmlformats-officedocument.drawingml.chart+xml" PartName="/xl/charts/chart17.xml"/>
  <Override ContentType="application/vnd.ms-office.chartstyle+xml" PartName="/xl/charts/style17.xml"/>
  <Override ContentType="application/vnd.ms-office.chartcolorstyle+xml" PartName="/xl/charts/colors17.xml"/>
  <Override ContentType="application/vnd.openxmlformats-officedocument.drawingml.chart+xml" PartName="/xl/charts/chart18.xml"/>
  <Override ContentType="application/vnd.ms-office.chartstyle+xml" PartName="/xl/charts/style18.xml"/>
  <Override ContentType="application/vnd.ms-office.chartcolorstyle+xml" PartName="/xl/charts/colors18.xml"/>
  <Override ContentType="application/vnd.openxmlformats-officedocument.drawingml.chart+xml" PartName="/xl/charts/chart19.xml"/>
  <Override ContentType="application/vnd.ms-office.chartstyle+xml" PartName="/xl/charts/style19.xml"/>
  <Override ContentType="application/vnd.ms-office.chartcolorstyle+xml" PartName="/xl/charts/colors19.xml"/>
  <Override ContentType="application/vnd.openxmlformats-officedocument.drawingml.chart+xml" PartName="/xl/charts/chart20.xml"/>
  <Override ContentType="application/vnd.ms-office.chartstyle+xml" PartName="/xl/charts/style20.xml"/>
  <Override ContentType="application/vnd.ms-office.chartcolorstyle+xml" PartName="/xl/charts/colors20.xml"/>
  <Override ContentType="application/vnd.openxmlformats-officedocument.drawingml.chart+xml" PartName="/xl/charts/chart21.xml"/>
  <Override ContentType="application/vnd.ms-office.chartstyle+xml" PartName="/xl/charts/style21.xml"/>
  <Override ContentType="application/vnd.ms-office.chartcolorstyle+xml" PartName="/xl/charts/colors21.xml"/>
  <Override ContentType="application/vnd.openxmlformats-officedocument.drawingml.chart+xml" PartName="/xl/charts/chart22.xml"/>
  <Override ContentType="application/vnd.ms-office.chartstyle+xml" PartName="/xl/charts/style22.xml"/>
  <Override ContentType="application/vnd.ms-office.chartcolorstyle+xml" PartName="/xl/charts/colors22.xml"/>
  <Override ContentType="application/vnd.openxmlformats-officedocument.themeOverride+xml" PartName="/xl/theme/themeOverride2.xml"/>
  <Override ContentType="application/vnd.openxmlformats-officedocument.drawingml.chart+xml" PartName="/xl/charts/chart23.xml"/>
  <Override ContentType="application/vnd.ms-office.chartstyle+xml" PartName="/xl/charts/style23.xml"/>
  <Override ContentType="application/vnd.ms-office.chartcolorstyle+xml" PartName="/xl/charts/colors23.xml"/>
  <Override ContentType="application/vnd.openxmlformats-officedocument.drawingml.chart+xml" PartName="/xl/charts/chart24.xml"/>
  <Override ContentType="application/vnd.ms-office.chartstyle+xml" PartName="/xl/charts/style24.xml"/>
  <Override ContentType="application/vnd.ms-office.chartcolorstyle+xml" PartName="/xl/charts/colors24.xml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?><Relationships xmlns="http://schemas.openxmlformats.org/package/2006/relationships"><Relationship Target="docProps/app.xml" Type="http://schemas.openxmlformats.org/officeDocument/2006/relationships/extended-properties" Id="rId3"/><Relationship Target="docProps/core.xml" Type="http://schemas.openxmlformats.org/package/2006/relationships/metadata/core-properties" Id="rId2"/><Relationship Target="xl/workbook.xml" Type="http://schemas.openxmlformats.org/officeDocument/2006/relationships/officeDocument" Id="rId1"/></Relationships>
</file>

<file path=xl/workbook.xml><?xml version="1.0" encoding="utf-8"?>
<workbook xmlns:r="http://schemas.openxmlformats.org/officeDocument/2006/relationships" xmlns="http://schemas.openxmlformats.org/spreadsheetml/2006/main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Jonah_Work\ALGAE SOT PAPER\Matlab Model\"/>
    </mc:Choice>
  </mc:AlternateContent>
  <xr:revisionPtr revIDLastSave="0" documentId="13_ncr:1_{C3A8CD1E-9529-4A84-BEED-BA7EF29C3970}" xr6:coauthVersionLast="47" xr6:coauthVersionMax="47" xr10:uidLastSave="{00000000-0000-0000-0000-000000000000}"/>
  <bookViews>
    <workbookView xWindow="-120" yWindow="-120" windowWidth="38640" windowHeight="15840" activeTab="3"/>
  </bookViews>
  <sheets>
    <sheet name="Model Inputs" sheetId="1" r:id="rId1"/>
    <sheet name="Process Model Outputs" sheetId="4" r:id="rId2"/>
    <sheet name="TEA Outputs" sheetId="2" r:id="rId3"/>
    <sheet name="LCA Outputs" sheetId="3" r:id="rId4"/>
    <sheet name="Figures Only" sheetId="5" r:id="rId5"/>
  </sheets>
  <calcPr calcId="191029" fullCalcOnLoad="true" iterate="true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<sst xmlns="http://schemas.openxmlformats.org/spreadsheetml/2006/main" count="872" uniqueCount="551">
  <si>
    <t>Parameter</t>
  </si>
  <si>
    <t>Value</t>
  </si>
  <si>
    <t>Units</t>
  </si>
  <si>
    <t>Model Inputs (Entered in Matlab)</t>
  </si>
  <si>
    <t>Location</t>
  </si>
  <si>
    <t>Cultivation Area</t>
  </si>
  <si>
    <t>wetted acres</t>
  </si>
  <si>
    <t>Pond Size</t>
  </si>
  <si>
    <t>acres per pond</t>
  </si>
  <si>
    <t>Pond Depth</t>
  </si>
  <si>
    <t>Maximum Pond Depth</t>
  </si>
  <si>
    <t>Minimum Pond Depth</t>
  </si>
  <si>
    <t>m</t>
  </si>
  <si>
    <t>Strain</t>
  </si>
  <si>
    <t>[strain name]</t>
  </si>
  <si>
    <t>Inoculation Concentration</t>
  </si>
  <si>
    <t>Harvesting Concentration</t>
  </si>
  <si>
    <t>Days to Automated Harvest</t>
  </si>
  <si>
    <t>gpL</t>
  </si>
  <si>
    <t>days</t>
  </si>
  <si>
    <t>Algae Carbon Content</t>
  </si>
  <si>
    <t>wt% AFDW</t>
  </si>
  <si>
    <t>Carbon Utilization Efficiency</t>
  </si>
  <si>
    <t>% sparged CO2 utilized for growth</t>
  </si>
  <si>
    <t>Algae N Content</t>
  </si>
  <si>
    <t>Algae P Content</t>
  </si>
  <si>
    <t>P Content of DAP</t>
  </si>
  <si>
    <t>N Content of DAP</t>
  </si>
  <si>
    <t>N Content of Ammonia</t>
  </si>
  <si>
    <t>Nutrient Surplus</t>
  </si>
  <si>
    <t>dry wt%</t>
  </si>
  <si>
    <t>% excess nutrients</t>
  </si>
  <si>
    <t>Proteins</t>
  </si>
  <si>
    <t>Carbohydrates</t>
  </si>
  <si>
    <t>Lipids</t>
  </si>
  <si>
    <t>Ash</t>
  </si>
  <si>
    <t>Anaerobic Storage Losses</t>
  </si>
  <si>
    <t>Slurry Pump Efficiency</t>
  </si>
  <si>
    <t>Category</t>
  </si>
  <si>
    <t>Facility Location</t>
  </si>
  <si>
    <t>Facility Size and Layout</t>
  </si>
  <si>
    <t>Strain Parametes and 
Harvesting Sequence</t>
  </si>
  <si>
    <t>Carbon Content and Carbon Utilization Efficiency</t>
  </si>
  <si>
    <t>N + P Content in Algae and Nutrient Sources</t>
  </si>
  <si>
    <t>Microalgae Composition</t>
  </si>
  <si>
    <t>Long-Term Anaerobic Storage</t>
  </si>
  <si>
    <t>% dry matter loss in storage</t>
  </si>
  <si>
    <t>% (efficiency)</t>
  </si>
  <si>
    <t>Operational Days (conversion)</t>
  </si>
  <si>
    <t>days/yr in operation</t>
  </si>
  <si>
    <t>Reactor Residence Time</t>
  </si>
  <si>
    <t>minutes</t>
  </si>
  <si>
    <t>Biochar (HTL solids) Recovery</t>
  </si>
  <si>
    <t>NH3 Recovery (aqueous)</t>
  </si>
  <si>
    <t>DAP Recovery (aqueous)</t>
  </si>
  <si>
    <t>% of output recovered</t>
  </si>
  <si>
    <t>HTL and Upgrading</t>
  </si>
  <si>
    <t>Cost Year</t>
  </si>
  <si>
    <t>Internal Rate of Return</t>
  </si>
  <si>
    <t>[year]</t>
  </si>
  <si>
    <t>%</t>
  </si>
  <si>
    <t>Cash Flow</t>
  </si>
  <si>
    <t>Cost of Electricity</t>
  </si>
  <si>
    <t>Cost of CO2</t>
  </si>
  <si>
    <t>Cost of Ammonia</t>
  </si>
  <si>
    <t>Cost of DAP</t>
  </si>
  <si>
    <t>Cultivation Consumables</t>
  </si>
  <si>
    <t>Cost of Natural Gas</t>
  </si>
  <si>
    <t>Cost of Hydrogen</t>
  </si>
  <si>
    <t>Cost of Process Water</t>
  </si>
  <si>
    <t>Co-Product Revenue</t>
  </si>
  <si>
    <t>Value of Recovered NH3</t>
  </si>
  <si>
    <t>Value of Recovered DAP</t>
  </si>
  <si>
    <t>Value of Recovered Biochar</t>
  </si>
  <si>
    <t>HTL and Upgrading Consumables</t>
  </si>
  <si>
    <t>$/kWh</t>
  </si>
  <si>
    <t>$/tonne CO2</t>
  </si>
  <si>
    <t>$/kg</t>
  </si>
  <si>
    <t>$/m3</t>
  </si>
  <si>
    <t>Annual Average Areal Productivity</t>
  </si>
  <si>
    <t>Annual Average Volumetric Productivity</t>
  </si>
  <si>
    <t>Spring Productivity</t>
  </si>
  <si>
    <t>Summer Productivity</t>
  </si>
  <si>
    <t>Fall Productivity</t>
  </si>
  <si>
    <t>Winter Productivity</t>
  </si>
  <si>
    <t xml:space="preserve">Cultivation and Dewatering Model Outputs </t>
  </si>
  <si>
    <t xml:space="preserve">Category </t>
  </si>
  <si>
    <t>tonnes AFDW/yr</t>
  </si>
  <si>
    <t>Annual Biomass Production</t>
  </si>
  <si>
    <t>kg/yr</t>
  </si>
  <si>
    <t>tonnes CO2/yr</t>
  </si>
  <si>
    <t>kWh/yr</t>
  </si>
  <si>
    <t>Ammonia Consumption</t>
  </si>
  <si>
    <t>DAP Consumption</t>
  </si>
  <si>
    <t>CO2 Consumption</t>
  </si>
  <si>
    <t>Pumping Energy</t>
  </si>
  <si>
    <t>Paddlewheel Energy</t>
  </si>
  <si>
    <t>Sparging Energy</t>
  </si>
  <si>
    <t>Membrane Energy</t>
  </si>
  <si>
    <t>Centrifuge Energy</t>
  </si>
  <si>
    <t>UV Sterilization Energy</t>
  </si>
  <si>
    <t>Freshwater Consumption</t>
  </si>
  <si>
    <t>Rainwater Consumption</t>
  </si>
  <si>
    <t>Biomass Output at 20% solids</t>
  </si>
  <si>
    <t>Winter Evaporation</t>
  </si>
  <si>
    <t>Spring Evaporation</t>
  </si>
  <si>
    <t>Summer Evaporation</t>
  </si>
  <si>
    <t>Fall Evaporation</t>
  </si>
  <si>
    <t>cm/day</t>
  </si>
  <si>
    <t>Biomass Production</t>
  </si>
  <si>
    <r>
      <t>g AFDW m</t>
    </r>
    <r>
      <rPr>
        <i/>
        <vertAlign val="superscript"/>
        <sz val="11"/>
        <color theme="1"/>
        <rFont val="Calibri"/>
        <family val="2"/>
        <scheme val="minor"/>
      </rPr>
      <t>-2</t>
    </r>
    <r>
      <rPr>
        <i/>
        <sz val="11"/>
        <color theme="1"/>
        <rFont val="Calibri"/>
        <family val="2"/>
        <scheme val="minor"/>
      </rPr>
      <t xml:space="preserve"> day</t>
    </r>
    <r>
      <rPr>
        <i/>
        <vertAlign val="superscript"/>
        <sz val="11"/>
        <color theme="1"/>
        <rFont val="Calibri"/>
        <family val="2"/>
        <scheme val="minor"/>
      </rPr>
      <t>-1</t>
    </r>
  </si>
  <si>
    <r>
      <t>g AFDW L</t>
    </r>
    <r>
      <rPr>
        <i/>
        <vertAlign val="superscript"/>
        <sz val="11"/>
        <color theme="1"/>
        <rFont val="Calibri"/>
        <family val="2"/>
        <scheme val="minor"/>
      </rPr>
      <t>-1</t>
    </r>
    <r>
      <rPr>
        <i/>
        <sz val="11"/>
        <color theme="1"/>
        <rFont val="Calibri"/>
        <family val="2"/>
        <scheme val="minor"/>
      </rPr>
      <t xml:space="preserve"> day</t>
    </r>
    <r>
      <rPr>
        <i/>
        <vertAlign val="superscript"/>
        <sz val="11"/>
        <color theme="1"/>
        <rFont val="Calibri"/>
        <family val="2"/>
        <scheme val="minor"/>
      </rPr>
      <t>-1</t>
    </r>
  </si>
  <si>
    <r>
      <t>m</t>
    </r>
    <r>
      <rPr>
        <i/>
        <vertAlign val="superscript"/>
        <sz val="11"/>
        <color theme="1"/>
        <rFont val="Calibri"/>
        <family val="2"/>
        <scheme val="minor"/>
      </rPr>
      <t>3</t>
    </r>
    <r>
      <rPr>
        <i/>
        <sz val="11"/>
        <color theme="1"/>
        <rFont val="Calibri"/>
        <family val="2"/>
        <scheme val="minor"/>
      </rPr>
      <t xml:space="preserve"> water per tonne AFDW</t>
    </r>
  </si>
  <si>
    <t>Nutrients and CO2 Consumption</t>
  </si>
  <si>
    <t xml:space="preserve">Cultivation Energy </t>
  </si>
  <si>
    <t>Dewatering Energy</t>
  </si>
  <si>
    <t>Water Footprint</t>
  </si>
  <si>
    <t>Slurry Output</t>
  </si>
  <si>
    <t>Seasonal Evaporation Rates</t>
  </si>
  <si>
    <t>Process Consumables</t>
  </si>
  <si>
    <t>Total GGE/yr</t>
  </si>
  <si>
    <t>Total MJ/yr</t>
  </si>
  <si>
    <t>HTL Solids</t>
  </si>
  <si>
    <t>NH3 Equivalent</t>
  </si>
  <si>
    <t>DAP Equivalent</t>
  </si>
  <si>
    <t>Biocrude Yield</t>
  </si>
  <si>
    <t>Aqueous Phase Yield</t>
  </si>
  <si>
    <t>Solids Yield</t>
  </si>
  <si>
    <t>Gas Yield</t>
  </si>
  <si>
    <t>Fuel Production</t>
  </si>
  <si>
    <t>Co-Product Outputs</t>
  </si>
  <si>
    <t>HTL Phase Yields</t>
  </si>
  <si>
    <t>Direct GHG Emissions</t>
  </si>
  <si>
    <t>gallons/yr</t>
  </si>
  <si>
    <t>gallons gasoline equivalent (GGE)/yr</t>
  </si>
  <si>
    <t>MJ fuel/yr</t>
  </si>
  <si>
    <t>wt% AFDW algae</t>
  </si>
  <si>
    <t>kg CO2/yr</t>
  </si>
  <si>
    <t>Direct CO2 emissions</t>
  </si>
  <si>
    <t>Naphtha</t>
  </si>
  <si>
    <t>Diesel</t>
  </si>
  <si>
    <t>Biocrude</t>
  </si>
  <si>
    <t>Grid Electricity</t>
  </si>
  <si>
    <t>Process Water</t>
  </si>
  <si>
    <t>Natural Gas</t>
  </si>
  <si>
    <t>Hydrogen</t>
  </si>
  <si>
    <t>HTL and Upgrading Model Outputs</t>
  </si>
  <si>
    <t>Makeup Water Pipeline Diameter</t>
  </si>
  <si>
    <t>Fixed Capital Investment</t>
  </si>
  <si>
    <t>Working Capital</t>
  </si>
  <si>
    <t>Total Capital Investment</t>
  </si>
  <si>
    <t>Capital Expense</t>
  </si>
  <si>
    <t>Open Raceway Ponds</t>
  </si>
  <si>
    <t>Inoculation System</t>
  </si>
  <si>
    <t>CO2 Storage and Delivery</t>
  </si>
  <si>
    <t>Water Delivery and Circulation</t>
  </si>
  <si>
    <t>Dewatering</t>
  </si>
  <si>
    <t>Storage</t>
  </si>
  <si>
    <t>Additional Direct Capital Expenses</t>
  </si>
  <si>
    <t>Indirect Capital Expenses</t>
  </si>
  <si>
    <t>Land Capital</t>
  </si>
  <si>
    <t>Civil Work</t>
  </si>
  <si>
    <t>Leakage Barrier</t>
  </si>
  <si>
    <t>Paddlewheel</t>
  </si>
  <si>
    <t>Electrical Instrumentation</t>
  </si>
  <si>
    <t>Pond Piping</t>
  </si>
  <si>
    <t>CO2 Diffusers</t>
  </si>
  <si>
    <t>Slide Gates</t>
  </si>
  <si>
    <t>Concrete</t>
  </si>
  <si>
    <t>Tubular PBR (Inoculation System)</t>
  </si>
  <si>
    <t>Covered Inoculum Ponds</t>
  </si>
  <si>
    <t>Open Inoculum Ponds</t>
  </si>
  <si>
    <t>Covered Inoculum Pond Lining</t>
  </si>
  <si>
    <t>Air Supported Greenhouse</t>
  </si>
  <si>
    <t>Open Inoculum Pond Lining</t>
  </si>
  <si>
    <t>Total Inoculation System</t>
  </si>
  <si>
    <t>CO2 Sphere</t>
  </si>
  <si>
    <t>CO2 Vaporizer</t>
  </si>
  <si>
    <t>CO2 Trunkline</t>
  </si>
  <si>
    <t>CO2 Branchline</t>
  </si>
  <si>
    <t>CO2 within-plot Piping</t>
  </si>
  <si>
    <t>CO2 Supply to Inoculum Ponds</t>
  </si>
  <si>
    <t>Total CO2 Delivery</t>
  </si>
  <si>
    <t>Harvesting Chanels</t>
  </si>
  <si>
    <t>34 Inch Diameter Pipe</t>
  </si>
  <si>
    <t>26 Inch Diameter Pipe</t>
  </si>
  <si>
    <t>20 Inch Diameter Pipe</t>
  </si>
  <si>
    <t>16 Inch Diameter Pipe</t>
  </si>
  <si>
    <t>14 Inch Diameter Pipe</t>
  </si>
  <si>
    <t>12 Inch Diameter Pipe</t>
  </si>
  <si>
    <t>Makeup Water Pipeline</t>
  </si>
  <si>
    <t>Makeup Water Pump</t>
  </si>
  <si>
    <t>Return Water Pipe</t>
  </si>
  <si>
    <t>Return Water Pump</t>
  </si>
  <si>
    <t>Settling Ponds</t>
  </si>
  <si>
    <t>Settling Pond Liners (Anaerobic Storage)</t>
  </si>
  <si>
    <t>Membrane</t>
  </si>
  <si>
    <t>Centrifuge</t>
  </si>
  <si>
    <t>Total Dewatering</t>
  </si>
  <si>
    <t>Firewater Pump</t>
  </si>
  <si>
    <t>Firewater Storage Tank</t>
  </si>
  <si>
    <t>Makeup Water Storage Tank</t>
  </si>
  <si>
    <t>Tankage BOP</t>
  </si>
  <si>
    <t>Total Storage</t>
  </si>
  <si>
    <t>Warehouse</t>
  </si>
  <si>
    <t>Site Development</t>
  </si>
  <si>
    <t>Additional Piping</t>
  </si>
  <si>
    <t>Prorateable Expenses</t>
  </si>
  <si>
    <t>Field Expenses</t>
  </si>
  <si>
    <t>Home Office</t>
  </si>
  <si>
    <t>Project Contingency</t>
  </si>
  <si>
    <t>Other Costs</t>
  </si>
  <si>
    <t>Cultivation and Dewatering Capital Expenses</t>
  </si>
  <si>
    <t>Total ORP Capital</t>
  </si>
  <si>
    <t>Total Water Delivery and Circulation</t>
  </si>
  <si>
    <t>Total Additional Direct Capital</t>
  </si>
  <si>
    <t>Total Additional Indirect Capital</t>
  </si>
  <si>
    <t>inches</t>
  </si>
  <si>
    <t>Cultivation and Dewatering Operational Expenses</t>
  </si>
  <si>
    <t>Total Cultivation and Dewatering OPEX</t>
  </si>
  <si>
    <t>Electricity</t>
  </si>
  <si>
    <t>Ammonia</t>
  </si>
  <si>
    <t>DAP</t>
  </si>
  <si>
    <t>Cultivation CO2</t>
  </si>
  <si>
    <t>Labor</t>
  </si>
  <si>
    <t>Labor Burdens</t>
  </si>
  <si>
    <t>Maintenance</t>
  </si>
  <si>
    <t>Property Tax and Insurance</t>
  </si>
  <si>
    <t>Maintenance and Insurance</t>
  </si>
  <si>
    <t>Total C &amp; DW Operational Expenses</t>
  </si>
  <si>
    <t>HTL Equipment</t>
  </si>
  <si>
    <t>Purge/Reactor Exchanger</t>
  </si>
  <si>
    <t>HTL Reactor</t>
  </si>
  <si>
    <t>Reactor Gas KO Drum</t>
  </si>
  <si>
    <t>Solids Filter</t>
  </si>
  <si>
    <t>Separator</t>
  </si>
  <si>
    <t>Purge Water Cooler</t>
  </si>
  <si>
    <t>HTL Total</t>
  </si>
  <si>
    <t>HT Reactor/Vessels/Columns</t>
  </si>
  <si>
    <t>Hydrogen Compressor</t>
  </si>
  <si>
    <t>Pressure Swing Absorber</t>
  </si>
  <si>
    <t>Hydrocracker and Auxiliaries</t>
  </si>
  <si>
    <t>Upgrading Total</t>
  </si>
  <si>
    <t>Heating Utility</t>
  </si>
  <si>
    <t>Reactor Heater</t>
  </si>
  <si>
    <t>Bio-Oil Heat Recovery Steam Generator</t>
  </si>
  <si>
    <t>Hot Oil System Package</t>
  </si>
  <si>
    <t>Hot Oil</t>
  </si>
  <si>
    <t>Heating Utility Total</t>
  </si>
  <si>
    <t>Other Utilities</t>
  </si>
  <si>
    <t>Cooling Tower System</t>
  </si>
  <si>
    <t>Cooling Water Pump</t>
  </si>
  <si>
    <t>Plant Air Compressor</t>
  </si>
  <si>
    <t>Hydraulic Dump Truck</t>
  </si>
  <si>
    <t>Instrument Air Dryer</t>
  </si>
  <si>
    <t>Plant Air Receiver</t>
  </si>
  <si>
    <t>HTL Oil Intermediate Storage (3 Days)</t>
  </si>
  <si>
    <t>Naphtha Intermediate Storage (3 Days)</t>
  </si>
  <si>
    <t>Biodiesel Intermediate Storage (3 Days)</t>
  </si>
  <si>
    <t>Other Utilities Total</t>
  </si>
  <si>
    <t>Proratable Expenses</t>
  </si>
  <si>
    <t>Home Office and Construction Feed</t>
  </si>
  <si>
    <t>Total Indirect Costs</t>
  </si>
  <si>
    <t>Fuel Upgrading Equipment</t>
  </si>
  <si>
    <t>Total Inside Batterly Limits</t>
  </si>
  <si>
    <t>Total ISBL</t>
  </si>
  <si>
    <t>Additional Direct Capital</t>
  </si>
  <si>
    <t>Total Indirect Capital</t>
  </si>
  <si>
    <t>HTL and Fuel Upgrading Capital Expenses</t>
  </si>
  <si>
    <t>H2 OPEX</t>
  </si>
  <si>
    <t>Natural Gas OPEX</t>
  </si>
  <si>
    <t>Total Variable OPEX</t>
  </si>
  <si>
    <t>Char Revenue</t>
  </si>
  <si>
    <t>NH3 Revenue</t>
  </si>
  <si>
    <t>DAP Revenue</t>
  </si>
  <si>
    <t>Total Co-Product Revenue</t>
  </si>
  <si>
    <t>Total Labor</t>
  </si>
  <si>
    <t>Labor Burden</t>
  </si>
  <si>
    <t>Variable Operational Costs</t>
  </si>
  <si>
    <t>Labor (Fixed)</t>
  </si>
  <si>
    <t>Maintenance and Insurance (Fixed)</t>
  </si>
  <si>
    <t>Total HTL &amp; UG Operational Costs</t>
  </si>
  <si>
    <t>Total OPEX (w/out Co-Products)</t>
  </si>
  <si>
    <t>HTL and Fuel Upgrading Operational Expenses</t>
  </si>
  <si>
    <t>Operational Expense</t>
  </si>
  <si>
    <t>Total Direct Costs</t>
  </si>
  <si>
    <t>Net OPEX (w/ Co-Products)</t>
  </si>
  <si>
    <t>Property Tax &amp; Insurance</t>
  </si>
  <si>
    <t>% of NPV</t>
  </si>
  <si>
    <t>Net Present Value (NPV)</t>
  </si>
  <si>
    <t>Income Tax</t>
  </si>
  <si>
    <t>Operational Expenses</t>
  </si>
  <si>
    <t>Equipment and Facility Capital</t>
  </si>
  <si>
    <t>Minimum Biomass Selling Price</t>
  </si>
  <si>
    <t>$/tonne AFDW</t>
  </si>
  <si>
    <t>Total</t>
  </si>
  <si>
    <t>Portion of MBSP</t>
  </si>
  <si>
    <t>Discounted Cash Flow Rate of Return (DCFROR) Analysis Results - MBSP</t>
  </si>
  <si>
    <t>Discounted Cash Flow Rate of Return (DCFROR) Analysis Results -MFSP</t>
  </si>
  <si>
    <t>Minimum Fuel Selling Price</t>
  </si>
  <si>
    <t>Portion of MFSP</t>
  </si>
  <si>
    <t>$/GGE</t>
  </si>
  <si>
    <t>Process Model Outputs</t>
  </si>
  <si>
    <t>TEA Model Outputs</t>
  </si>
  <si>
    <t>LCA Model Outputs</t>
  </si>
  <si>
    <t>Respiratory Effects</t>
  </si>
  <si>
    <t>kg PM2.5</t>
  </si>
  <si>
    <t>Grid Region</t>
  </si>
  <si>
    <t>Acidification</t>
  </si>
  <si>
    <t>kg SO2-eq</t>
  </si>
  <si>
    <t>Ecotoxicity</t>
  </si>
  <si>
    <t>CTUe</t>
  </si>
  <si>
    <t>Non-Carcinogenics</t>
  </si>
  <si>
    <t>CTUh</t>
  </si>
  <si>
    <t>Carcinogenics</t>
  </si>
  <si>
    <t>Global Warming Potential</t>
  </si>
  <si>
    <t>kg CO2-eq</t>
  </si>
  <si>
    <t>Smog Formation</t>
  </si>
  <si>
    <t>kg O3-eq</t>
  </si>
  <si>
    <t>Ozone Depletion</t>
  </si>
  <si>
    <t>kg CFC-11</t>
  </si>
  <si>
    <t>Eutrophication</t>
  </si>
  <si>
    <t>kg N-eq</t>
  </si>
  <si>
    <t>Fossil Fuel Depletion</t>
  </si>
  <si>
    <t>MJ Surplus</t>
  </si>
  <si>
    <t>TRACI Environmental Impacts</t>
  </si>
  <si>
    <t>Electricity (Cultivation)</t>
  </si>
  <si>
    <t>Electricity (Dewatering)</t>
  </si>
  <si>
    <t>Electricity (Storage)</t>
  </si>
  <si>
    <t>Notes</t>
  </si>
  <si>
    <t>Electricity (HTL &amp; UG)</t>
  </si>
  <si>
    <t>Direct GHG emissions from HTL and UG</t>
  </si>
  <si>
    <t>Includes freshwater use for cultivation and conversion</t>
  </si>
  <si>
    <t>Water pumps, paddlewheels, gas sparging</t>
  </si>
  <si>
    <t>Pumps, membranes, centrifuges, UV sterilization</t>
  </si>
  <si>
    <t>Slurry pumps to/from anaerobic storage</t>
  </si>
  <si>
    <t>GHG Emissions (kg CO2-eq/kWh)</t>
  </si>
  <si>
    <t>Water Footprint Metrics</t>
  </si>
  <si>
    <t>Grouped Results</t>
  </si>
  <si>
    <t>Cultivation Electricity</t>
  </si>
  <si>
    <t xml:space="preserve">ORP and dewatering equipment energy </t>
  </si>
  <si>
    <t xml:space="preserve">Conversion Consumables </t>
  </si>
  <si>
    <t>Ammonia, DAP, CO2, and well water</t>
  </si>
  <si>
    <t>Natrual gas, hydrogen, and well water</t>
  </si>
  <si>
    <t>Conversion Electricity</t>
  </si>
  <si>
    <t>Electricity for HTL and fuel upgrading</t>
  </si>
  <si>
    <t>Diammonium Phosphate (DAP)</t>
  </si>
  <si>
    <t>Conversion Direct Emissions</t>
  </si>
  <si>
    <t>Hydrogen (HTL &amp; UG)</t>
  </si>
  <si>
    <t xml:space="preserve">To replenish evaporative losses and recycling inefficiencies </t>
  </si>
  <si>
    <t>Process Water (HTL &amp; UG)</t>
  </si>
  <si>
    <t>Process Water (Cultivation &amp; Dewatering)</t>
  </si>
  <si>
    <t>CO2 Uptake (Biomass Growth)</t>
  </si>
  <si>
    <t>Atmospheric CO2 embodied in algae biomass</t>
  </si>
  <si>
    <t>CO2 Uptake (from Biomass Growth)</t>
  </si>
  <si>
    <t>Atmospheric CO2 embodied in algae biomass (credit)</t>
  </si>
  <si>
    <t>System credits for producing ammonia, DAP, and biochar</t>
  </si>
  <si>
    <t>Ammonia Displacement Credit</t>
  </si>
  <si>
    <t>DAP Displacement Credit</t>
  </si>
  <si>
    <t>Avoided emissions from producing ammonia (credit)</t>
  </si>
  <si>
    <t>Avoided emissions from producing DAP (credit)</t>
  </si>
  <si>
    <t>LCA Results (Annual Totals in Each Impact Category)</t>
  </si>
  <si>
    <t>LCA Results (Normalized by Annual Fuel Production)</t>
  </si>
  <si>
    <t>kg PM2.5/MJ Fuel</t>
  </si>
  <si>
    <t>kg SO2-eq/MJ Fuel</t>
  </si>
  <si>
    <t>CTUe/MJ Fuel</t>
  </si>
  <si>
    <t>CTUh/MJ Fuel</t>
  </si>
  <si>
    <t>g CO2-eq/MJ Fuel</t>
  </si>
  <si>
    <t>kg O3-eq/MJ Fuel</t>
  </si>
  <si>
    <t>kg CFC-11/MJ Fuel</t>
  </si>
  <si>
    <t>kg N-eq/MJ Fuel</t>
  </si>
  <si>
    <t>MJ Surplus/MJ Fuel</t>
  </si>
  <si>
    <t>Process Input</t>
  </si>
  <si>
    <t>[County, State]</t>
  </si>
  <si>
    <t>Blue Water Footprint (Cultivation)</t>
  </si>
  <si>
    <t>Blue Water Footprint (Cultivation &amp; Conversion)</t>
  </si>
  <si>
    <t>Green Water Footprint (Cultivation)</t>
  </si>
  <si>
    <t>Water Scarcity Footprint (Cultivation)</t>
  </si>
  <si>
    <t>Water Scarcity Footprint
(AWARE Model)</t>
  </si>
  <si>
    <t>Water Scarcity Footprint (Cultivation &amp; Conversion)</t>
  </si>
  <si>
    <t>m3/tonne AFDW</t>
  </si>
  <si>
    <t>m3/MJ Fuel</t>
  </si>
  <si>
    <t>m3-eq/tonne AFDW</t>
  </si>
  <si>
    <t>m3-eq/MJ Fuel</t>
  </si>
  <si>
    <t>WF Classification</t>
  </si>
  <si>
    <t>Natural Gas Transport (HTL &amp; UG)</t>
  </si>
  <si>
    <t>Direct CO2 Emissions (Biorefinery &amp; Fuel End Use)</t>
  </si>
  <si>
    <t>Non-CO2 GHG Emissions (Biorefinery &amp; Fuel End Use)</t>
  </si>
  <si>
    <t>Direct Biogenic CO2 emissions from biorefinery operations and fuel end-use</t>
  </si>
  <si>
    <t>Other GHG emissions from biorefinery operations and fuel end-use</t>
  </si>
  <si>
    <t>Net Emissions</t>
  </si>
  <si>
    <t>Cultivation Only</t>
  </si>
  <si>
    <t>Cultivation Only - Grouped</t>
  </si>
  <si>
    <t>TRACI Environmental Impacts for System Credits</t>
  </si>
  <si>
    <t>CO2 Uptake (from biomass growth)</t>
  </si>
  <si>
    <t>Ammonia Recovery</t>
  </si>
  <si>
    <t>DAP Recovery</t>
  </si>
  <si>
    <t>Ammonia Transportation</t>
  </si>
  <si>
    <t>Ammonia Production</t>
  </si>
  <si>
    <t>Diammonium Phosphate (DAP) Transportation</t>
  </si>
  <si>
    <t>Diammonium Phosphate (DAP) Production</t>
  </si>
  <si>
    <t>Non-CO2 Emissions (Biorefinery &amp; Fuel End Use)</t>
  </si>
  <si>
    <t>Ammonia production</t>
  </si>
  <si>
    <t>Transportation distance specified in Matlab</t>
  </si>
  <si>
    <t>DAP production</t>
  </si>
  <si>
    <t>Natural gas for conversion</t>
  </si>
  <si>
    <t>Hydrogen for conversion</t>
  </si>
  <si>
    <t>Natural Gas (HTL &amp; UG)</t>
  </si>
  <si>
    <t>Electricity for pumps and compressors</t>
  </si>
  <si>
    <t>Includes production and transportation</t>
  </si>
  <si>
    <t>kg PM2.5/kg AFDW</t>
  </si>
  <si>
    <t>kg SO2-eq/kg AFDW</t>
  </si>
  <si>
    <t>CTUe/kg AFDW</t>
  </si>
  <si>
    <t>CTUh/kg AFDW</t>
  </si>
  <si>
    <t>kg CO2-eq/kg AFDW</t>
  </si>
  <si>
    <t>kg O3-eq/kg AFDW</t>
  </si>
  <si>
    <t>kg CFC-11/kg AFDW</t>
  </si>
  <si>
    <t>kg N-eq/kg AFDW</t>
  </si>
  <si>
    <t>MJ Surplus/kg AFDW</t>
  </si>
  <si>
    <t>Makeup Water Pumping Energy</t>
  </si>
  <si>
    <t>Annual Operational</t>
  </si>
  <si>
    <t>2019 USD</t>
  </si>
  <si>
    <t>2019 USD/tonne AFDW</t>
  </si>
  <si>
    <t>2019 USD/m2</t>
  </si>
  <si>
    <t>Total Facility Capital</t>
  </si>
  <si>
    <t>Total Capital per Area</t>
  </si>
  <si>
    <t>Total Capital per Tonne</t>
  </si>
  <si>
    <t>Annualized Capital per Tonne</t>
  </si>
  <si>
    <t>Annual Operational per Tonne</t>
  </si>
  <si>
    <t>2019 USD/year</t>
  </si>
  <si>
    <t>Char Sequestration Credit</t>
  </si>
  <si>
    <t>Biogenic Carbon Sequestered in HTL Biochar</t>
  </si>
  <si>
    <t>Co-Product Displacement/Sequestration Credits</t>
  </si>
  <si>
    <t>Biogenic Carbon Stored in Char</t>
  </si>
  <si>
    <t>Polk County, Florida</t>
  </si>
  <si>
    <t>S_obliquus</t>
  </si>
  <si>
    <t>SERC Reliability Corporation</t>
  </si>
  <si>
    <t>Zapata County, Texas</t>
  </si>
  <si>
    <t>S_obliquus</t>
  </si>
  <si>
    <t>Texas Regional Entity</t>
  </si>
  <si>
    <t>Zapata County, Texas</t>
  </si>
  <si>
    <t>S_obliquus</t>
  </si>
  <si>
    <t>Texas Regional Entity</t>
  </si>
  <si>
    <t>Hawaii County, Hawaii</t>
  </si>
  <si>
    <t>S_obliquus</t>
  </si>
  <si>
    <t>Hawaii Island Chamber of Commerce</t>
  </si>
  <si>
    <t>Hawaii County, Hawaii</t>
  </si>
  <si>
    <t>S_obliquus</t>
  </si>
  <si>
    <t>Hawaii Island Chamber of Commerce</t>
  </si>
  <si>
    <t>Hawaii County, Hawaii</t>
  </si>
  <si>
    <t>S_obliquus</t>
  </si>
  <si>
    <t>Hawaii Island Chamber of Commerce</t>
  </si>
  <si>
    <t>Zapata County, Texas</t>
  </si>
  <si>
    <t>S_obliquus</t>
  </si>
  <si>
    <t>Texas Regional Entity</t>
  </si>
  <si>
    <t>Zapata County, Texas</t>
  </si>
  <si>
    <t>S_obliquus</t>
  </si>
  <si>
    <t>Texas Regional Entity</t>
  </si>
  <si>
    <t>Anderson County, Texas</t>
  </si>
  <si>
    <t>S_obliquus</t>
  </si>
  <si>
    <t>Texas Regional Entity</t>
  </si>
  <si>
    <t>Anderson County, Texas</t>
  </si>
  <si>
    <t>S_obliquus</t>
  </si>
  <si>
    <t>Texas Regional Entity</t>
  </si>
  <si>
    <t>Anderson County, Texas</t>
  </si>
  <si>
    <t>S_obliquus</t>
  </si>
  <si>
    <t>Texas Regional Entity</t>
  </si>
  <si>
    <t>Anderson County, Texas</t>
  </si>
  <si>
    <t>S_obliquus</t>
  </si>
  <si>
    <t>Texas Regional Entity</t>
  </si>
  <si>
    <t>Anderson County, Texas</t>
  </si>
  <si>
    <t>S_obliquus</t>
  </si>
  <si>
    <t>Texas Regional Entity</t>
  </si>
  <si>
    <t>Anderson County, Texas</t>
  </si>
  <si>
    <t>S_obliquus</t>
  </si>
  <si>
    <t>Texas Regional Entity</t>
  </si>
  <si>
    <t>Anderson County, Texas</t>
  </si>
  <si>
    <t>S_obliquus</t>
  </si>
  <si>
    <t>Texas Regional Entity</t>
  </si>
  <si>
    <t>Anderson County, Texas</t>
  </si>
  <si>
    <t>S_obliquus</t>
  </si>
  <si>
    <t>Texas Regional Entity</t>
  </si>
  <si>
    <t>Anderson County, Texas</t>
  </si>
  <si>
    <t>S_obliquus</t>
  </si>
  <si>
    <t>Texas Regional Entity</t>
  </si>
  <si>
    <t>Anderson County, Texas</t>
  </si>
  <si>
    <t>S_obliquus</t>
  </si>
  <si>
    <t>Texas Regional Entity</t>
  </si>
  <si>
    <t>Anderson County, Texas</t>
  </si>
  <si>
    <t>S_obliquus</t>
  </si>
  <si>
    <t>Texas Regional Entity</t>
  </si>
  <si>
    <t>Anderson County, Texas</t>
  </si>
  <si>
    <t>S_obliquus</t>
  </si>
  <si>
    <t>Texas Regional Entity</t>
  </si>
  <si>
    <t>Anderson County, Texas</t>
  </si>
  <si>
    <t>S_obliquus</t>
  </si>
  <si>
    <t>Texas Regional Entity</t>
  </si>
  <si>
    <t>Anderson County, Texas</t>
  </si>
  <si>
    <t>S_obliquus</t>
  </si>
  <si>
    <t>Texas Regional Entity</t>
  </si>
  <si>
    <t>Anderson County, Texas</t>
  </si>
  <si>
    <t>S_obliquus</t>
  </si>
  <si>
    <t>Texas Regional Entity</t>
  </si>
  <si>
    <t>Anderson County, Texas</t>
  </si>
  <si>
    <t>S_obliquus</t>
  </si>
  <si>
    <t>Texas Regional Entity</t>
  </si>
  <si>
    <t>Anderson County, Texas</t>
  </si>
  <si>
    <t>S_obliquus</t>
  </si>
  <si>
    <t>Texas Regional Entity</t>
  </si>
  <si>
    <t>Anderson County, Texas</t>
  </si>
  <si>
    <t>S_obliquus</t>
  </si>
  <si>
    <t>Texas Regional Entity</t>
  </si>
  <si>
    <t>Anderson County, Texas</t>
  </si>
  <si>
    <t>S_obliquus</t>
  </si>
  <si>
    <t>Texas Regional Entity</t>
  </si>
  <si>
    <t>Anderson County, Texas</t>
  </si>
  <si>
    <t>S_obliquus</t>
  </si>
  <si>
    <t>Texas Regional Entity</t>
  </si>
  <si>
    <t>Anderson County, Texas</t>
  </si>
  <si>
    <t>S_obliquus</t>
  </si>
  <si>
    <t>Texas Regional Entity</t>
  </si>
  <si>
    <t>Anderson County, Texas</t>
  </si>
  <si>
    <t>S_obliquus</t>
  </si>
  <si>
    <t>Texas Regional Entity</t>
  </si>
  <si>
    <t>Anderson County, Texas</t>
  </si>
  <si>
    <t>S_obliquus</t>
  </si>
  <si>
    <t>Texas Regional Entity</t>
  </si>
  <si>
    <t>Anderson County, Texas</t>
  </si>
  <si>
    <t>S_obliquus</t>
  </si>
  <si>
    <t>Texas Regional Entity</t>
  </si>
  <si>
    <t>Anderson County, Texas</t>
  </si>
  <si>
    <t>S_obliquus</t>
  </si>
  <si>
    <t>Texas Regional Entity</t>
  </si>
  <si>
    <t>Anderson County, Texas</t>
  </si>
  <si>
    <t>S_obliquus</t>
  </si>
  <si>
    <t>Texas Regional Entity</t>
  </si>
  <si>
    <t>Anderson County, Texas</t>
  </si>
  <si>
    <t>S_obliquus</t>
  </si>
  <si>
    <t>Texas Regional Entity</t>
  </si>
  <si>
    <t>Anderson County, Texas</t>
  </si>
  <si>
    <t>S_obliquus</t>
  </si>
  <si>
    <t>Texas Regional Entity</t>
  </si>
  <si>
    <t>Anderson County, Texas</t>
  </si>
  <si>
    <t>S_obliquus</t>
  </si>
  <si>
    <t>Texas Regional Entity</t>
  </si>
  <si>
    <t>Anderson County, Texas</t>
  </si>
  <si>
    <t>S_obliquus</t>
  </si>
  <si>
    <t>Texas Regional Entity</t>
  </si>
  <si>
    <t>Anderson County, Texas</t>
  </si>
  <si>
    <t>S_obliquus</t>
  </si>
  <si>
    <t>Texas Regional Entity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</si>
</sst>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$&quot;#,##0"/>
    <numFmt numFmtId="165" formatCode="&quot;$&quot;#,##0.00"/>
    <numFmt numFmtId="166" formatCode="0.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vertAlign val="superscript"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7" tint="0.59996337778863"/>
        <bgColor indexed="64"/>
      </patternFill>
    </fill>
    <fill>
      <patternFill patternType="solid">
        <fgColor theme="7" tint="0.79995117038484"/>
        <bgColor indexed="64"/>
      </patternFill>
    </fill>
    <fill>
      <patternFill patternType="solid">
        <fgColor theme="5" tint="0.59996337778863"/>
        <bgColor indexed="64"/>
      </patternFill>
    </fill>
    <fill>
      <patternFill patternType="solid">
        <fgColor theme="5" tint="0.79995117038484"/>
        <bgColor indexed="64"/>
      </patternFill>
    </fill>
    <fill>
      <patternFill patternType="solid">
        <fgColor theme="4" tint="0.59996337778863"/>
        <bgColor indexed="64"/>
      </patternFill>
    </fill>
    <fill>
      <patternFill patternType="solid">
        <fgColor theme="4" tint="0.79995117038484"/>
        <bgColor indexed="64"/>
      </patternFill>
    </fill>
    <fill>
      <patternFill patternType="solid">
        <fgColor theme="9" tint="0.79995117038484"/>
        <bgColor indexed="64"/>
      </patternFill>
    </fill>
    <fill>
      <patternFill patternType="solid">
        <fgColor theme="9" tint="0.59996337778863"/>
        <bgColor indexed="64"/>
      </patternFill>
    </fill>
    <fill>
      <patternFill patternType="solid">
        <fgColor theme="5" tint="0.59996337778863"/>
        <bgColor indexed="64"/>
      </patternFill>
    </fill>
    <fill>
      <patternFill patternType="solid">
        <fgColor theme="5" tint="0.79995117038484"/>
        <bgColor indexed="64"/>
      </patternFill>
    </fill>
    <fill>
      <patternFill patternType="solid">
        <fgColor theme="5" tint="0.59996337778863"/>
        <bgColor indexed="64"/>
      </patternFill>
    </fill>
    <fill>
      <patternFill patternType="solid">
        <fgColor theme="5" tint="0.79995117038484"/>
        <bgColor indexed="64"/>
      </patternFill>
    </fill>
    <fill>
      <patternFill patternType="solid">
        <fgColor theme="9" tint="0.79995117038484"/>
        <bgColor indexed="64"/>
      </patternFill>
    </fill>
    <fill>
      <patternFill patternType="solid">
        <fgColor theme="5" tint="0.59996337778863"/>
        <bgColor indexed="64"/>
      </patternFill>
    </fill>
    <fill>
      <patternFill patternType="solid">
        <fgColor theme="5" tint="0.7999511703848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5117038484"/>
        <bgColor indexed="64"/>
      </patternFill>
    </fill>
    <fill>
      <patternFill patternType="solid">
        <fgColor theme="9" tint="0.79995117038484"/>
        <bgColor indexed="64"/>
      </patternFill>
    </fill>
    <fill>
      <patternFill patternType="solid">
        <fgColor theme="5" tint="0.79995117038484"/>
        <bgColor indexed="64"/>
      </patternFill>
    </fill>
    <fill>
      <patternFill patternType="solid">
        <fgColor theme="5" tint="0.39997558519242"/>
        <bgColor indexed="64"/>
      </patternFill>
    </fill>
    <fill>
      <patternFill patternType="solid">
        <fgColor theme="5" tint="0.59996337778863"/>
        <bgColor indexed="64"/>
      </patternFill>
    </fill>
    <fill>
      <patternFill patternType="solid">
        <fgColor theme="5" tint="0.79995117038484"/>
        <bgColor indexed="64"/>
      </patternFill>
    </fill>
    <fill>
      <patternFill patternType="solid">
        <fgColor theme="7" tint="0.79995117038484"/>
        <bgColor indexed="64"/>
      </patternFill>
    </fill>
    <fill>
      <patternFill patternType="solid">
        <fgColor theme="4" tint="0.59996337778863"/>
        <bgColor indexed="64"/>
      </patternFill>
    </fill>
    <fill>
      <patternFill patternType="solid">
        <fgColor theme="8" tint="0.79995117038484"/>
        <bgColor indexed="64"/>
      </patternFill>
    </fill>
    <fill>
      <patternFill patternType="solid">
        <fgColor theme="7" tint="0.79995117038484"/>
        <bgColor indexed="64"/>
      </patternFill>
    </fill>
    <fill>
      <patternFill patternType="solid">
        <fgColor theme="9" tint="0.79995117038484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/>
      <diagonal/>
    </border>
    <border/>
  </borders>
  <cellStyleXfs count="2">
    <xf numFmtId="0" fontId="0" fillId="0" borderId="0"/>
    <xf numFmtId="9" fontId="5" fillId="0" borderId="0" applyFont="false" applyFill="false" applyBorder="false" applyAlignment="false" applyProtection="false"/>
  </cellStyleXfs>
  <cellXfs count="220">
    <xf numFmtId="0" fontId="0" fillId="0" borderId="0" xfId="0"/>
    <xf numFmtId="0" fontId="1" fillId="3" borderId="1" xfId="0" applyFont="true" applyFill="true" applyBorder="true"/>
    <xf numFmtId="0" fontId="0" fillId="0" borderId="2" xfId="0" applyBorder="true"/>
    <xf numFmtId="0" fontId="0" fillId="0" borderId="7" xfId="0" applyBorder="true"/>
    <xf numFmtId="0" fontId="0" fillId="0" borderId="1" xfId="0" applyBorder="true" applyAlignment="true">
      <alignment horizontal="center" vertical="center" wrapText="true"/>
    </xf>
    <xf numFmtId="0" fontId="1" fillId="3" borderId="1" xfId="0" applyFont="true" applyFill="true" applyBorder="true" applyAlignment="true">
      <alignment horizontal="center"/>
    </xf>
    <xf numFmtId="0" fontId="0" fillId="0" borderId="10" xfId="0" applyBorder="true"/>
    <xf numFmtId="0" fontId="0" fillId="0" borderId="11" xfId="0" applyBorder="true"/>
    <xf numFmtId="0" fontId="0" fillId="0" borderId="13" xfId="0" applyBorder="true"/>
    <xf numFmtId="0" fontId="0" fillId="0" borderId="0" xfId="0" applyAlignment="true">
      <alignment horizontal="right"/>
    </xf>
    <xf numFmtId="0" fontId="0" fillId="0" borderId="2" xfId="0" applyBorder="true" applyAlignment="true">
      <alignment horizontal="right"/>
    </xf>
    <xf numFmtId="0" fontId="0" fillId="0" borderId="9" xfId="0" applyBorder="true" applyAlignment="true">
      <alignment horizontal="right"/>
    </xf>
    <xf numFmtId="0" fontId="2" fillId="3" borderId="1" xfId="0" applyFont="true" applyFill="true" applyBorder="true" applyAlignment="true">
      <alignment horizontal="left" indent="1"/>
    </xf>
    <xf numFmtId="0" fontId="3" fillId="0" borderId="15" xfId="0" applyFont="true" applyBorder="true" applyAlignment="true">
      <alignment horizontal="left" indent="1"/>
    </xf>
    <xf numFmtId="0" fontId="3" fillId="0" borderId="3" xfId="0" applyFont="true" applyBorder="true" applyAlignment="true">
      <alignment horizontal="left" indent="1"/>
    </xf>
    <xf numFmtId="0" fontId="3" fillId="0" borderId="14" xfId="0" applyFont="true" applyBorder="true" applyAlignment="true">
      <alignment horizontal="left" indent="1"/>
    </xf>
    <xf numFmtId="0" fontId="3" fillId="0" borderId="12" xfId="0" applyFont="true" applyBorder="true" applyAlignment="true">
      <alignment horizontal="left" indent="1"/>
    </xf>
    <xf numFmtId="2" fontId="0" fillId="0" borderId="2" xfId="0" applyNumberFormat="true" applyBorder="true" applyAlignment="true">
      <alignment horizontal="right"/>
    </xf>
    <xf numFmtId="2" fontId="0" fillId="0" borderId="0" xfId="0" applyNumberFormat="true" applyAlignment="true">
      <alignment horizontal="right"/>
    </xf>
    <xf numFmtId="2" fontId="0" fillId="0" borderId="9" xfId="0" applyNumberFormat="true" applyBorder="true" applyAlignment="true">
      <alignment horizontal="right"/>
    </xf>
    <xf numFmtId="0" fontId="0" fillId="0" borderId="16" xfId="0" applyBorder="true"/>
    <xf numFmtId="2" fontId="0" fillId="0" borderId="16" xfId="0" applyNumberFormat="true" applyBorder="true"/>
    <xf numFmtId="2" fontId="0" fillId="0" borderId="2" xfId="0" applyNumberFormat="true" applyBorder="true"/>
    <xf numFmtId="0" fontId="0" fillId="0" borderId="9" xfId="0" applyBorder="true"/>
    <xf numFmtId="1" fontId="0" fillId="0" borderId="2" xfId="0" applyNumberFormat="true" applyBorder="true"/>
    <xf numFmtId="1" fontId="0" fillId="0" borderId="9" xfId="0" applyNumberFormat="true" applyBorder="true"/>
    <xf numFmtId="0" fontId="0" fillId="0" borderId="8" xfId="0" applyBorder="true"/>
    <xf numFmtId="2" fontId="0" fillId="0" borderId="9" xfId="0" applyNumberFormat="true" applyBorder="true"/>
    <xf numFmtId="0" fontId="0" fillId="0" borderId="1" xfId="0" applyBorder="true" applyAlignment="true">
      <alignment horizontal="center"/>
    </xf>
    <xf numFmtId="0" fontId="1" fillId="5" borderId="1" xfId="0" applyFont="true" applyFill="true" applyBorder="true" applyAlignment="true">
      <alignment horizontal="center"/>
    </xf>
    <xf numFmtId="0" fontId="1" fillId="5" borderId="1" xfId="0" applyFont="true" applyFill="true" applyBorder="true"/>
    <xf numFmtId="0" fontId="2" fillId="5" borderId="1" xfId="0" applyFont="true" applyFill="true" applyBorder="true" applyAlignment="true">
      <alignment horizontal="left" indent="1"/>
    </xf>
    <xf numFmtId="0" fontId="0" fillId="0" borderId="1" xfId="0" applyBorder="true" applyAlignment="true">
      <alignment horizontal="center" vertical="center"/>
    </xf>
    <xf numFmtId="0" fontId="0" fillId="0" borderId="6" xfId="0" applyBorder="true" applyAlignment="true">
      <alignment horizontal="center" vertical="center"/>
    </xf>
    <xf numFmtId="0" fontId="1" fillId="7" borderId="1" xfId="0" applyFont="true" applyFill="true" applyBorder="true"/>
    <xf numFmtId="0" fontId="0" fillId="0" borderId="17" xfId="0" applyBorder="true"/>
    <xf numFmtId="1" fontId="0" fillId="0" borderId="17" xfId="0" applyNumberFormat="true" applyBorder="true"/>
    <xf numFmtId="2" fontId="0" fillId="0" borderId="17" xfId="0" applyNumberFormat="true" applyBorder="true"/>
    <xf numFmtId="1" fontId="0" fillId="0" borderId="8" xfId="0" applyNumberFormat="true" applyBorder="true"/>
    <xf numFmtId="0" fontId="0" fillId="0" borderId="12" xfId="0" applyBorder="true"/>
    <xf numFmtId="0" fontId="0" fillId="0" borderId="3" xfId="0" applyBorder="true"/>
    <xf numFmtId="0" fontId="0" fillId="0" borderId="14" xfId="0" applyBorder="true"/>
    <xf numFmtId="0" fontId="0" fillId="0" borderId="15" xfId="0" applyBorder="true"/>
    <xf numFmtId="164" fontId="0" fillId="0" borderId="9" xfId="0" applyNumberFormat="true" applyBorder="true"/>
    <xf numFmtId="0" fontId="0" fillId="0" borderId="18" xfId="0" applyBorder="true"/>
    <xf numFmtId="164" fontId="0" fillId="0" borderId="18" xfId="0" applyNumberFormat="true" applyBorder="true"/>
    <xf numFmtId="164" fontId="0" fillId="0" borderId="2" xfId="0" applyNumberFormat="true" applyBorder="true"/>
    <xf numFmtId="0" fontId="0" fillId="0" borderId="12" xfId="0" applyBorder="true" applyAlignment="true">
      <alignment horizontal="right"/>
    </xf>
    <xf numFmtId="0" fontId="0" fillId="0" borderId="3" xfId="0" applyBorder="true" applyAlignment="true">
      <alignment horizontal="right"/>
    </xf>
    <xf numFmtId="0" fontId="0" fillId="0" borderId="14" xfId="0" applyBorder="true" applyAlignment="true">
      <alignment horizontal="right"/>
    </xf>
    <xf numFmtId="0" fontId="0" fillId="0" borderId="15" xfId="0" applyBorder="true" applyAlignment="true">
      <alignment horizontal="right"/>
    </xf>
    <xf numFmtId="164" fontId="0" fillId="0" borderId="8" xfId="0" applyNumberFormat="true" applyBorder="true"/>
    <xf numFmtId="0" fontId="1" fillId="8" borderId="1" xfId="0" applyFont="true" applyFill="true" applyBorder="true" applyAlignment="true">
      <alignment horizontal="center" vertical="center"/>
    </xf>
    <xf numFmtId="0" fontId="1" fillId="8" borderId="8" xfId="0" applyFont="true" applyFill="true" applyBorder="true"/>
    <xf numFmtId="164" fontId="1" fillId="8" borderId="8" xfId="0" applyNumberFormat="true" applyFont="true" applyFill="true" applyBorder="true"/>
    <xf numFmtId="0" fontId="0" fillId="8" borderId="15" xfId="0" applyFill="true" applyBorder="true" applyAlignment="true">
      <alignment horizontal="right"/>
    </xf>
    <xf numFmtId="0" fontId="1" fillId="8" borderId="2" xfId="0" applyFont="true" applyFill="true" applyBorder="true"/>
    <xf numFmtId="164" fontId="1" fillId="8" borderId="2" xfId="0" applyNumberFormat="true" applyFont="true" applyFill="true" applyBorder="true"/>
    <xf numFmtId="0" fontId="0" fillId="8" borderId="14" xfId="0" applyFill="true" applyBorder="true" applyAlignment="true">
      <alignment horizontal="right"/>
    </xf>
    <xf numFmtId="0" fontId="1" fillId="8" borderId="1" xfId="0" applyFont="true" applyFill="true" applyBorder="true"/>
    <xf numFmtId="0" fontId="1" fillId="8" borderId="1" xfId="0" applyFont="true" applyFill="true" applyBorder="true" applyAlignment="true">
      <alignment horizontal="right"/>
    </xf>
    <xf numFmtId="0" fontId="1" fillId="8" borderId="1" xfId="0" applyFont="true" applyFill="true" applyBorder="true" applyAlignment="true">
      <alignment horizontal="center"/>
    </xf>
    <xf numFmtId="0" fontId="1" fillId="8" borderId="15" xfId="0" applyFont="true" applyFill="true" applyBorder="true" applyAlignment="true">
      <alignment horizontal="right"/>
    </xf>
    <xf numFmtId="0" fontId="1" fillId="11" borderId="1" xfId="0" applyFont="true" applyFill="true" applyBorder="true" applyAlignment="true">
      <alignment horizontal="center"/>
    </xf>
    <xf numFmtId="0" fontId="1" fillId="11" borderId="1" xfId="0" applyFont="true" applyFill="true" applyBorder="true"/>
    <xf numFmtId="0" fontId="1" fillId="11" borderId="1" xfId="0" applyFont="true" applyFill="true" applyBorder="true" applyAlignment="true">
      <alignment horizontal="right"/>
    </xf>
    <xf numFmtId="0" fontId="0" fillId="0" borderId="19" xfId="0" applyBorder="true"/>
    <xf numFmtId="164" fontId="0" fillId="0" borderId="19" xfId="0" applyNumberFormat="true" applyBorder="true"/>
    <xf numFmtId="0" fontId="1" fillId="11" borderId="1" xfId="0" applyFont="true" applyFill="true" applyBorder="true" applyAlignment="true">
      <alignment horizontal="center" vertical="center"/>
    </xf>
    <xf numFmtId="0" fontId="1" fillId="11" borderId="8" xfId="0" applyFont="true" applyFill="true" applyBorder="true"/>
    <xf numFmtId="164" fontId="1" fillId="11" borderId="8" xfId="0" applyNumberFormat="true" applyFont="true" applyFill="true" applyBorder="true"/>
    <xf numFmtId="0" fontId="1" fillId="11" borderId="15" xfId="0" applyFont="true" applyFill="true" applyBorder="true" applyAlignment="true">
      <alignment horizontal="right"/>
    </xf>
    <xf numFmtId="0" fontId="1" fillId="13" borderId="1" xfId="0" applyFont="true" applyFill="true" applyBorder="true" applyAlignment="true">
      <alignment horizontal="center"/>
    </xf>
    <xf numFmtId="0" fontId="1" fillId="13" borderId="1" xfId="0" applyFont="true" applyFill="true" applyBorder="true"/>
    <xf numFmtId="0" fontId="1" fillId="13" borderId="1" xfId="0" applyFont="true" applyFill="true" applyBorder="true" applyAlignment="true">
      <alignment horizontal="right"/>
    </xf>
    <xf numFmtId="0" fontId="0" fillId="0" borderId="20" xfId="0" applyBorder="true"/>
    <xf numFmtId="164" fontId="0" fillId="0" borderId="20" xfId="0" applyNumberFormat="true" applyBorder="true"/>
    <xf numFmtId="0" fontId="1" fillId="13" borderId="9" xfId="0" applyFont="true" applyFill="true" applyBorder="true"/>
    <xf numFmtId="164" fontId="1" fillId="13" borderId="9" xfId="0" applyNumberFormat="true" applyFont="true" applyFill="true" applyBorder="true"/>
    <xf numFmtId="0" fontId="1" fillId="13" borderId="12" xfId="0" applyFont="true" applyFill="true" applyBorder="true" applyAlignment="true">
      <alignment horizontal="right"/>
    </xf>
    <xf numFmtId="0" fontId="1" fillId="13" borderId="2" xfId="0" applyFont="true" applyFill="true" applyBorder="true"/>
    <xf numFmtId="164" fontId="1" fillId="13" borderId="2" xfId="0" applyNumberFormat="true" applyFont="true" applyFill="true" applyBorder="true"/>
    <xf numFmtId="0" fontId="1" fillId="13" borderId="14" xfId="0" applyFont="true" applyFill="true" applyBorder="true" applyAlignment="true">
      <alignment horizontal="right"/>
    </xf>
    <xf numFmtId="0" fontId="1" fillId="14" borderId="7" xfId="0" applyFont="true" applyFill="true" applyBorder="true"/>
    <xf numFmtId="0" fontId="1" fillId="14" borderId="15" xfId="0" applyFont="true" applyFill="true" applyBorder="true"/>
    <xf numFmtId="1" fontId="0" fillId="0" borderId="0" xfId="0" applyNumberFormat="true"/>
    <xf numFmtId="165" fontId="0" fillId="0" borderId="12" xfId="0" applyNumberFormat="true" applyBorder="true"/>
    <xf numFmtId="9" fontId="0" fillId="0" borderId="21" xfId="1" applyFont="true" applyBorder="true"/>
    <xf numFmtId="165" fontId="0" fillId="0" borderId="14" xfId="0" applyNumberFormat="true" applyBorder="true"/>
    <xf numFmtId="9" fontId="0" fillId="0" borderId="9" xfId="1" applyFont="true" applyBorder="true"/>
    <xf numFmtId="164" fontId="0" fillId="0" borderId="21" xfId="0" applyNumberFormat="true" applyBorder="true"/>
    <xf numFmtId="165" fontId="0" fillId="0" borderId="3" xfId="0" applyNumberFormat="true" applyBorder="true"/>
    <xf numFmtId="9" fontId="0" fillId="0" borderId="2" xfId="1" applyFont="true" applyBorder="true"/>
    <xf numFmtId="165" fontId="1" fillId="14" borderId="8" xfId="0" applyNumberFormat="true" applyFont="true" applyFill="true" applyBorder="true"/>
    <xf numFmtId="0" fontId="1" fillId="16" borderId="1" xfId="0" applyFont="true" applyFill="true" applyBorder="true"/>
    <xf numFmtId="0" fontId="1" fillId="16" borderId="1" xfId="0" applyFont="true" applyFill="true" applyBorder="true" applyAlignment="true">
      <alignment horizontal="right"/>
    </xf>
    <xf numFmtId="0" fontId="0" fillId="0" borderId="22" xfId="0" applyBorder="true"/>
    <xf numFmtId="9" fontId="0" fillId="0" borderId="22" xfId="1" applyFont="true" applyBorder="true"/>
    <xf numFmtId="0" fontId="1" fillId="16" borderId="10" xfId="0" applyFont="true" applyFill="true" applyBorder="true"/>
    <xf numFmtId="165" fontId="1" fillId="16" borderId="2" xfId="0" applyNumberFormat="true" applyFont="true" applyFill="true" applyBorder="true"/>
    <xf numFmtId="0" fontId="1" fillId="16" borderId="14" xfId="0" applyFont="true" applyFill="true" applyBorder="true"/>
    <xf numFmtId="164" fontId="0" fillId="0" borderId="22" xfId="0" applyNumberFormat="true" applyBorder="true"/>
    <xf numFmtId="0" fontId="0" fillId="17" borderId="27" xfId="0" applyFill="true" applyBorder="true"/>
    <xf numFmtId="0" fontId="0" fillId="17" borderId="28" xfId="0" applyFill="true" applyBorder="true"/>
    <xf numFmtId="0" fontId="0" fillId="17" borderId="29" xfId="0" applyFill="true" applyBorder="true"/>
    <xf numFmtId="0" fontId="0" fillId="17" borderId="30" xfId="0" applyFill="true" applyBorder="true"/>
    <xf numFmtId="0" fontId="0" fillId="17" borderId="31" xfId="0" applyFill="true" applyBorder="true"/>
    <xf numFmtId="0" fontId="0" fillId="0" borderId="23" xfId="0" applyBorder="true"/>
    <xf numFmtId="0" fontId="0" fillId="23" borderId="1" xfId="0" applyFill="true" applyBorder="true"/>
    <xf numFmtId="0" fontId="0" fillId="0" borderId="1" xfId="0" applyBorder="true"/>
    <xf numFmtId="0" fontId="0" fillId="24" borderId="1" xfId="0" applyFill="true" applyBorder="true"/>
    <xf numFmtId="0" fontId="1" fillId="26" borderId="1" xfId="0" applyFont="true" applyFill="true" applyBorder="true" applyAlignment="true">
      <alignment horizontal="center"/>
    </xf>
    <xf numFmtId="0" fontId="1" fillId="26" borderId="1" xfId="0" applyFont="true" applyFill="true" applyBorder="true"/>
    <xf numFmtId="0" fontId="0" fillId="24" borderId="1" xfId="0" applyFill="true" applyBorder="true" applyAlignment="true">
      <alignment wrapText="true"/>
    </xf>
    <xf numFmtId="0" fontId="1" fillId="26" borderId="1" xfId="0" applyFont="true" applyFill="true" applyBorder="true" applyAlignment="true">
      <alignment horizontal="center" vertical="center"/>
    </xf>
    <xf numFmtId="0" fontId="0" fillId="0" borderId="6" xfId="0" applyBorder="true"/>
    <xf numFmtId="0" fontId="0" fillId="0" borderId="32" xfId="0" applyBorder="true"/>
    <xf numFmtId="0" fontId="7" fillId="0" borderId="1" xfId="0" applyFont="true" applyBorder="true"/>
    <xf numFmtId="0" fontId="7" fillId="0" borderId="1" xfId="0" applyFont="true" applyBorder="true" applyAlignment="true">
      <alignment vertical="center"/>
    </xf>
    <xf numFmtId="0" fontId="8" fillId="0" borderId="1" xfId="0" applyFont="true" applyBorder="true"/>
    <xf numFmtId="0" fontId="7" fillId="0" borderId="6" xfId="0" applyFont="true" applyBorder="true"/>
    <xf numFmtId="0" fontId="8" fillId="0" borderId="6" xfId="0" applyFont="true" applyBorder="true"/>
    <xf numFmtId="0" fontId="7" fillId="0" borderId="32" xfId="0" applyFont="true" applyBorder="true"/>
    <xf numFmtId="0" fontId="8" fillId="0" borderId="32" xfId="0" applyFont="true" applyBorder="true"/>
    <xf numFmtId="0" fontId="0" fillId="0" borderId="32" xfId="0" applyBorder="true" applyAlignment="true">
      <alignment horizontal="left" vertical="center"/>
    </xf>
    <xf numFmtId="0" fontId="3" fillId="0" borderId="32" xfId="0" applyFont="true" applyBorder="true" applyAlignment="true">
      <alignment horizontal="left" vertical="center"/>
    </xf>
    <xf numFmtId="0" fontId="0" fillId="0" borderId="8" xfId="0" applyBorder="true" applyAlignment="true">
      <alignment horizontal="right"/>
    </xf>
    <xf numFmtId="0" fontId="0" fillId="0" borderId="1" xfId="0" applyBorder="true" applyAlignment="true">
      <alignment horizontal="right"/>
    </xf>
    <xf numFmtId="11" fontId="0" fillId="0" borderId="1" xfId="0" applyNumberFormat="true" applyBorder="true"/>
    <xf numFmtId="0" fontId="1" fillId="26" borderId="1" xfId="0" applyFont="true" applyFill="true" applyBorder="true" applyAlignment="true">
      <alignment horizontal="left"/>
    </xf>
    <xf numFmtId="0" fontId="7" fillId="27" borderId="1" xfId="0" applyFont="true" applyFill="true" applyBorder="true"/>
    <xf numFmtId="0" fontId="8" fillId="27" borderId="1" xfId="0" applyFont="true" applyFill="true" applyBorder="true"/>
    <xf numFmtId="11" fontId="0" fillId="0" borderId="32" xfId="0" applyNumberFormat="true" applyBorder="true"/>
    <xf numFmtId="11" fontId="0" fillId="0" borderId="6" xfId="0" applyNumberFormat="true" applyBorder="true"/>
    <xf numFmtId="11" fontId="0" fillId="27" borderId="1" xfId="0" applyNumberFormat="true" applyFill="true" applyBorder="true"/>
    <xf numFmtId="10" fontId="0" fillId="0" borderId="1" xfId="0" applyNumberFormat="true" applyBorder="true"/>
    <xf numFmtId="0" fontId="0" fillId="0" borderId="23" xfId="0" applyBorder="true" applyAlignment="true">
      <alignment wrapText="true"/>
    </xf>
    <xf numFmtId="0" fontId="0" fillId="17" borderId="34" xfId="0" applyFill="true" applyBorder="true"/>
    <xf numFmtId="0" fontId="7" fillId="0" borderId="4" xfId="0" applyFont="true" applyBorder="true"/>
    <xf numFmtId="0" fontId="8" fillId="0" borderId="4" xfId="0" applyFont="true" applyBorder="true"/>
    <xf numFmtId="11" fontId="0" fillId="0" borderId="4" xfId="0" applyNumberFormat="true" applyBorder="true"/>
    <xf numFmtId="0" fontId="0" fillId="0" borderId="28" xfId="0" applyBorder="true"/>
    <xf numFmtId="0" fontId="0" fillId="0" borderId="34" xfId="0" applyBorder="true"/>
    <xf numFmtId="165" fontId="0" fillId="0" borderId="0" xfId="0" applyNumberFormat="true"/>
    <xf numFmtId="164" fontId="0" fillId="0" borderId="0" xfId="0" applyNumberFormat="true"/>
    <xf numFmtId="1" fontId="0" fillId="0" borderId="16" xfId="0" applyNumberFormat="true" applyBorder="true"/>
    <xf numFmtId="166" fontId="0" fillId="0" borderId="1" xfId="0" applyNumberFormat="true" applyBorder="true"/>
    <xf numFmtId="0" fontId="3" fillId="0" borderId="6" xfId="0" applyFont="true" applyBorder="true"/>
    <xf numFmtId="0" fontId="3" fillId="0" borderId="1" xfId="0" applyFont="true" applyBorder="true"/>
    <xf numFmtId="0" fontId="8" fillId="0" borderId="1" xfId="0" applyFont="true" applyBorder="true" applyAlignment="true">
      <alignment wrapText="true"/>
    </xf>
    <xf numFmtId="0" fontId="0" fillId="0" borderId="32" xfId="0" applyBorder="true" applyAlignment="true">
      <alignment horizontal="left"/>
    </xf>
    <xf numFmtId="0" fontId="3" fillId="0" borderId="32" xfId="0" applyFont="true" applyBorder="true" applyAlignment="true">
      <alignment horizontal="left"/>
    </xf>
    <xf numFmtId="0" fontId="7" fillId="0" borderId="35" xfId="0" applyFont="true" applyBorder="true"/>
    <xf numFmtId="0" fontId="8" fillId="0" borderId="35" xfId="0" applyFont="true" applyBorder="true"/>
    <xf numFmtId="11" fontId="0" fillId="0" borderId="35" xfId="0" applyNumberFormat="true" applyBorder="true"/>
    <xf numFmtId="1" fontId="0" fillId="0" borderId="34" xfId="0" applyNumberFormat="true" applyBorder="true"/>
    <xf numFmtId="0" fontId="7" fillId="0" borderId="8" xfId="0" applyFont="true" applyBorder="true"/>
    <xf numFmtId="1" fontId="7" fillId="0" borderId="8" xfId="0" applyNumberFormat="true" applyFont="true" applyBorder="true"/>
    <xf numFmtId="0" fontId="8" fillId="0" borderId="15" xfId="0" applyFont="true" applyBorder="true" applyAlignment="true">
      <alignment horizontal="left" indent="1"/>
    </xf>
    <xf numFmtId="0" fontId="7" fillId="0" borderId="9" xfId="0" applyFont="true" applyBorder="true"/>
    <xf numFmtId="2" fontId="7" fillId="0" borderId="9" xfId="0" applyNumberFormat="true" applyFont="true" applyBorder="true"/>
    <xf numFmtId="0" fontId="8" fillId="0" borderId="12" xfId="0" applyFont="true" applyBorder="true" applyAlignment="true">
      <alignment horizontal="left" indent="1"/>
    </xf>
    <xf numFmtId="164" fontId="1" fillId="8" borderId="1" xfId="0" applyNumberFormat="true" applyFont="true" applyFill="true" applyBorder="true"/>
    <xf numFmtId="164" fontId="1" fillId="28" borderId="1" xfId="0" applyNumberFormat="true" applyFont="true" applyFill="true" applyBorder="true"/>
    <xf numFmtId="1" fontId="1" fillId="0" borderId="1" xfId="0" applyNumberFormat="true" applyFont="true" applyBorder="true"/>
    <xf numFmtId="165" fontId="1" fillId="28" borderId="1" xfId="0" applyNumberFormat="true" applyFont="true" applyFill="true" applyBorder="true"/>
    <xf numFmtId="0" fontId="0" fillId="0" borderId="36" xfId="0" applyBorder="true"/>
    <xf numFmtId="0" fontId="1" fillId="0" borderId="1" xfId="0" applyFont="true" applyBorder="true"/>
    <xf numFmtId="165" fontId="0" fillId="28" borderId="1" xfId="0" applyNumberFormat="true" applyFill="true" applyBorder="true"/>
    <xf numFmtId="0" fontId="3" fillId="0" borderId="1" xfId="0" applyFont="true" applyBorder="true" applyAlignment="true">
      <alignment horizontal="left" indent="2"/>
    </xf>
    <xf numFmtId="164" fontId="3" fillId="0" borderId="1" xfId="0" applyNumberFormat="true" applyFont="true" applyBorder="true"/>
    <xf numFmtId="165" fontId="3" fillId="0" borderId="1" xfId="0" applyNumberFormat="true" applyFont="true" applyBorder="true"/>
    <xf numFmtId="0" fontId="0" fillId="0" borderId="24" xfId="0" applyBorder="true"/>
    <xf numFmtId="165" fontId="0" fillId="0" borderId="26" xfId="0" applyNumberFormat="true" applyBorder="true"/>
    <xf numFmtId="0" fontId="0" fillId="0" borderId="27" xfId="0" applyBorder="true"/>
    <xf numFmtId="165" fontId="0" fillId="0" borderId="28" xfId="0" applyNumberFormat="true" applyBorder="true"/>
    <xf numFmtId="0" fontId="0" fillId="0" borderId="29" xfId="0" applyBorder="true"/>
    <xf numFmtId="165" fontId="0" fillId="0" borderId="31" xfId="0" applyNumberFormat="true" applyBorder="true"/>
    <xf numFmtId="0" fontId="0" fillId="0" borderId="4" xfId="0" applyBorder="true" applyAlignment="true">
      <alignment horizontal="center" vertical="center"/>
    </xf>
    <xf numFmtId="0" fontId="0" fillId="0" borderId="5" xfId="0" applyBorder="true" applyAlignment="true">
      <alignment horizontal="center" vertical="center"/>
    </xf>
    <xf numFmtId="0" fontId="0" fillId="0" borderId="6" xfId="0" applyBorder="true" applyAlignment="true">
      <alignment horizontal="center" vertical="center"/>
    </xf>
    <xf numFmtId="0" fontId="0" fillId="0" borderId="1" xfId="0" applyBorder="true" applyAlignment="true">
      <alignment horizontal="center" vertical="center"/>
    </xf>
    <xf numFmtId="0" fontId="1" fillId="2" borderId="0" xfId="0" applyFont="true" applyFill="true" applyAlignment="true">
      <alignment horizontal="center"/>
    </xf>
    <xf numFmtId="0" fontId="1" fillId="2" borderId="3" xfId="0" applyFont="true" applyFill="true" applyBorder="true" applyAlignment="true">
      <alignment horizontal="center"/>
    </xf>
    <xf numFmtId="0" fontId="0" fillId="0" borderId="4" xfId="0" applyBorder="true" applyAlignment="true">
      <alignment horizontal="center" vertical="center" wrapText="true"/>
    </xf>
    <xf numFmtId="0" fontId="0" fillId="0" borderId="5" xfId="0" applyBorder="true" applyAlignment="true">
      <alignment horizontal="center" vertical="center" wrapText="true"/>
    </xf>
    <xf numFmtId="0" fontId="0" fillId="0" borderId="6" xfId="0" applyBorder="true" applyAlignment="true">
      <alignment horizontal="center" vertical="center" wrapText="true"/>
    </xf>
    <xf numFmtId="0" fontId="0" fillId="0" borderId="1" xfId="0" applyBorder="true" applyAlignment="true">
      <alignment horizontal="center" vertical="center" wrapText="true"/>
    </xf>
    <xf numFmtId="0" fontId="1" fillId="4" borderId="1" xfId="0" applyFont="true" applyFill="true" applyBorder="true" applyAlignment="true">
      <alignment horizontal="center"/>
    </xf>
    <xf numFmtId="0" fontId="0" fillId="0" borderId="13" xfId="0" applyBorder="true" applyAlignment="true">
      <alignment horizontal="center" vertical="center"/>
    </xf>
    <xf numFmtId="0" fontId="0" fillId="0" borderId="11" xfId="0" applyBorder="true" applyAlignment="true">
      <alignment horizontal="center" vertical="center"/>
    </xf>
    <xf numFmtId="0" fontId="0" fillId="0" borderId="10" xfId="0" applyBorder="true" applyAlignment="true">
      <alignment horizontal="center" vertical="center"/>
    </xf>
    <xf numFmtId="0" fontId="1" fillId="6" borderId="7" xfId="0" applyFont="true" applyFill="true" applyBorder="true" applyAlignment="true">
      <alignment horizontal="center"/>
    </xf>
    <xf numFmtId="0" fontId="1" fillId="6" borderId="8" xfId="0" applyFont="true" applyFill="true" applyBorder="true" applyAlignment="true">
      <alignment horizontal="center"/>
    </xf>
    <xf numFmtId="0" fontId="1" fillId="6" borderId="15" xfId="0" applyFont="true" applyFill="true" applyBorder="true" applyAlignment="true">
      <alignment horizontal="center"/>
    </xf>
    <xf numFmtId="0" fontId="1" fillId="10" borderId="1" xfId="0" applyFont="true" applyFill="true" applyBorder="true" applyAlignment="true">
      <alignment horizontal="center"/>
    </xf>
    <xf numFmtId="0" fontId="1" fillId="9" borderId="1" xfId="0" applyFont="true" applyFill="true" applyBorder="true" applyAlignment="true">
      <alignment horizontal="center"/>
    </xf>
    <xf numFmtId="0" fontId="1" fillId="13" borderId="1" xfId="0" applyFont="true" applyFill="true" applyBorder="true" applyAlignment="true">
      <alignment horizontal="center" vertical="center"/>
    </xf>
    <xf numFmtId="0" fontId="1" fillId="12" borderId="1" xfId="0" applyFont="true" applyFill="true" applyBorder="true" applyAlignment="true">
      <alignment horizontal="center"/>
    </xf>
    <xf numFmtId="0" fontId="1" fillId="15" borderId="1" xfId="0" applyFont="true" applyFill="true" applyBorder="true" applyAlignment="true">
      <alignment horizontal="center"/>
    </xf>
    <xf numFmtId="0" fontId="3" fillId="23" borderId="1" xfId="0" applyFont="true" applyFill="true" applyBorder="true" applyAlignment="true">
      <alignment horizontal="center"/>
    </xf>
    <xf numFmtId="0" fontId="1" fillId="25" borderId="1" xfId="0" applyFont="true" applyFill="true" applyBorder="true" applyAlignment="true">
      <alignment horizontal="center"/>
    </xf>
    <xf numFmtId="0" fontId="0" fillId="0" borderId="32" xfId="0" applyBorder="true" applyAlignment="true">
      <alignment horizontal="center" vertical="center"/>
    </xf>
    <xf numFmtId="0" fontId="0" fillId="21" borderId="1" xfId="0" applyFill="true" applyBorder="true" applyAlignment="true">
      <alignment horizontal="center"/>
    </xf>
    <xf numFmtId="0" fontId="0" fillId="22" borderId="1" xfId="0" applyFill="true" applyBorder="true" applyAlignment="true">
      <alignment horizontal="center" vertical="center"/>
    </xf>
    <xf numFmtId="0" fontId="3" fillId="22" borderId="4" xfId="0" applyFont="true" applyFill="true" applyBorder="true" applyAlignment="true">
      <alignment horizontal="center" vertical="center"/>
    </xf>
    <xf numFmtId="0" fontId="3" fillId="22" borderId="5" xfId="0" applyFont="true" applyFill="true" applyBorder="true" applyAlignment="true">
      <alignment horizontal="center" vertical="center"/>
    </xf>
    <xf numFmtId="0" fontId="3" fillId="22" borderId="6" xfId="0" applyFont="true" applyFill="true" applyBorder="true" applyAlignment="true">
      <alignment horizontal="center" vertical="center"/>
    </xf>
    <xf numFmtId="0" fontId="0" fillId="22" borderId="1" xfId="0" applyFill="true" applyBorder="true" applyAlignment="true">
      <alignment horizontal="center"/>
    </xf>
    <xf numFmtId="0" fontId="0" fillId="0" borderId="33" xfId="0" applyBorder="true" applyAlignment="true">
      <alignment horizontal="center" vertical="center" wrapText="true"/>
    </xf>
    <xf numFmtId="0" fontId="3" fillId="23" borderId="6" xfId="0" applyFont="true" applyFill="true" applyBorder="true" applyAlignment="true">
      <alignment horizontal="center"/>
    </xf>
    <xf numFmtId="0" fontId="6" fillId="18" borderId="24" xfId="0" applyFont="true" applyFill="true" applyBorder="true" applyAlignment="true">
      <alignment horizontal="center"/>
    </xf>
    <xf numFmtId="0" fontId="6" fillId="18" borderId="25" xfId="0" applyFont="true" applyFill="true" applyBorder="true" applyAlignment="true">
      <alignment horizontal="center"/>
    </xf>
    <xf numFmtId="0" fontId="6" fillId="18" borderId="26" xfId="0" applyFont="true" applyFill="true" applyBorder="true" applyAlignment="true">
      <alignment horizontal="center"/>
    </xf>
    <xf numFmtId="0" fontId="6" fillId="19" borderId="25" xfId="0" applyFont="true" applyFill="true" applyBorder="true" applyAlignment="true">
      <alignment horizontal="center"/>
    </xf>
    <xf numFmtId="0" fontId="6" fillId="19" borderId="26" xfId="0" applyFont="true" applyFill="true" applyBorder="true" applyAlignment="true">
      <alignment horizontal="center"/>
    </xf>
    <xf numFmtId="0" fontId="6" fillId="20" borderId="24" xfId="0" applyFont="true" applyFill="true" applyBorder="true" applyAlignment="true">
      <alignment horizontal="center"/>
    </xf>
    <xf numFmtId="0" fontId="6" fillId="20" borderId="25" xfId="0" applyFont="true" applyFill="true" applyBorder="true" applyAlignment="true">
      <alignment horizontal="center"/>
    </xf>
    <xf numFmtId="0" fontId="6" fillId="20" borderId="26" xfId="0" applyFont="true" applyFill="true" applyBorder="true" applyAlignment="true">
      <alignment horizontal="center"/>
    </xf>
    <xf numFmtId="22" fontId="0" fillId="0" borderId="37" xfId="0" applyNumberFormat="true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BD92D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?><Relationships xmlns="http://schemas.openxmlformats.org/package/2006/relationships"><Relationship Target="sharedStrings.xml" Type="http://schemas.openxmlformats.org/officeDocument/2006/relationships/sharedStrings" Id="rId8"/><Relationship Target="worksheets/sheet3.xml" Type="http://schemas.openxmlformats.org/officeDocument/2006/relationships/worksheet" Id="rId3"/><Relationship Target="styles.xml" Type="http://schemas.openxmlformats.org/officeDocument/2006/relationships/styles" Id="rId7"/><Relationship Target="worksheets/sheet2.xml" Type="http://schemas.openxmlformats.org/officeDocument/2006/relationships/worksheet" Id="rId2"/><Relationship Target="worksheets/sheet1.xml" Type="http://schemas.openxmlformats.org/officeDocument/2006/relationships/worksheet" Id="rId1"/><Relationship Target="theme/theme1.xml" Type="http://schemas.openxmlformats.org/officeDocument/2006/relationships/theme" Id="rId6"/><Relationship Target="worksheets/sheet5.xml" Type="http://schemas.openxmlformats.org/officeDocument/2006/relationships/worksheet" Id="rId5"/><Relationship Target="worksheets/sheet4.xml" Type="http://schemas.openxmlformats.org/officeDocument/2006/relationships/worksheet" Id="rId4"/></Relationships>
</file>

<file path=xl/charts/_rels/chart1.xml.rels><?xml version="1.0" encoding="UTF-8"?><Relationships xmlns="http://schemas.openxmlformats.org/package/2006/relationships"><Relationship Target="colors1.xml" Type="http://schemas.microsoft.com/office/2011/relationships/chartColorStyle" Id="rId2"/><Relationship Target="style1.xml" Type="http://schemas.microsoft.com/office/2011/relationships/chartStyle" Id="rId1"/></Relationships>
</file>

<file path=xl/charts/_rels/chart2.xml.rels><?xml version="1.0" encoding="UTF-8"?><Relationships xmlns="http://schemas.openxmlformats.org/package/2006/relationships"><Relationship Target="colors2.xml" Type="http://schemas.microsoft.com/office/2011/relationships/chartColorStyle" Id="rId2"/><Relationship Target="style2.xml" Type="http://schemas.microsoft.com/office/2011/relationships/chartStyle" Id="rId1"/></Relationships>
</file>

<file path=xl/charts/_rels/chart3.xml.rels><?xml version="1.0" encoding="UTF-8"?><Relationships xmlns="http://schemas.openxmlformats.org/package/2006/relationships"><Relationship Target="colors3.xml" Type="http://schemas.microsoft.com/office/2011/relationships/chartColorStyle" Id="rId2"/><Relationship Target="style3.xml" Type="http://schemas.microsoft.com/office/2011/relationships/chartStyle" Id="rId1"/></Relationships>
</file>

<file path=xl/charts/_rels/chart4.xml.rels><?xml version="1.0" encoding="UTF-8"?><Relationships xmlns="http://schemas.openxmlformats.org/package/2006/relationships"><Relationship Target="colors4.xml" Type="http://schemas.microsoft.com/office/2011/relationships/chartColorStyle" Id="rId2"/><Relationship Target="style4.xml" Type="http://schemas.microsoft.com/office/2011/relationships/chartStyle" Id="rId1"/></Relationships>
</file>

<file path=xl/charts/_rels/chart5.xml.rels><?xml version="1.0" encoding="UTF-8"?><Relationships xmlns="http://schemas.openxmlformats.org/package/2006/relationships"><Relationship Target="colors5.xml" Type="http://schemas.microsoft.com/office/2011/relationships/chartColorStyle" Id="rId2"/><Relationship Target="style5.xml" Type="http://schemas.microsoft.com/office/2011/relationships/chartStyle" Id="rId1"/></Relationships>
</file>

<file path=xl/charts/_rels/chart6.xml.rels><?xml version="1.0" encoding="UTF-8"?><Relationships xmlns="http://schemas.openxmlformats.org/package/2006/relationships"><Relationship Target="colors6.xml" Type="http://schemas.microsoft.com/office/2011/relationships/chartColorStyle" Id="rId2"/><Relationship Target="style6.xml" Type="http://schemas.microsoft.com/office/2011/relationships/chartStyle" Id="rId1"/></Relationships>
</file>

<file path=xl/charts/_rels/chart7.xml.rels><?xml version="1.0" encoding="UTF-8"?><Relationships xmlns="http://schemas.openxmlformats.org/package/2006/relationships"><Relationship Target="colors7.xml" Type="http://schemas.microsoft.com/office/2011/relationships/chartColorStyle" Id="rId2"/><Relationship Target="style7.xml" Type="http://schemas.microsoft.com/office/2011/relationships/chartStyle" Id="rId1"/></Relationships>
</file>

<file path=xl/charts/_rels/chart8.xml.rels><?xml version="1.0" encoding="UTF-8"?><Relationships xmlns="http://schemas.openxmlformats.org/package/2006/relationships"><Relationship Target="colors8.xml" Type="http://schemas.microsoft.com/office/2011/relationships/chartColorStyle" Id="rId2"/><Relationship Target="style8.xml" Type="http://schemas.microsoft.com/office/2011/relationships/chartStyle" Id="rId1"/></Relationships>
</file>

<file path=xl/charts/_rels/chart9.xml.rels><?xml version="1.0" encoding="UTF-8"?><Relationships xmlns="http://schemas.openxmlformats.org/package/2006/relationships"><Relationship Target="colors9.xml" Type="http://schemas.microsoft.com/office/2011/relationships/chartColorStyle" Id="rId2"/><Relationship Target="style9.xml" Type="http://schemas.microsoft.com/office/2011/relationships/chartStyle" Id="rId1"/></Relationships>
</file>

<file path=xl/charts/_rels/chart10.xml.rels><?xml version="1.0" encoding="UTF-8"?><Relationships xmlns="http://schemas.openxmlformats.org/package/2006/relationships"><Relationship Target="colors10.xml" Type="http://schemas.microsoft.com/office/2011/relationships/chartColorStyle" Id="rId2"/><Relationship Target="style10.xml" Type="http://schemas.microsoft.com/office/2011/relationships/chartStyle" Id="rId1"/></Relationships>
</file>

<file path=xl/charts/_rels/chart11.xml.rels><?xml version="1.0" encoding="UTF-8"?><Relationships xmlns="http://schemas.openxmlformats.org/package/2006/relationships"><Relationship Target="../theme/themeOverride1.xml" Type="http://schemas.openxmlformats.org/officeDocument/2006/relationships/themeOverride" Id="rId3"/><Relationship Target="colors11.xml" Type="http://schemas.microsoft.com/office/2011/relationships/chartColorStyle" Id="rId2"/><Relationship Target="style11.xml" Type="http://schemas.microsoft.com/office/2011/relationships/chartStyle" Id="rId1"/></Relationships>
</file>

<file path=xl/charts/_rels/chart12.xml.rels><?xml version="1.0" encoding="UTF-8"?><Relationships xmlns="http://schemas.openxmlformats.org/package/2006/relationships"><Relationship Target="colors12.xml" Type="http://schemas.microsoft.com/office/2011/relationships/chartColorStyle" Id="rId2"/><Relationship Target="style12.xml" Type="http://schemas.microsoft.com/office/2011/relationships/chartStyle" Id="rId1"/></Relationships>
</file>

<file path=xl/charts/_rels/chart13.xml.rels><?xml version="1.0" encoding="UTF-8"?><Relationships xmlns="http://schemas.openxmlformats.org/package/2006/relationships"><Relationship Target="colors13.xml" Type="http://schemas.microsoft.com/office/2011/relationships/chartColorStyle" Id="rId2"/><Relationship Target="style13.xml" Type="http://schemas.microsoft.com/office/2011/relationships/chartStyle" Id="rId1"/></Relationships>
</file>

<file path=xl/charts/_rels/chart14.xml.rels><?xml version="1.0" encoding="UTF-8"?><Relationships xmlns="http://schemas.openxmlformats.org/package/2006/relationships"><Relationship Target="colors14.xml" Type="http://schemas.microsoft.com/office/2011/relationships/chartColorStyle" Id="rId2"/><Relationship Target="style14.xml" Type="http://schemas.microsoft.com/office/2011/relationships/chartStyle" Id="rId1"/></Relationships>
</file>

<file path=xl/charts/_rels/chart15.xml.rels><?xml version="1.0" encoding="UTF-8"?><Relationships xmlns="http://schemas.openxmlformats.org/package/2006/relationships"><Relationship Target="colors15.xml" Type="http://schemas.microsoft.com/office/2011/relationships/chartColorStyle" Id="rId2"/><Relationship Target="style15.xml" Type="http://schemas.microsoft.com/office/2011/relationships/chartStyle" Id="rId1"/></Relationships>
</file>

<file path=xl/charts/_rels/chart16.xml.rels><?xml version="1.0" encoding="UTF-8"?><Relationships xmlns="http://schemas.openxmlformats.org/package/2006/relationships"><Relationship Target="colors16.xml" Type="http://schemas.microsoft.com/office/2011/relationships/chartColorStyle" Id="rId2"/><Relationship Target="style16.xml" Type="http://schemas.microsoft.com/office/2011/relationships/chartStyle" Id="rId1"/></Relationships>
</file>

<file path=xl/charts/_rels/chart17.xml.rels><?xml version="1.0" encoding="UTF-8"?><Relationships xmlns="http://schemas.openxmlformats.org/package/2006/relationships"><Relationship Target="colors17.xml" Type="http://schemas.microsoft.com/office/2011/relationships/chartColorStyle" Id="rId2"/><Relationship Target="style17.xml" Type="http://schemas.microsoft.com/office/2011/relationships/chartStyle" Id="rId1"/></Relationships>
</file>

<file path=xl/charts/_rels/chart18.xml.rels><?xml version="1.0" encoding="UTF-8"?><Relationships xmlns="http://schemas.openxmlformats.org/package/2006/relationships"><Relationship Target="colors18.xml" Type="http://schemas.microsoft.com/office/2011/relationships/chartColorStyle" Id="rId2"/><Relationship Target="style18.xml" Type="http://schemas.microsoft.com/office/2011/relationships/chartStyle" Id="rId1"/></Relationships>
</file>

<file path=xl/charts/_rels/chart19.xml.rels><?xml version="1.0" encoding="UTF-8"?><Relationships xmlns="http://schemas.openxmlformats.org/package/2006/relationships"><Relationship Target="colors19.xml" Type="http://schemas.microsoft.com/office/2011/relationships/chartColorStyle" Id="rId2"/><Relationship Target="style19.xml" Type="http://schemas.microsoft.com/office/2011/relationships/chartStyle" Id="rId1"/></Relationships>
</file>

<file path=xl/charts/_rels/chart20.xml.rels><?xml version="1.0" encoding="UTF-8"?><Relationships xmlns="http://schemas.openxmlformats.org/package/2006/relationships"><Relationship Target="colors20.xml" Type="http://schemas.microsoft.com/office/2011/relationships/chartColorStyle" Id="rId2"/><Relationship Target="style20.xml" Type="http://schemas.microsoft.com/office/2011/relationships/chartStyle" Id="rId1"/></Relationships>
</file>

<file path=xl/charts/_rels/chart21.xml.rels><?xml version="1.0" encoding="UTF-8"?><Relationships xmlns="http://schemas.openxmlformats.org/package/2006/relationships"><Relationship Target="colors21.xml" Type="http://schemas.microsoft.com/office/2011/relationships/chartColorStyle" Id="rId2"/><Relationship Target="style21.xml" Type="http://schemas.microsoft.com/office/2011/relationships/chartStyle" Id="rId1"/></Relationships>
</file>

<file path=xl/charts/_rels/chart22.xml.rels><?xml version="1.0" encoding="UTF-8"?><Relationships xmlns="http://schemas.openxmlformats.org/package/2006/relationships"><Relationship Target="../theme/themeOverride2.xml" Type="http://schemas.openxmlformats.org/officeDocument/2006/relationships/themeOverride" Id="rId3"/><Relationship Target="colors22.xml" Type="http://schemas.microsoft.com/office/2011/relationships/chartColorStyle" Id="rId2"/><Relationship Target="style22.xml" Type="http://schemas.microsoft.com/office/2011/relationships/chartStyle" Id="rId1"/></Relationships>
</file>

<file path=xl/charts/_rels/chart23.xml.rels><?xml version="1.0" encoding="UTF-8"?><Relationships xmlns="http://schemas.openxmlformats.org/package/2006/relationships"><Relationship Target="colors23.xml" Type="http://schemas.microsoft.com/office/2011/relationships/chartColorStyle" Id="rId2"/><Relationship Target="style23.xml" Type="http://schemas.microsoft.com/office/2011/relationships/chartStyle" Id="rId1"/></Relationships>
</file>

<file path=xl/charts/_rels/chart24.xml.rels><?xml version="1.0" encoding="UTF-8"?><Relationships xmlns="http://schemas.openxmlformats.org/package/2006/relationships"><Relationship Target="colors24.xml" Type="http://schemas.microsoft.com/office/2011/relationships/chartColorStyle" Id="rId2"/><Relationship Target="style24.xml" Type="http://schemas.microsoft.com/office/2011/relationships/chartStyle" Id="rId1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Annual Cultivation Energy</a:t>
            </a:r>
          </a:p>
        </c:rich>
      </c:tx>
      <c:layout>
        <c:manualLayout>
          <c:xMode val="edge"/>
          <c:yMode val="edge"/>
          <c:x val="0.31108900861076577"/>
          <c:y val="2.815484722590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3116705806511029"/>
          <c:y val="0.1491804690869912"/>
          <c:w val="0.42884123037251926"/>
          <c:h val="0.7575132904180409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'Process Model Outputs'!$B$13</c:f>
              <c:strCache>
                <c:ptCount val="1"/>
                <c:pt idx="0">
                  <c:v>Pumping Energy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Cultivation Energy</c:v>
              </c:pt>
            </c:strLit>
          </c:cat>
          <c:val>
            <c:numRef>
              <c:f>'Process Model Outputs'!$C$13</c:f>
              <c:numCache>
                <c:formatCode>0</c:formatCode>
                <c:ptCount val="1"/>
                <c:pt idx="0">
                  <c:v>16645553.797225002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5F-447D-8E88-677D9129BE8C}"/>
            </c:ext>
          </c:extLst>
        </c:ser>
        <c:ser>
          <c:idx val="1"/>
          <c:order val="1"/>
          <c:tx>
            <c:strRef>
              <c:f>'Process Model Outputs'!$B$14</c:f>
              <c:strCache>
                <c:ptCount val="1"/>
                <c:pt idx="0">
                  <c:v>Paddlewheel Energy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Cultivation Energy</c:v>
              </c:pt>
            </c:strLit>
          </c:cat>
          <c:val>
            <c:numRef>
              <c:f>'Process Model Outputs'!$C$14</c:f>
              <c:numCache>
                <c:formatCode>0</c:formatCode>
                <c:ptCount val="1"/>
                <c:pt idx="0">
                  <c:v>40658691.375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75F-447D-8E88-677D9129BE8C}"/>
            </c:ext>
          </c:extLst>
        </c:ser>
        <c:ser>
          <c:idx val="2"/>
          <c:order val="2"/>
          <c:tx>
            <c:strRef>
              <c:f>'Process Model Outputs'!$B$15</c:f>
              <c:strCache>
                <c:ptCount val="1"/>
                <c:pt idx="0">
                  <c:v>Sparging Energy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Cultivation Energy</c:v>
              </c:pt>
            </c:strLit>
          </c:cat>
          <c:val>
            <c:numRef>
              <c:f>'Process Model Outputs'!$C$15</c:f>
              <c:numCache>
                <c:formatCode>0</c:formatCode>
                <c:ptCount val="1"/>
                <c:pt idx="0">
                  <c:v>12746014.4036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75F-447D-8E88-677D9129BE8C}"/>
            </c:ext>
          </c:extLst>
        </c:ser>
        <c:ser>
          <c:idx val="3"/>
          <c:order val="3"/>
          <c:tx>
            <c:strRef>
              <c:f>'Process Model Outputs'!$B$16</c:f>
              <c:strCache>
                <c:ptCount val="1"/>
                <c:pt idx="0">
                  <c:v>Membrane Energy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Cultivation Energy</c:v>
              </c:pt>
            </c:strLit>
          </c:cat>
          <c:val>
            <c:numRef>
              <c:f>'Process Model Outputs'!$C$16</c:f>
              <c:numCache>
                <c:formatCode>0</c:formatCode>
                <c:ptCount val="1"/>
                <c:pt idx="0">
                  <c:v>676231.28877500002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75F-447D-8E88-677D9129BE8C}"/>
            </c:ext>
          </c:extLst>
        </c:ser>
        <c:ser>
          <c:idx val="4"/>
          <c:order val="4"/>
          <c:tx>
            <c:strRef>
              <c:f>'Process Model Outputs'!$B$17</c:f>
              <c:strCache>
                <c:ptCount val="1"/>
                <c:pt idx="0">
                  <c:v>Centrifuge Energy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Cultivation Energy</c:v>
              </c:pt>
            </c:strLit>
          </c:cat>
          <c:val>
            <c:numRef>
              <c:f>'Process Model Outputs'!$C$17</c:f>
              <c:numCache>
                <c:formatCode>0</c:formatCode>
                <c:ptCount val="1"/>
                <c:pt idx="0">
                  <c:v>1746822.4589499999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75F-447D-8E88-677D9129BE8C}"/>
            </c:ext>
          </c:extLst>
        </c:ser>
        <c:ser>
          <c:idx val="5"/>
          <c:order val="5"/>
          <c:tx>
            <c:strRef>
              <c:f>'Process Model Outputs'!$B$18</c:f>
              <c:strCache>
                <c:ptCount val="1"/>
                <c:pt idx="0">
                  <c:v>UV Sterilization Energy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Cultivation Energy</c:v>
              </c:pt>
            </c:strLit>
          </c:cat>
          <c:val>
            <c:numRef>
              <c:f>'Process Model Outputs'!$C$18</c:f>
              <c:numCache>
                <c:formatCode>0</c:formatCode>
                <c:ptCount val="1"/>
                <c:pt idx="0">
                  <c:v>43587.476125000001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75F-447D-8E88-677D9129BE8C}"/>
            </c:ext>
          </c:extLst>
        </c:ser>
        <c:ser>
          <c:idx val="6"/>
          <c:order val="6"/>
          <c:tx>
            <c:strRef>
              <c:f>'Process Model Outputs'!$B$19</c:f>
              <c:strCache>
                <c:ptCount val="1"/>
                <c:pt idx="0">
                  <c:v>Makeup Water Pumping Energy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Cultivation Energy</c:v>
              </c:pt>
            </c:strLit>
          </c:cat>
          <c:val>
            <c:numRef>
              <c:f>'Process Model Outputs'!$C$19</c:f>
              <c:numCache>
                <c:formatCode>0</c:formatCode>
                <c:ptCount val="1"/>
                <c:pt idx="0">
                  <c:v>5709052.2093749996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34-4FDC-ABFF-A95A5D7004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17939872"/>
        <c:axId val="917924064"/>
      </c:barChart>
      <c:catAx>
        <c:axId val="91793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7924064"/>
        <c:crosses val="autoZero"/>
        <c:auto val="1"/>
        <c:lblAlgn val="ctr"/>
        <c:lblOffset val="100"/>
        <c:noMultiLvlLbl val="0"/>
      </c:catAx>
      <c:valAx>
        <c:axId val="91792406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>
                    <a:solidFill>
                      <a:sysClr val="windowText" lastClr="000000"/>
                    </a:solidFill>
                  </a:rPr>
                  <a:t>Cultivation Energy by Equipment </a:t>
                </a:r>
              </a:p>
              <a:p>
                <a:pPr>
                  <a:defRPr sz="1200">
                    <a:solidFill>
                      <a:sysClr val="windowText" lastClr="000000"/>
                    </a:solidFill>
                  </a:defRPr>
                </a:pPr>
                <a:r>
                  <a:rPr lang="en-US" sz="1200">
                    <a:solidFill>
                      <a:sysClr val="windowText" lastClr="000000"/>
                    </a:solidFill>
                  </a:rPr>
                  <a:t>(MWh/yr)</a:t>
                </a:r>
              </a:p>
            </c:rich>
          </c:tx>
          <c:layout>
            <c:manualLayout>
              <c:xMode val="edge"/>
              <c:yMode val="edge"/>
              <c:x val="2.3391812865497075E-2"/>
              <c:y val="0.1600940352895198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7939872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5182115393470554"/>
          <c:y val="0.28256825916258882"/>
          <c:w val="0.43063498641617165"/>
          <c:h val="0.4037838300078869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HTL</a:t>
            </a:r>
            <a:r>
              <a:rPr lang="en-US" b="1" baseline="0">
                <a:solidFill>
                  <a:sysClr val="windowText" lastClr="000000"/>
                </a:solidFill>
              </a:rPr>
              <a:t> Phase Yields</a:t>
            </a:r>
            <a:endParaRPr lang="en-US" b="1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38247900262467194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800721784776903"/>
          <c:y val="0.18560185185185185"/>
          <c:w val="0.40287467191601051"/>
          <c:h val="0.6714577865266842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4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6C-4F01-90D7-B7EABB0CC3FB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096C-4F01-90D7-B7EABB0CC3FB}"/>
              </c:ext>
            </c:extLst>
          </c:dPt>
          <c:dPt>
            <c:idx val="2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6C-4F01-90D7-B7EABB0CC3FB}"/>
              </c:ext>
            </c:extLst>
          </c:dPt>
          <c:dPt>
            <c:idx val="3"/>
            <c:bubble3D val="0"/>
            <c:spPr>
              <a:solidFill>
                <a:schemeClr val="accent4">
                  <a:lumMod val="20000"/>
                  <a:lumOff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096C-4F01-90D7-B7EABB0CC3FB}"/>
              </c:ext>
            </c:extLst>
          </c:dPt>
          <c:dLbls>
            <c:dLbl>
              <c:idx val="1"/>
              <c:layout>
                <c:manualLayout>
                  <c:x val="0.12654483814523185"/>
                  <c:y val="-0.13082567804024497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96C-4F01-90D7-B7EABB0CC3FB}"/>
                </c:ext>
              </c:extLst>
            </c:dLbl>
            <c:dLbl>
              <c:idx val="2"/>
              <c:layout>
                <c:manualLayout>
                  <c:x val="9.5223753280839901E-2"/>
                  <c:y val="5.67691017789443E-2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96C-4F01-90D7-B7EABB0CC3FB}"/>
                </c:ext>
              </c:extLst>
            </c:dLbl>
            <c:dLbl>
              <c:idx val="3"/>
              <c:layout>
                <c:manualLayout>
                  <c:x val="7.8050962379702535E-2"/>
                  <c:y val="0.1312153689122193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96C-4F01-90D7-B7EABB0CC3FB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'Process Model Outputs'!$B$43:$B$46</c:f>
              <c:strCache>
                <c:ptCount val="4"/>
                <c:pt idx="0">
                  <c:v>Biocrude Yield</c:v>
                </c:pt>
                <c:pt idx="1">
                  <c:v>Aqueous Phase Yield</c:v>
                </c:pt>
                <c:pt idx="2">
                  <c:v>Solids Yield</c:v>
                </c:pt>
                <c:pt idx="3">
                  <c:v>Gas Yield</c:v>
                </c:pt>
              </c:strCache>
            </c:strRef>
          </c:cat>
          <c:val>
            <c:numRef>
              <c:f>'Process Model Outputs'!$C$43:$C$46</c:f>
              <c:numCache>
                <c:formatCode>0.00</c:formatCode>
                <c:ptCount val="4"/>
                <c:pt idx="0">
                  <c:v>0.4752575</c:v>
                </c:pt>
                <c:pt idx="1">
                  <c:v>0.10582999999999999</c:v>
                </c:pt>
                <c:pt idx="2">
                  <c:v>0.18618000000000001</c:v>
                </c:pt>
                <c:pt idx="3">
                  <c:v>0.21264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6C-4F01-90D7-B7EABB0CC3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9697134733158352"/>
          <c:y val="0.33391149023038791"/>
          <c:w val="0.29772375328083989"/>
          <c:h val="0.342014435695538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Cultivation and Dewatering CAPEX</a:t>
            </a:r>
          </a:p>
        </c:rich>
      </c:tx>
      <c:layout>
        <c:manualLayout>
          <c:xMode val="edge"/>
          <c:yMode val="edge"/>
          <c:x val="0.23198327897799961"/>
          <c:y val="1.442741071714266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8179812960273173"/>
          <c:y val="0.11107307559262672"/>
          <c:w val="0.46360410773895983"/>
          <c:h val="0.8242118458887465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'TEA Outputs'!$B$11</c:f>
              <c:strCache>
                <c:ptCount val="1"/>
                <c:pt idx="0">
                  <c:v>Total ORP Capital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 &amp; DW Capital</c:v>
              </c:pt>
            </c:strLit>
          </c:cat>
          <c:val>
            <c:numRef>
              <c:f>'TEA Outputs'!$C$11</c:f>
              <c:numCache>
                <c:formatCode>"$"#,##0</c:formatCode>
                <c:ptCount val="1"/>
                <c:pt idx="0">
                  <c:v>186575107.9023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E9-4710-8FE1-A49D09F4F534}"/>
            </c:ext>
          </c:extLst>
        </c:ser>
        <c:ser>
          <c:idx val="1"/>
          <c:order val="1"/>
          <c:tx>
            <c:strRef>
              <c:f>'TEA Outputs'!$B$18</c:f>
              <c:strCache>
                <c:ptCount val="1"/>
                <c:pt idx="0">
                  <c:v>Total Inoculation System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 &amp; DW Capital</c:v>
              </c:pt>
            </c:strLit>
          </c:cat>
          <c:val>
            <c:numRef>
              <c:f>'TEA Outputs'!$C$18</c:f>
              <c:numCache>
                <c:formatCode>"$"#,##0</c:formatCode>
                <c:ptCount val="1"/>
                <c:pt idx="0">
                  <c:v>16704159.3409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4E9-4710-8FE1-A49D09F4F534}"/>
            </c:ext>
          </c:extLst>
        </c:ser>
        <c:ser>
          <c:idx val="2"/>
          <c:order val="2"/>
          <c:tx>
            <c:strRef>
              <c:f>'TEA Outputs'!$B$25</c:f>
              <c:strCache>
                <c:ptCount val="1"/>
                <c:pt idx="0">
                  <c:v>Total CO2 Delivery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 &amp; DW Capital</c:v>
              </c:pt>
            </c:strLit>
          </c:cat>
          <c:val>
            <c:numRef>
              <c:f>'TEA Outputs'!$C$25</c:f>
              <c:numCache>
                <c:formatCode>"$"#,##0</c:formatCode>
                <c:ptCount val="1"/>
                <c:pt idx="0">
                  <c:v>8503459.8478999995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4E9-4710-8FE1-A49D09F4F534}"/>
            </c:ext>
          </c:extLst>
        </c:ser>
        <c:ser>
          <c:idx val="3"/>
          <c:order val="3"/>
          <c:tx>
            <c:strRef>
              <c:f>'TEA Outputs'!$B$36</c:f>
              <c:strCache>
                <c:ptCount val="1"/>
                <c:pt idx="0">
                  <c:v>Total Water Delivery and Circulation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 &amp; DW Capital</c:v>
              </c:pt>
            </c:strLit>
          </c:cat>
          <c:val>
            <c:numRef>
              <c:f>'TEA Outputs'!$C$36</c:f>
              <c:numCache>
                <c:formatCode>"$"#,##0</c:formatCode>
                <c:ptCount val="1"/>
                <c:pt idx="0">
                  <c:v>7805390.4827750009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4E9-4710-8FE1-A49D09F4F534}"/>
            </c:ext>
          </c:extLst>
        </c:ser>
        <c:ser>
          <c:idx val="4"/>
          <c:order val="4"/>
          <c:tx>
            <c:strRef>
              <c:f>'TEA Outputs'!$B$44</c:f>
              <c:strCache>
                <c:ptCount val="1"/>
                <c:pt idx="0">
                  <c:v>Total Dewatering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 &amp; DW Capital</c:v>
              </c:pt>
            </c:strLit>
          </c:cat>
          <c:val>
            <c:numRef>
              <c:f>'TEA Outputs'!$C$44</c:f>
              <c:numCache>
                <c:formatCode>"$"#,##0</c:formatCode>
                <c:ptCount val="1"/>
                <c:pt idx="0">
                  <c:v>62175782.387724996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4E9-4710-8FE1-A49D09F4F534}"/>
            </c:ext>
          </c:extLst>
        </c:ser>
        <c:ser>
          <c:idx val="5"/>
          <c:order val="5"/>
          <c:tx>
            <c:strRef>
              <c:f>'TEA Outputs'!$B$49</c:f>
              <c:strCache>
                <c:ptCount val="1"/>
                <c:pt idx="0">
                  <c:v>Total Storage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 &amp; DW Capital</c:v>
              </c:pt>
            </c:strLit>
          </c:cat>
          <c:val>
            <c:numRef>
              <c:f>'TEA Outputs'!$C$49</c:f>
              <c:numCache>
                <c:formatCode>"$"#,##0</c:formatCode>
                <c:ptCount val="1"/>
                <c:pt idx="0">
                  <c:v>5546807.9496749993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4E9-4710-8FE1-A49D09F4F534}"/>
            </c:ext>
          </c:extLst>
        </c:ser>
        <c:ser>
          <c:idx val="6"/>
          <c:order val="6"/>
          <c:tx>
            <c:strRef>
              <c:f>'TEA Outputs'!$B$53</c:f>
              <c:strCache>
                <c:ptCount val="1"/>
                <c:pt idx="0">
                  <c:v>Total Additional Direct Capital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 &amp; DW Capital</c:v>
              </c:pt>
            </c:strLit>
          </c:cat>
          <c:val>
            <c:numRef>
              <c:f>'TEA Outputs'!$C$53</c:f>
              <c:numCache>
                <c:formatCode>"$"#,##0</c:formatCode>
                <c:ptCount val="1"/>
                <c:pt idx="0">
                  <c:v>24978513.124775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4E9-4710-8FE1-A49D09F4F534}"/>
            </c:ext>
          </c:extLst>
        </c:ser>
        <c:ser>
          <c:idx val="7"/>
          <c:order val="7"/>
          <c:tx>
            <c:strRef>
              <c:f>'TEA Outputs'!$B$59</c:f>
              <c:strCache>
                <c:ptCount val="1"/>
                <c:pt idx="0">
                  <c:v>Total Additional Indirect Capital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 &amp; DW Capital</c:v>
              </c:pt>
            </c:strLit>
          </c:cat>
          <c:val>
            <c:numRef>
              <c:f>'TEA Outputs'!$C$59</c:f>
              <c:numCache>
                <c:formatCode>"$"#,##0</c:formatCode>
                <c:ptCount val="1"/>
                <c:pt idx="0">
                  <c:v>104194951.50624999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4E9-4710-8FE1-A49D09F4F534}"/>
            </c:ext>
          </c:extLst>
        </c:ser>
        <c:ser>
          <c:idx val="8"/>
          <c:order val="8"/>
          <c:tx>
            <c:strRef>
              <c:f>'TEA Outputs'!$B$61</c:f>
              <c:strCache>
                <c:ptCount val="1"/>
                <c:pt idx="0">
                  <c:v>Land Capital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 &amp; DW Capital</c:v>
              </c:pt>
            </c:strLit>
          </c:cat>
          <c:val>
            <c:numRef>
              <c:f>'TEA Outputs'!$C$61</c:f>
              <c:numCache>
                <c:formatCode>"$"#,##0</c:formatCode>
                <c:ptCount val="1"/>
                <c:pt idx="0">
                  <c:v>24042700.920000002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4E9-4710-8FE1-A49D09F4F5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1"/>
        <c:overlap val="100"/>
        <c:axId val="1535503968"/>
        <c:axId val="1535493152"/>
      </c:barChart>
      <c:catAx>
        <c:axId val="1535503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5493152"/>
        <c:crosses val="autoZero"/>
        <c:auto val="1"/>
        <c:lblAlgn val="ctr"/>
        <c:lblOffset val="100"/>
        <c:noMultiLvlLbl val="0"/>
      </c:catAx>
      <c:valAx>
        <c:axId val="153549315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>
                    <a:solidFill>
                      <a:sysClr val="windowText" lastClr="000000"/>
                    </a:solidFill>
                  </a:rPr>
                  <a:t>Capital Investment</a:t>
                </a:r>
                <a:r>
                  <a:rPr lang="en-US" sz="1200" baseline="0">
                    <a:solidFill>
                      <a:sysClr val="windowText" lastClr="000000"/>
                    </a:solidFill>
                  </a:rPr>
                  <a:t> (MM USD)</a:t>
                </a:r>
                <a:endParaRPr lang="en-US" sz="120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4.8470504293759403E-2"/>
              <c:y val="0.1938252575491615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5503968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9428545218255491"/>
          <c:y val="0.33930013425822753"/>
          <c:w val="0.38241357694365868"/>
          <c:h val="0.3624938063428729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Cultivation &amp; Dewatering OPEX</a:t>
            </a:r>
          </a:p>
        </c:rich>
      </c:tx>
      <c:layout>
        <c:manualLayout>
          <c:xMode val="edge"/>
          <c:yMode val="edge"/>
          <c:x val="0.27515738829479247"/>
          <c:y val="1.80790939004885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39403257516529"/>
          <c:y val="0.11175893212818694"/>
          <c:w val="0.4726670221431305"/>
          <c:h val="0.809938661572885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'TEA Outputs'!$G$3</c:f>
              <c:strCache>
                <c:ptCount val="1"/>
                <c:pt idx="0">
                  <c:v>Electricity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 &amp; DW OPEX</c:v>
              </c:pt>
            </c:strLit>
          </c:cat>
          <c:val>
            <c:numRef>
              <c:f>'TEA Outputs'!$H$3</c:f>
              <c:numCache>
                <c:formatCode>"$"#,##0</c:formatCode>
                <c:ptCount val="1"/>
                <c:pt idx="0">
                  <c:v>5475816.7106250003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35-401F-A38D-B31F707A16F1}"/>
            </c:ext>
          </c:extLst>
        </c:ser>
        <c:ser>
          <c:idx val="1"/>
          <c:order val="1"/>
          <c:tx>
            <c:strRef>
              <c:f>'TEA Outputs'!$G$4</c:f>
              <c:strCache>
                <c:ptCount val="1"/>
                <c:pt idx="0">
                  <c:v>Ammonia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 &amp; DW OPEX</c:v>
              </c:pt>
            </c:strLit>
          </c:cat>
          <c:val>
            <c:numRef>
              <c:f>'TEA Outputs'!$H$4</c:f>
              <c:numCache>
                <c:formatCode>"$"#,##0</c:formatCode>
                <c:ptCount val="1"/>
                <c:pt idx="0">
                  <c:v>3241555.284825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35-401F-A38D-B31F707A16F1}"/>
            </c:ext>
          </c:extLst>
        </c:ser>
        <c:ser>
          <c:idx val="2"/>
          <c:order val="2"/>
          <c:tx>
            <c:strRef>
              <c:f>'TEA Outputs'!$G$5</c:f>
              <c:strCache>
                <c:ptCount val="1"/>
                <c:pt idx="0">
                  <c:v>DAP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 &amp; DW OPEX</c:v>
              </c:pt>
            </c:strLit>
          </c:cat>
          <c:val>
            <c:numRef>
              <c:f>'TEA Outputs'!$H$5</c:f>
              <c:numCache>
                <c:formatCode>"$"#,##0</c:formatCode>
                <c:ptCount val="1"/>
                <c:pt idx="0">
                  <c:v>1502773.1460250001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35-401F-A38D-B31F707A16F1}"/>
            </c:ext>
          </c:extLst>
        </c:ser>
        <c:ser>
          <c:idx val="3"/>
          <c:order val="3"/>
          <c:tx>
            <c:strRef>
              <c:f>'TEA Outputs'!$G$6</c:f>
              <c:strCache>
                <c:ptCount val="1"/>
                <c:pt idx="0">
                  <c:v>Cultivation CO2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 &amp; DW OPEX</c:v>
              </c:pt>
            </c:strLit>
          </c:cat>
          <c:val>
            <c:numRef>
              <c:f>'TEA Outputs'!$H$6</c:f>
              <c:numCache>
                <c:formatCode>"$"#,##0</c:formatCode>
                <c:ptCount val="1"/>
                <c:pt idx="0">
                  <c:v>14669326.040625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D35-401F-A38D-B31F707A16F1}"/>
            </c:ext>
          </c:extLst>
        </c:ser>
        <c:ser>
          <c:idx val="4"/>
          <c:order val="4"/>
          <c:tx>
            <c:strRef>
              <c:f>'TEA Outputs'!$G$7</c:f>
              <c:strCache>
                <c:ptCount val="1"/>
                <c:pt idx="0">
                  <c:v>Labor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 &amp; DW OPEX</c:v>
              </c:pt>
            </c:strLit>
          </c:cat>
          <c:val>
            <c:numRef>
              <c:f>'TEA Outputs'!$H$7</c:f>
              <c:numCache>
                <c:formatCode>"$"#,##0</c:formatCode>
                <c:ptCount val="1"/>
                <c:pt idx="0">
                  <c:v>4361224.4435999999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D35-401F-A38D-B31F707A16F1}"/>
            </c:ext>
          </c:extLst>
        </c:ser>
        <c:ser>
          <c:idx val="5"/>
          <c:order val="5"/>
          <c:tx>
            <c:strRef>
              <c:f>'TEA Outputs'!$G$8</c:f>
              <c:strCache>
                <c:ptCount val="1"/>
                <c:pt idx="0">
                  <c:v>Labor Burdens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 &amp; DW OPEX</c:v>
              </c:pt>
            </c:strLit>
          </c:cat>
          <c:val>
            <c:numRef>
              <c:f>'TEA Outputs'!$H$8</c:f>
              <c:numCache>
                <c:formatCode>"$"#,##0</c:formatCode>
                <c:ptCount val="1"/>
                <c:pt idx="0">
                  <c:v>3925101.9992999998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D35-401F-A38D-B31F707A16F1}"/>
            </c:ext>
          </c:extLst>
        </c:ser>
        <c:ser>
          <c:idx val="6"/>
          <c:order val="6"/>
          <c:tx>
            <c:strRef>
              <c:f>'TEA Outputs'!$G$9</c:f>
              <c:strCache>
                <c:ptCount val="1"/>
                <c:pt idx="0">
                  <c:v>Maintenance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 &amp; DW OPEX</c:v>
              </c:pt>
            </c:strLit>
          </c:cat>
          <c:val>
            <c:numRef>
              <c:f>'TEA Outputs'!$H$9</c:f>
              <c:numCache>
                <c:formatCode>"$"#,##0</c:formatCode>
                <c:ptCount val="1"/>
                <c:pt idx="0">
                  <c:v>2963214.0595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D35-401F-A38D-B31F707A16F1}"/>
            </c:ext>
          </c:extLst>
        </c:ser>
        <c:ser>
          <c:idx val="7"/>
          <c:order val="7"/>
          <c:tx>
            <c:strRef>
              <c:f>'TEA Outputs'!$G$10</c:f>
              <c:strCache>
                <c:ptCount val="1"/>
                <c:pt idx="0">
                  <c:v>Property Tax and Insurance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 &amp; DW OPEX</c:v>
              </c:pt>
            </c:strLit>
          </c:cat>
          <c:val>
            <c:numRef>
              <c:f>'TEA Outputs'!$H$10</c:f>
              <c:numCache>
                <c:formatCode>"$"#,##0</c:formatCode>
                <c:ptCount val="1"/>
                <c:pt idx="0">
                  <c:v>2915389.207775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D35-401F-A38D-B31F707A16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1657272448"/>
        <c:axId val="1657270784"/>
      </c:barChart>
      <c:catAx>
        <c:axId val="1657272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270784"/>
        <c:crosses val="autoZero"/>
        <c:auto val="1"/>
        <c:lblAlgn val="ctr"/>
        <c:lblOffset val="100"/>
        <c:noMultiLvlLbl val="0"/>
      </c:catAx>
      <c:valAx>
        <c:axId val="165727078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>
                    <a:solidFill>
                      <a:sysClr val="windowText" lastClr="000000"/>
                    </a:solidFill>
                  </a:rPr>
                  <a:t>Operational</a:t>
                </a:r>
                <a:r>
                  <a:rPr lang="en-US" sz="1200" baseline="0">
                    <a:solidFill>
                      <a:sysClr val="windowText" lastClr="000000"/>
                    </a:solidFill>
                  </a:rPr>
                  <a:t> Expenses (MM USD/yr)</a:t>
                </a:r>
                <a:endParaRPr lang="en-US" sz="120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2.9029532897383976E-2"/>
              <c:y val="0.1429503515339826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272448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0520133761649764"/>
          <c:y val="0.34495528034102579"/>
          <c:w val="0.33300893379959634"/>
          <c:h val="0.37363745437816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HTL &amp; Upgrading CAPEX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992585301837271"/>
          <c:y val="0.12483037570481512"/>
          <c:w val="0.42451859142607179"/>
          <c:h val="0.7669348651253589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'TEA Outputs'!$B$74</c:f>
              <c:strCache>
                <c:ptCount val="1"/>
                <c:pt idx="0">
                  <c:v>HTL Total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HTL &amp; UG Capital</c:v>
              </c:pt>
            </c:strLit>
          </c:cat>
          <c:val>
            <c:numRef>
              <c:f>'TEA Outputs'!$C$74</c:f>
              <c:numCache>
                <c:formatCode>"$"#,##0</c:formatCode>
                <c:ptCount val="1"/>
                <c:pt idx="0">
                  <c:v>40686513.832850002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2F-4A85-86CF-6511DC383A11}"/>
            </c:ext>
          </c:extLst>
        </c:ser>
        <c:ser>
          <c:idx val="1"/>
          <c:order val="1"/>
          <c:tx>
            <c:strRef>
              <c:f>'TEA Outputs'!$B$79</c:f>
              <c:strCache>
                <c:ptCount val="1"/>
                <c:pt idx="0">
                  <c:v>Upgrading Total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HTL &amp; UG Capital</c:v>
              </c:pt>
            </c:strLit>
          </c:cat>
          <c:val>
            <c:numRef>
              <c:f>'TEA Outputs'!$C$79</c:f>
              <c:numCache>
                <c:formatCode>"$"#,##0</c:formatCode>
                <c:ptCount val="1"/>
                <c:pt idx="0">
                  <c:v>38644330.663125001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2F-4A85-86CF-6511DC383A11}"/>
            </c:ext>
          </c:extLst>
        </c:ser>
        <c:ser>
          <c:idx val="2"/>
          <c:order val="2"/>
          <c:tx>
            <c:strRef>
              <c:f>'TEA Outputs'!$B$84</c:f>
              <c:strCache>
                <c:ptCount val="1"/>
                <c:pt idx="0">
                  <c:v>Heating Utility Total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HTL &amp; UG Capital</c:v>
              </c:pt>
            </c:strLit>
          </c:cat>
          <c:val>
            <c:numRef>
              <c:f>'TEA Outputs'!$C$84</c:f>
              <c:numCache>
                <c:formatCode>"$"#,##0</c:formatCode>
                <c:ptCount val="1"/>
                <c:pt idx="0">
                  <c:v>5288383.8731500003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92F-4A85-86CF-6511DC383A11}"/>
            </c:ext>
          </c:extLst>
        </c:ser>
        <c:ser>
          <c:idx val="3"/>
          <c:order val="3"/>
          <c:tx>
            <c:strRef>
              <c:f>'TEA Outputs'!$B$96</c:f>
              <c:strCache>
                <c:ptCount val="1"/>
                <c:pt idx="0">
                  <c:v>Other Utilities Total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HTL &amp; UG Capital</c:v>
              </c:pt>
            </c:strLit>
          </c:cat>
          <c:val>
            <c:numRef>
              <c:f>'TEA Outputs'!$C$96</c:f>
              <c:numCache>
                <c:formatCode>"$"#,##0</c:formatCode>
                <c:ptCount val="1"/>
                <c:pt idx="0">
                  <c:v>3849692.1501249997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92F-4A85-86CF-6511DC383A11}"/>
            </c:ext>
          </c:extLst>
        </c:ser>
        <c:ser>
          <c:idx val="4"/>
          <c:order val="4"/>
          <c:tx>
            <c:strRef>
              <c:f>'TEA Outputs'!$B$101</c:f>
              <c:strCache>
                <c:ptCount val="1"/>
                <c:pt idx="0">
                  <c:v>Total Direct Costs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HTL &amp; UG Capital</c:v>
              </c:pt>
            </c:strLit>
          </c:cat>
          <c:val>
            <c:numRef>
              <c:f>'TEA Outputs'!$C$101</c:f>
              <c:numCache>
                <c:formatCode>"$"#,##0</c:formatCode>
                <c:ptCount val="1"/>
                <c:pt idx="0">
                  <c:v>103950981.61012499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92F-4A85-86CF-6511DC383A11}"/>
            </c:ext>
          </c:extLst>
        </c:ser>
        <c:ser>
          <c:idx val="5"/>
          <c:order val="5"/>
          <c:tx>
            <c:strRef>
              <c:f>'TEA Outputs'!$B$107</c:f>
              <c:strCache>
                <c:ptCount val="1"/>
                <c:pt idx="0">
                  <c:v>Total Indirect Costs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HTL &amp; UG Capital</c:v>
              </c:pt>
            </c:strLit>
          </c:cat>
          <c:val>
            <c:numRef>
              <c:f>'TEA Outputs'!$C$107</c:f>
              <c:numCache>
                <c:formatCode>"$"#,##0</c:formatCode>
                <c:ptCount val="1"/>
                <c:pt idx="0">
                  <c:v>62370588.966075003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92F-4A85-86CF-6511DC383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1666169232"/>
        <c:axId val="1666180880"/>
      </c:barChart>
      <c:catAx>
        <c:axId val="1666169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6180880"/>
        <c:crosses val="autoZero"/>
        <c:auto val="1"/>
        <c:lblAlgn val="ctr"/>
        <c:lblOffset val="100"/>
        <c:noMultiLvlLbl val="0"/>
      </c:catAx>
      <c:valAx>
        <c:axId val="166618088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>
                    <a:solidFill>
                      <a:sysClr val="windowText" lastClr="000000"/>
                    </a:solidFill>
                  </a:rPr>
                  <a:t>Capital Investment (MM USD)</a:t>
                </a:r>
              </a:p>
            </c:rich>
          </c:tx>
          <c:layout>
            <c:manualLayout>
              <c:xMode val="edge"/>
              <c:yMode val="edge"/>
              <c:x val="2.2222222222222223E-2"/>
              <c:y val="0.1303874143402651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6169232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2892454068241468"/>
          <c:y val="0.24959493875006655"/>
          <c:w val="0.42385323709536316"/>
          <c:h val="0.403442429450110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HTL</a:t>
            </a:r>
            <a:r>
              <a:rPr lang="en-US" b="1" baseline="0">
                <a:solidFill>
                  <a:sysClr val="windowText" lastClr="000000"/>
                </a:solidFill>
              </a:rPr>
              <a:t> and Upgrading OPEX</a:t>
            </a:r>
            <a:endParaRPr lang="en-US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872862649490988"/>
          <c:y val="0.12828359688530805"/>
          <c:w val="0.42643385058039296"/>
          <c:h val="0.77222044898972952"/>
        </c:manualLayout>
      </c:layout>
      <c:barChart>
        <c:barDir val="col"/>
        <c:grouping val="stacked"/>
        <c:varyColors val="0"/>
        <c:ser>
          <c:idx val="4"/>
          <c:order val="0"/>
          <c:tx>
            <c:strRef>
              <c:f>'TEA Outputs'!$G$73</c:f>
              <c:strCache>
                <c:ptCount val="1"/>
                <c:pt idx="0">
                  <c:v>Char Revenue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HTL &amp; UG OPEX</c:v>
              </c:pt>
            </c:strLit>
          </c:cat>
          <c:val>
            <c:numRef>
              <c:f>'TEA Outputs'!$H$73</c:f>
              <c:numCache>
                <c:formatCode>"$"#,##0</c:formatCode>
                <c:ptCount val="1"/>
                <c:pt idx="0">
                  <c:v>-2709257.5098999999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2C-481B-823E-A05505889EBF}"/>
            </c:ext>
          </c:extLst>
        </c:ser>
        <c:ser>
          <c:idx val="5"/>
          <c:order val="1"/>
          <c:tx>
            <c:strRef>
              <c:f>'TEA Outputs'!$G$74</c:f>
              <c:strCache>
                <c:ptCount val="1"/>
                <c:pt idx="0">
                  <c:v>NH3 Revenue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HTL &amp; UG OPEX</c:v>
              </c:pt>
            </c:strLit>
          </c:cat>
          <c:val>
            <c:numRef>
              <c:f>'TEA Outputs'!$H$74</c:f>
              <c:numCache>
                <c:formatCode>"$"#,##0</c:formatCode>
                <c:ptCount val="1"/>
                <c:pt idx="0">
                  <c:v>-2625659.780725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2C-481B-823E-A05505889EBF}"/>
            </c:ext>
          </c:extLst>
        </c:ser>
        <c:ser>
          <c:idx val="6"/>
          <c:order val="2"/>
          <c:tx>
            <c:strRef>
              <c:f>'TEA Outputs'!$G$75</c:f>
              <c:strCache>
                <c:ptCount val="1"/>
                <c:pt idx="0">
                  <c:v>DAP Revenue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HTL &amp; UG OPEX</c:v>
              </c:pt>
            </c:strLit>
          </c:cat>
          <c:val>
            <c:numRef>
              <c:f>'TEA Outputs'!$H$75</c:f>
              <c:numCache>
                <c:formatCode>"$"#,##0</c:formatCode>
                <c:ptCount val="1"/>
                <c:pt idx="0">
                  <c:v>-1217246.2482749999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12C-481B-823E-A05505889EBF}"/>
            </c:ext>
          </c:extLst>
        </c:ser>
        <c:ser>
          <c:idx val="0"/>
          <c:order val="3"/>
          <c:tx>
            <c:strRef>
              <c:f>'TEA Outputs'!$G$68</c:f>
              <c:strCache>
                <c:ptCount val="1"/>
                <c:pt idx="0">
                  <c:v>H2 OPEX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HTL &amp; UG OPEX</c:v>
              </c:pt>
            </c:strLit>
          </c:cat>
          <c:val>
            <c:numRef>
              <c:f>'TEA Outputs'!$H$68</c:f>
              <c:numCache>
                <c:formatCode>"$"#,##0</c:formatCode>
                <c:ptCount val="1"/>
                <c:pt idx="0">
                  <c:v>4296846.1041000001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2C-481B-823E-A05505889EBF}"/>
            </c:ext>
          </c:extLst>
        </c:ser>
        <c:ser>
          <c:idx val="1"/>
          <c:order val="4"/>
          <c:tx>
            <c:strRef>
              <c:f>'TEA Outputs'!$G$69</c:f>
              <c:strCache>
                <c:ptCount val="1"/>
                <c:pt idx="0">
                  <c:v>Natural Gas OPEX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HTL &amp; UG OPEX</c:v>
              </c:pt>
            </c:strLit>
          </c:cat>
          <c:val>
            <c:numRef>
              <c:f>'TEA Outputs'!$H$69</c:f>
              <c:numCache>
                <c:formatCode>"$"#,##0</c:formatCode>
                <c:ptCount val="1"/>
                <c:pt idx="0">
                  <c:v>125172.70384999999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2C-481B-823E-A05505889EBF}"/>
            </c:ext>
          </c:extLst>
        </c:ser>
        <c:ser>
          <c:idx val="2"/>
          <c:order val="5"/>
          <c:tx>
            <c:strRef>
              <c:f>'TEA Outputs'!$G$70</c:f>
              <c:strCache>
                <c:ptCount val="1"/>
                <c:pt idx="0">
                  <c:v>Grid Electricity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HTL &amp; UG OPEX</c:v>
              </c:pt>
            </c:strLit>
          </c:cat>
          <c:val>
            <c:numRef>
              <c:f>'TEA Outputs'!$H$70</c:f>
              <c:numCache>
                <c:formatCode>"$"#,##0</c:formatCode>
                <c:ptCount val="1"/>
                <c:pt idx="0">
                  <c:v>1056777.7412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2C-481B-823E-A05505889EBF}"/>
            </c:ext>
          </c:extLst>
        </c:ser>
        <c:ser>
          <c:idx val="3"/>
          <c:order val="6"/>
          <c:tx>
            <c:strRef>
              <c:f>'TEA Outputs'!$G$71</c:f>
              <c:strCache>
                <c:ptCount val="1"/>
                <c:pt idx="0">
                  <c:v>Process Water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HTL &amp; UG OPEX</c:v>
              </c:pt>
            </c:strLit>
          </c:cat>
          <c:val>
            <c:numRef>
              <c:f>'TEA Outputs'!$H$71</c:f>
              <c:numCache>
                <c:formatCode>"$"#,##0</c:formatCode>
                <c:ptCount val="1"/>
                <c:pt idx="0">
                  <c:v>14481.238150000001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12C-481B-823E-A05505889EBF}"/>
            </c:ext>
          </c:extLst>
        </c:ser>
        <c:ser>
          <c:idx val="7"/>
          <c:order val="7"/>
          <c:tx>
            <c:strRef>
              <c:f>'TEA Outputs'!$G$77</c:f>
              <c:strCache>
                <c:ptCount val="1"/>
                <c:pt idx="0">
                  <c:v>Total Labor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HTL &amp; UG OPEX</c:v>
              </c:pt>
            </c:strLit>
          </c:cat>
          <c:val>
            <c:numRef>
              <c:f>'TEA Outputs'!$H$77</c:f>
              <c:numCache>
                <c:formatCode>"$"#,##0</c:formatCode>
                <c:ptCount val="1"/>
                <c:pt idx="0">
                  <c:v>1585292.6107999999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12C-481B-823E-A05505889EBF}"/>
            </c:ext>
          </c:extLst>
        </c:ser>
        <c:ser>
          <c:idx val="8"/>
          <c:order val="8"/>
          <c:tx>
            <c:strRef>
              <c:f>'TEA Outputs'!$G$78</c:f>
              <c:strCache>
                <c:ptCount val="1"/>
                <c:pt idx="0">
                  <c:v>Labor Burden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HTL &amp; UG OPEX</c:v>
              </c:pt>
            </c:strLit>
          </c:cat>
          <c:val>
            <c:numRef>
              <c:f>'TEA Outputs'!$H$78</c:f>
              <c:numCache>
                <c:formatCode>"$"#,##0</c:formatCode>
                <c:ptCount val="1"/>
                <c:pt idx="0">
                  <c:v>1426763.3498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12C-481B-823E-A05505889EBF}"/>
            </c:ext>
          </c:extLst>
        </c:ser>
        <c:ser>
          <c:idx val="9"/>
          <c:order val="9"/>
          <c:tx>
            <c:strRef>
              <c:f>'TEA Outputs'!$G$79</c:f>
              <c:strCache>
                <c:ptCount val="1"/>
                <c:pt idx="0">
                  <c:v>Maintenance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HTL &amp; UG OPEX</c:v>
              </c:pt>
            </c:strLit>
          </c:cat>
          <c:val>
            <c:numRef>
              <c:f>'TEA Outputs'!$H$79</c:f>
              <c:numCache>
                <c:formatCode>"$"#,##0</c:formatCode>
                <c:ptCount val="1"/>
                <c:pt idx="0">
                  <c:v>2654067.6155750002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12C-481B-823E-A05505889EBF}"/>
            </c:ext>
          </c:extLst>
        </c:ser>
        <c:ser>
          <c:idx val="10"/>
          <c:order val="10"/>
          <c:tx>
            <c:strRef>
              <c:f>'TEA Outputs'!$G$80</c:f>
              <c:strCache>
                <c:ptCount val="1"/>
                <c:pt idx="0">
                  <c:v>Property Tax &amp; Insurance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HTL &amp; UG OPEX</c:v>
              </c:pt>
            </c:strLit>
          </c:cat>
          <c:val>
            <c:numRef>
              <c:f>'TEA Outputs'!$H$80</c:f>
              <c:numCache>
                <c:formatCode>"$"#,##0</c:formatCode>
                <c:ptCount val="1"/>
                <c:pt idx="0">
                  <c:v>1663215.7057500002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12C-481B-823E-A05505889E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466238976"/>
        <c:axId val="466233568"/>
      </c:barChart>
      <c:barChart>
        <c:barDir val="col"/>
        <c:grouping val="stacked"/>
        <c:varyColors val="0"/>
        <c:ser>
          <c:idx val="11"/>
          <c:order val="11"/>
          <c:tx>
            <c:strRef>
              <c:f>'TEA Outputs'!$G$82</c:f>
              <c:strCache>
                <c:ptCount val="1"/>
                <c:pt idx="0">
                  <c:v>Net OPEX (w/ Co-Products)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5875">
              <a:solidFill>
                <a:srgbClr val="FF000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HTL &amp; UG OPEX</c:v>
              </c:pt>
            </c:strLit>
          </c:cat>
          <c:val>
            <c:numRef>
              <c:f>'TEA Outputs'!$H$82</c:f>
              <c:numCache>
                <c:formatCode>"$"#,##0</c:formatCode>
                <c:ptCount val="1"/>
                <c:pt idx="0">
                  <c:v>6270453.5303249992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12C-481B-823E-A05505889E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6"/>
        <c:overlap val="100"/>
        <c:axId val="466180736"/>
        <c:axId val="466193216"/>
      </c:barChart>
      <c:catAx>
        <c:axId val="466238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233568"/>
        <c:crosses val="autoZero"/>
        <c:auto val="1"/>
        <c:lblAlgn val="ctr"/>
        <c:lblOffset val="100"/>
        <c:noMultiLvlLbl val="0"/>
      </c:catAx>
      <c:valAx>
        <c:axId val="46623356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>
                    <a:solidFill>
                      <a:sysClr val="windowText" lastClr="000000"/>
                    </a:solidFill>
                  </a:rPr>
                  <a:t>Operational Expenses</a:t>
                </a:r>
                <a:r>
                  <a:rPr lang="en-US" sz="1200" baseline="0">
                    <a:solidFill>
                      <a:sysClr val="windowText" lastClr="000000"/>
                    </a:solidFill>
                  </a:rPr>
                  <a:t> (MM USD/yr)</a:t>
                </a:r>
                <a:endParaRPr lang="en-US" sz="120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3.0309140227764417E-2"/>
              <c:y val="0.122089508176719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238976"/>
        <c:crosses val="autoZero"/>
        <c:crossBetween val="between"/>
        <c:dispUnits>
          <c:builtInUnit val="millions"/>
        </c:dispUnits>
      </c:valAx>
      <c:valAx>
        <c:axId val="466193216"/>
        <c:scaling>
          <c:orientation val="minMax"/>
          <c:max val="15000000"/>
          <c:min val="-15000000"/>
        </c:scaling>
        <c:delete val="1"/>
        <c:axPos val="r"/>
        <c:numFmt formatCode="&quot;$&quot;#,##0" sourceLinked="1"/>
        <c:majorTickMark val="out"/>
        <c:minorTickMark val="none"/>
        <c:tickLblPos val="nextTo"/>
        <c:crossAx val="466180736"/>
        <c:crosses val="max"/>
        <c:crossBetween val="between"/>
      </c:valAx>
      <c:catAx>
        <c:axId val="4661807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61932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1214267672607869"/>
          <c:y val="0.16379342946959244"/>
          <c:w val="0.35717392020558097"/>
          <c:h val="0.5589574908765835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MBSP -</a:t>
            </a:r>
            <a:r>
              <a:rPr lang="en-US" b="1" baseline="0">
                <a:solidFill>
                  <a:sysClr val="windowText" lastClr="000000"/>
                </a:solidFill>
              </a:rPr>
              <a:t> Broken Out by Net Present Value (NPV)</a:t>
            </a:r>
            <a:endParaRPr lang="en-US" b="1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24857607799025119"/>
          <c:y val="2.988791639123413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261117360329958"/>
          <c:y val="0.1235118798584207"/>
          <c:w val="0.53617478702534194"/>
          <c:h val="0.78095713502748743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'TEA Outputs'!$K$6</c:f>
              <c:strCache>
                <c:ptCount val="1"/>
                <c:pt idx="0">
                  <c:v>Land Capital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'TEA Outputs'!$K$8</c:f>
              <c:strCache>
                <c:ptCount val="1"/>
                <c:pt idx="0">
                  <c:v>Minimum Biomass Selling Price</c:v>
                </c:pt>
              </c:strCache>
            </c:strRef>
          </c:cat>
          <c:val>
            <c:numRef>
              <c:f>'TEA Outputs'!$N$6</c:f>
              <c:numCache>
                <c:formatCode>"$"#,##0.00</c:formatCode>
                <c:ptCount val="1"/>
                <c:pt idx="0">
                  <c:v>29.686158991410355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63-4EE8-BF14-DFC5081E88FC}"/>
            </c:ext>
          </c:extLst>
        </c:ser>
        <c:ser>
          <c:idx val="2"/>
          <c:order val="1"/>
          <c:tx>
            <c:strRef>
              <c:f>'TEA Outputs'!$K$5</c:f>
              <c:strCache>
                <c:ptCount val="1"/>
                <c:pt idx="0">
                  <c:v>Equipment and Facility Capital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'TEA Outputs'!$K$8</c:f>
              <c:strCache>
                <c:ptCount val="1"/>
                <c:pt idx="0">
                  <c:v>Minimum Biomass Selling Price</c:v>
                </c:pt>
              </c:strCache>
            </c:strRef>
          </c:cat>
          <c:val>
            <c:numRef>
              <c:f>'TEA Outputs'!$N$5</c:f>
              <c:numCache>
                <c:formatCode>"$"#,##0.00</c:formatCode>
                <c:ptCount val="1"/>
                <c:pt idx="0">
                  <c:v>183.05387414167109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63-4EE8-BF14-DFC5081E88FC}"/>
            </c:ext>
          </c:extLst>
        </c:ser>
        <c:ser>
          <c:idx val="1"/>
          <c:order val="2"/>
          <c:tx>
            <c:strRef>
              <c:f>'TEA Outputs'!$K$4</c:f>
              <c:strCache>
                <c:ptCount val="1"/>
                <c:pt idx="0">
                  <c:v>Operational Expenses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'TEA Outputs'!$K$8</c:f>
              <c:strCache>
                <c:ptCount val="1"/>
                <c:pt idx="0">
                  <c:v>Minimum Biomass Selling Price</c:v>
                </c:pt>
              </c:strCache>
            </c:strRef>
          </c:cat>
          <c:val>
            <c:numRef>
              <c:f>'TEA Outputs'!$N$4</c:f>
              <c:numCache>
                <c:formatCode>"$"#,##0.00</c:formatCode>
                <c:ptCount val="1"/>
                <c:pt idx="0">
                  <c:v>366.62854873384413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63-4EE8-BF14-DFC5081E88FC}"/>
            </c:ext>
          </c:extLst>
        </c:ser>
        <c:ser>
          <c:idx val="0"/>
          <c:order val="3"/>
          <c:tx>
            <c:strRef>
              <c:f>'TEA Outputs'!$K$3</c:f>
              <c:strCache>
                <c:ptCount val="1"/>
                <c:pt idx="0">
                  <c:v>Income Tax</c:v>
                </c:pt>
              </c:strCache>
            </c:strRef>
          </c:tx>
          <c:spPr>
            <a:solidFill>
              <a:srgbClr val="BD92DE"/>
            </a:solidFill>
            <a:ln>
              <a:noFill/>
            </a:ln>
            <a:effectLst/>
          </c:spPr>
          <c:invertIfNegative val="0"/>
          <c:cat>
            <c:strRef>
              <c:f>'TEA Outputs'!$K$8</c:f>
              <c:strCache>
                <c:ptCount val="1"/>
                <c:pt idx="0">
                  <c:v>Minimum Biomass Selling Price</c:v>
                </c:pt>
              </c:strCache>
            </c:strRef>
          </c:cat>
          <c:val>
            <c:numRef>
              <c:f>'TEA Outputs'!$N$3</c:f>
              <c:numCache>
                <c:formatCode>"$"#,##0.00</c:formatCode>
                <c:ptCount val="1"/>
                <c:pt idx="0">
                  <c:v>44.626225214172749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63-4EE8-BF14-DFC5081E88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7"/>
        <c:overlap val="100"/>
        <c:axId val="1151105023"/>
        <c:axId val="1151106271"/>
      </c:barChart>
      <c:scatterChart>
        <c:scatterStyle val="lineMarker"/>
        <c:varyColors val="0"/>
        <c:ser>
          <c:idx val="4"/>
          <c:order val="4"/>
          <c:tx>
            <c:strRef>
              <c:f>'TEA Outputs'!$K$7</c:f>
              <c:strCache>
                <c:ptCount val="1"/>
                <c:pt idx="0">
                  <c:v>Total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11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strRef>
              <c:f>'TEA Outputs'!$K$8</c:f>
              <c:strCache>
                <c:ptCount val="1"/>
                <c:pt idx="0">
                  <c:v>Minimum Biomass Selling Price</c:v>
                </c:pt>
              </c:strCache>
            </c:strRef>
          </c:xVal>
          <c:yVal>
            <c:numRef>
              <c:f>'TEA Outputs'!$N$7</c:f>
              <c:numCache>
                <c:formatCode>"$"#,##0.00</c:formatCode>
                <c:ptCount val="1"/>
                <c:pt idx="0">
                  <c:v>623.99480708109832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863-4EE8-BF14-DFC5081E88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1106687"/>
        <c:axId val="1151100447"/>
      </c:scatterChart>
      <c:catAx>
        <c:axId val="11511050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1106271"/>
        <c:crosses val="autoZero"/>
        <c:auto val="1"/>
        <c:lblAlgn val="ctr"/>
        <c:lblOffset val="100"/>
        <c:noMultiLvlLbl val="0"/>
      </c:catAx>
      <c:valAx>
        <c:axId val="1151106271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50">
                    <a:solidFill>
                      <a:sysClr val="windowText" lastClr="000000"/>
                    </a:solidFill>
                  </a:rPr>
                  <a:t>Minimum Biomass Selling Price ($/tonne AFDW)</a:t>
                </a:r>
              </a:p>
            </c:rich>
          </c:tx>
          <c:layout>
            <c:manualLayout>
              <c:xMode val="edge"/>
              <c:yMode val="edge"/>
              <c:x val="1.8657067866516684E-2"/>
              <c:y val="0.1194201378138885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0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1105023"/>
        <c:crosses val="autoZero"/>
        <c:crossBetween val="between"/>
      </c:valAx>
      <c:valAx>
        <c:axId val="1151100447"/>
        <c:scaling>
          <c:orientation val="minMax"/>
        </c:scaling>
        <c:delete val="1"/>
        <c:axPos val="r"/>
        <c:numFmt formatCode="&quot;$&quot;#,##0.00" sourceLinked="1"/>
        <c:majorTickMark val="out"/>
        <c:minorTickMark val="none"/>
        <c:tickLblPos val="nextTo"/>
        <c:crossAx val="1151106687"/>
        <c:crosses val="max"/>
        <c:crossBetween val="midCat"/>
      </c:valAx>
      <c:valAx>
        <c:axId val="115110668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511004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9122374208343409"/>
          <c:y val="0.42314543256156439"/>
          <c:w val="0.35416874938414267"/>
          <c:h val="0.3167308529064756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MFSP -</a:t>
            </a:r>
            <a:r>
              <a:rPr lang="en-US" b="1" baseline="0">
                <a:solidFill>
                  <a:sysClr val="windowText" lastClr="000000"/>
                </a:solidFill>
              </a:rPr>
              <a:t> Broken Out by Net Present Value (NPV)</a:t>
            </a:r>
            <a:endParaRPr lang="en-US" b="1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24857607799025119"/>
          <c:y val="2.988791639123413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261117360329958"/>
          <c:y val="0.1235118798584207"/>
          <c:w val="0.53617478702534194"/>
          <c:h val="0.7809571350274874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'TEA Outputs'!$K$71</c:f>
              <c:strCache>
                <c:ptCount val="1"/>
                <c:pt idx="0">
                  <c:v>Land Capital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'TEA Outputs'!$K$73</c:f>
              <c:strCache>
                <c:ptCount val="1"/>
                <c:pt idx="0">
                  <c:v>Minimum Fuel Selling Price</c:v>
                </c:pt>
              </c:strCache>
            </c:strRef>
          </c:cat>
          <c:val>
            <c:numRef>
              <c:f>'TEA Outputs'!$N$71</c:f>
              <c:numCache>
                <c:formatCode>"$"#,##0.00</c:formatCode>
                <c:ptCount val="1"/>
                <c:pt idx="0">
                  <c:v>0.2331601340603526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793-4D35-AF17-5E1C2C1F2364}"/>
            </c:ext>
          </c:extLst>
        </c:ser>
        <c:ser>
          <c:idx val="1"/>
          <c:order val="1"/>
          <c:tx>
            <c:strRef>
              <c:f>'TEA Outputs'!$K$70</c:f>
              <c:strCache>
                <c:ptCount val="1"/>
                <c:pt idx="0">
                  <c:v>Equipment and Facility Capital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'TEA Outputs'!$K$73</c:f>
              <c:strCache>
                <c:ptCount val="1"/>
                <c:pt idx="0">
                  <c:v>Minimum Fuel Selling Price</c:v>
                </c:pt>
              </c:strCache>
            </c:strRef>
          </c:cat>
          <c:val>
            <c:numRef>
              <c:f>'TEA Outputs'!$N$70</c:f>
              <c:numCache>
                <c:formatCode>"$"#,##0.00</c:formatCode>
                <c:ptCount val="1"/>
                <c:pt idx="0">
                  <c:v>2.0118913942558634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793-4D35-AF17-5E1C2C1F2364}"/>
            </c:ext>
          </c:extLst>
        </c:ser>
        <c:ser>
          <c:idx val="2"/>
          <c:order val="2"/>
          <c:tx>
            <c:strRef>
              <c:f>'TEA Outputs'!$K$69</c:f>
              <c:strCache>
                <c:ptCount val="1"/>
                <c:pt idx="0">
                  <c:v>Operational Expenses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'TEA Outputs'!$K$73</c:f>
              <c:strCache>
                <c:ptCount val="1"/>
                <c:pt idx="0">
                  <c:v>Minimum Fuel Selling Price</c:v>
                </c:pt>
              </c:strCache>
            </c:strRef>
          </c:cat>
          <c:val>
            <c:numRef>
              <c:f>'TEA Outputs'!$N$69</c:f>
              <c:numCache>
                <c:formatCode>"$"#,##0.00</c:formatCode>
                <c:ptCount val="1"/>
                <c:pt idx="0">
                  <c:v>3.8250013313322175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793-4D35-AF17-5E1C2C1F2364}"/>
            </c:ext>
          </c:extLst>
        </c:ser>
        <c:ser>
          <c:idx val="3"/>
          <c:order val="3"/>
          <c:tx>
            <c:strRef>
              <c:f>'TEA Outputs'!$K$68</c:f>
              <c:strCache>
                <c:ptCount val="1"/>
                <c:pt idx="0">
                  <c:v>Income Tax</c:v>
                </c:pt>
              </c:strCache>
            </c:strRef>
          </c:tx>
          <c:spPr>
            <a:solidFill>
              <a:srgbClr val="BD92DE"/>
            </a:solidFill>
            <a:ln>
              <a:noFill/>
            </a:ln>
            <a:effectLst/>
          </c:spPr>
          <c:invertIfNegative val="0"/>
          <c:cat>
            <c:strRef>
              <c:f>'TEA Outputs'!$K$73</c:f>
              <c:strCache>
                <c:ptCount val="1"/>
                <c:pt idx="0">
                  <c:v>Minimum Fuel Selling Price</c:v>
                </c:pt>
              </c:strCache>
            </c:strRef>
          </c:cat>
          <c:val>
            <c:numRef>
              <c:f>'TEA Outputs'!$N$68</c:f>
              <c:numCache>
                <c:formatCode>"$"#,##0.00</c:formatCode>
                <c:ptCount val="1"/>
                <c:pt idx="0">
                  <c:v>0.46488018843414192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93-4D35-AF17-5E1C2C1F23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7"/>
        <c:overlap val="100"/>
        <c:axId val="1151105023"/>
        <c:axId val="1151106271"/>
      </c:barChart>
      <c:scatterChart>
        <c:scatterStyle val="lineMarker"/>
        <c:varyColors val="0"/>
        <c:ser>
          <c:idx val="4"/>
          <c:order val="4"/>
          <c:tx>
            <c:strRef>
              <c:f>'TEA Outputs'!$K$72</c:f>
              <c:strCache>
                <c:ptCount val="1"/>
                <c:pt idx="0">
                  <c:v>Total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11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yVal>
            <c:numRef>
              <c:f>'TEA Outputs'!$N$72</c:f>
              <c:numCache>
                <c:formatCode>"$"#,##0.00</c:formatCode>
                <c:ptCount val="1"/>
                <c:pt idx="0">
                  <c:v>6.5349330480825749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793-4D35-AF17-5E1C2C1F23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1106687"/>
        <c:axId val="1151100447"/>
      </c:scatterChart>
      <c:catAx>
        <c:axId val="11511050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1106271"/>
        <c:crosses val="autoZero"/>
        <c:auto val="1"/>
        <c:lblAlgn val="ctr"/>
        <c:lblOffset val="100"/>
        <c:noMultiLvlLbl val="0"/>
      </c:catAx>
      <c:valAx>
        <c:axId val="1151106271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50">
                    <a:solidFill>
                      <a:sysClr val="windowText" lastClr="000000"/>
                    </a:solidFill>
                  </a:rPr>
                  <a:t>Minimum Fuel Selling Price ($/GGE)</a:t>
                </a:r>
              </a:p>
            </c:rich>
          </c:tx>
          <c:layout>
            <c:manualLayout>
              <c:xMode val="edge"/>
              <c:yMode val="edge"/>
              <c:x val="3.2308905072872714E-2"/>
              <c:y val="0.152628933804148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0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1105023"/>
        <c:crosses val="autoZero"/>
        <c:crossBetween val="between"/>
      </c:valAx>
      <c:valAx>
        <c:axId val="1151100447"/>
        <c:scaling>
          <c:orientation val="minMax"/>
        </c:scaling>
        <c:delete val="1"/>
        <c:axPos val="r"/>
        <c:numFmt formatCode="&quot;$&quot;#,##0.00" sourceLinked="1"/>
        <c:majorTickMark val="out"/>
        <c:minorTickMark val="none"/>
        <c:tickLblPos val="nextTo"/>
        <c:crossAx val="1151106687"/>
        <c:crosses val="max"/>
        <c:crossBetween val="midCat"/>
      </c:valAx>
      <c:valAx>
        <c:axId val="115110668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511004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9122374208343409"/>
          <c:y val="0.42314543256156439"/>
          <c:w val="0.35416874938414267"/>
          <c:h val="0.3167308529064756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System Global</a:t>
            </a:r>
            <a:r>
              <a:rPr lang="en-US" b="1" baseline="0">
                <a:solidFill>
                  <a:sysClr val="windowText" lastClr="000000"/>
                </a:solidFill>
              </a:rPr>
              <a:t> Warming Potential (g CO2-eq/MJ Fuel)</a:t>
            </a:r>
            <a:endParaRPr lang="en-US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'LCA Outputs'!$A$72</c:f>
              <c:strCache>
                <c:ptCount val="1"/>
                <c:pt idx="0">
                  <c:v>CO2 Uptake (Biomass Growth)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'LCA Outputs'!$H$72</c:f>
              <c:numCache>
                <c:formatCode>0.00E+00</c:formatCode>
                <c:ptCount val="1"/>
                <c:pt idx="0">
                  <c:v>-96.260348727409422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14-4752-9DFB-685DAD9918FC}"/>
            </c:ext>
          </c:extLst>
        </c:ser>
        <c:ser>
          <c:idx val="1"/>
          <c:order val="1"/>
          <c:tx>
            <c:strRef>
              <c:f>'LCA Outputs'!$A$73</c:f>
              <c:strCache>
                <c:ptCount val="1"/>
                <c:pt idx="0">
                  <c:v>Cultivation Consumables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val>
            <c:numRef>
              <c:f>'LCA Outputs'!$H$73</c:f>
              <c:numCache>
                <c:formatCode>0.00E+00</c:formatCode>
                <c:ptCount val="1"/>
                <c:pt idx="0">
                  <c:v>6.0844617101169138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14-4752-9DFB-685DAD9918FC}"/>
            </c:ext>
          </c:extLst>
        </c:ser>
        <c:ser>
          <c:idx val="2"/>
          <c:order val="2"/>
          <c:tx>
            <c:strRef>
              <c:f>'LCA Outputs'!$A$74</c:f>
              <c:strCache>
                <c:ptCount val="1"/>
                <c:pt idx="0">
                  <c:v>Cultivation Electricity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val>
            <c:numRef>
              <c:f>'LCA Outputs'!$H$74</c:f>
              <c:numCache>
                <c:formatCode>0.00E+00</c:formatCode>
                <c:ptCount val="1"/>
                <c:pt idx="0">
                  <c:v>16.662441772655676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614-4752-9DFB-685DAD9918FC}"/>
            </c:ext>
          </c:extLst>
        </c:ser>
        <c:ser>
          <c:idx val="3"/>
          <c:order val="3"/>
          <c:tx>
            <c:strRef>
              <c:f>'LCA Outputs'!$A$75</c:f>
              <c:strCache>
                <c:ptCount val="1"/>
                <c:pt idx="0">
                  <c:v>Conversion Consumables 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val>
            <c:numRef>
              <c:f>'LCA Outputs'!$H$75</c:f>
              <c:numCache>
                <c:formatCode>0.00E+00</c:formatCode>
                <c:ptCount val="1"/>
                <c:pt idx="0">
                  <c:v>17.209372500060031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614-4752-9DFB-685DAD9918FC}"/>
            </c:ext>
          </c:extLst>
        </c:ser>
        <c:ser>
          <c:idx val="4"/>
          <c:order val="4"/>
          <c:tx>
            <c:strRef>
              <c:f>'LCA Outputs'!$A$76</c:f>
              <c:strCache>
                <c:ptCount val="1"/>
                <c:pt idx="0">
                  <c:v>Conversion Electricity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val>
            <c:numRef>
              <c:f>'LCA Outputs'!$H$76</c:f>
              <c:numCache>
                <c:formatCode>0.00E+00</c:formatCode>
                <c:ptCount val="1"/>
                <c:pt idx="0">
                  <c:v>3.2152974208048897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614-4752-9DFB-685DAD9918FC}"/>
            </c:ext>
          </c:extLst>
        </c:ser>
        <c:ser>
          <c:idx val="5"/>
          <c:order val="5"/>
          <c:tx>
            <c:strRef>
              <c:f>'LCA Outputs'!$A$77</c:f>
              <c:strCache>
                <c:ptCount val="1"/>
                <c:pt idx="0">
                  <c:v>Conversion Direct Emissions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val>
            <c:numRef>
              <c:f>'LCA Outputs'!$H$77</c:f>
              <c:numCache>
                <c:formatCode>0.00E+00</c:formatCode>
                <c:ptCount val="1"/>
                <c:pt idx="0">
                  <c:v>111.92187701440064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614-4752-9DFB-685DAD9918FC}"/>
            </c:ext>
          </c:extLst>
        </c:ser>
        <c:ser>
          <c:idx val="6"/>
          <c:order val="6"/>
          <c:tx>
            <c:strRef>
              <c:f>'LCA Outputs'!$A$78</c:f>
              <c:strCache>
                <c:ptCount val="1"/>
                <c:pt idx="0">
                  <c:v>Biogenic Carbon Stored in Char</c:v>
                </c:pt>
              </c:strCache>
            </c:strRef>
          </c:tx>
          <c:spPr>
            <a:solidFill>
              <a:schemeClr val="tx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val>
            <c:numRef>
              <c:f>'LCA Outputs'!$H$78</c:f>
              <c:numCache>
                <c:formatCode>0.00E+00</c:formatCode>
                <c:ptCount val="1"/>
                <c:pt idx="0">
                  <c:v>-28.115482848820388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614-4752-9DFB-685DAD9918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2"/>
        <c:overlap val="100"/>
        <c:axId val="954137824"/>
        <c:axId val="954136160"/>
      </c:barChart>
      <c:barChart>
        <c:barDir val="col"/>
        <c:grouping val="stacked"/>
        <c:varyColors val="0"/>
        <c:ser>
          <c:idx val="7"/>
          <c:order val="7"/>
          <c:tx>
            <c:strRef>
              <c:f>'LCA Outputs'!$A$79</c:f>
              <c:strCache>
                <c:ptCount val="1"/>
                <c:pt idx="0">
                  <c:v>Net Emissions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FF0000"/>
              </a:solidFill>
            </a:ln>
            <a:effectLst/>
          </c:spPr>
          <c:invertIfNegative val="0"/>
          <c:dLbls>
            <c:dLbl>
              <c:idx val="0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1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4F3-4382-8942-6A87F90A882E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'LCA Outputs'!$H$79</c:f>
              <c:numCache>
                <c:formatCode>0.00E+00</c:formatCode>
                <c:ptCount val="1"/>
                <c:pt idx="0">
                  <c:v>30.717618841808321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614-4752-9DFB-685DAD9918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2"/>
        <c:overlap val="100"/>
        <c:axId val="1497994352"/>
        <c:axId val="1257887248"/>
      </c:barChart>
      <c:catAx>
        <c:axId val="95413782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54136160"/>
        <c:crosses val="autoZero"/>
        <c:auto val="1"/>
        <c:lblAlgn val="ctr"/>
        <c:lblOffset val="100"/>
        <c:noMultiLvlLbl val="0"/>
      </c:catAx>
      <c:valAx>
        <c:axId val="9541361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ysClr val="windowText" lastClr="000000"/>
                    </a:solidFill>
                  </a:rPr>
                  <a:t>W2W Global Warming Potential (g CO2-eq/MJ</a:t>
                </a:r>
                <a:r>
                  <a:rPr lang="en-US" sz="1400" baseline="0">
                    <a:solidFill>
                      <a:sysClr val="windowText" lastClr="000000"/>
                    </a:solidFill>
                  </a:rPr>
                  <a:t> Fuel)</a:t>
                </a:r>
                <a:endParaRPr lang="en-US" sz="140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1.1482602952385172E-2"/>
              <c:y val="8.588333025892970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out"/>
        <c:minorTickMark val="out"/>
        <c:tickLblPos val="nextTo"/>
        <c:spPr>
          <a:noFill/>
          <a:ln w="635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4137824"/>
        <c:crosses val="autoZero"/>
        <c:crossBetween val="between"/>
        <c:minorUnit val="25"/>
      </c:valAx>
      <c:valAx>
        <c:axId val="1257887248"/>
        <c:scaling>
          <c:orientation val="minMax"/>
          <c:max val="200"/>
          <c:min val="-200"/>
        </c:scaling>
        <c:delete val="1"/>
        <c:axPos val="r"/>
        <c:numFmt formatCode="0.00E+00" sourceLinked="1"/>
        <c:majorTickMark val="out"/>
        <c:minorTickMark val="none"/>
        <c:tickLblPos val="nextTo"/>
        <c:crossAx val="1497994352"/>
        <c:crosses val="max"/>
        <c:crossBetween val="between"/>
      </c:valAx>
      <c:catAx>
        <c:axId val="1497994352"/>
        <c:scaling>
          <c:orientation val="minMax"/>
        </c:scaling>
        <c:delete val="1"/>
        <c:axPos val="b"/>
        <c:majorTickMark val="out"/>
        <c:minorTickMark val="none"/>
        <c:tickLblPos val="nextTo"/>
        <c:crossAx val="125788724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4127670270275152"/>
          <c:y val="0.1050726578048109"/>
          <c:w val="0.41477422218927129"/>
          <c:h val="0.382589246511453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TRACI</a:t>
            </a:r>
            <a:r>
              <a:rPr lang="en-US" b="1" baseline="0">
                <a:solidFill>
                  <a:sysClr val="windowText" lastClr="000000"/>
                </a:solidFill>
              </a:rPr>
              <a:t> Impacts for System Burdens</a:t>
            </a:r>
            <a:endParaRPr lang="en-US" b="1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32087334967733927"/>
          <c:y val="2.0389803813696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292175833094411E-2"/>
          <c:y val="9.1807101998614804E-2"/>
          <c:w val="0.65229310785931571"/>
          <c:h val="0.6462343840921831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'LCA Outputs'!$B$100</c:f>
              <c:strCache>
                <c:ptCount val="1"/>
                <c:pt idx="0">
                  <c:v>Ammonia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'LCA Outputs'!$C$98:$L$99</c:f>
              <c:multiLvlStrCache>
                <c:ptCount val="10"/>
                <c:lvl>
                  <c:pt idx="0">
                    <c:v>kg PM2.5/MJ Fuel</c:v>
                  </c:pt>
                  <c:pt idx="1">
                    <c:v>kg SO2-eq/MJ Fuel</c:v>
                  </c:pt>
                  <c:pt idx="2">
                    <c:v>CTUe/MJ Fuel</c:v>
                  </c:pt>
                  <c:pt idx="3">
                    <c:v>CTUh/MJ Fuel</c:v>
                  </c:pt>
                  <c:pt idx="4">
                    <c:v>CTUh/MJ Fuel</c:v>
                  </c:pt>
                  <c:pt idx="5">
                    <c:v>g CO2-eq/MJ Fuel</c:v>
                  </c:pt>
                  <c:pt idx="6">
                    <c:v>kg O3-eq/MJ Fuel</c:v>
                  </c:pt>
                  <c:pt idx="7">
                    <c:v>kg CFC-11/MJ Fuel</c:v>
                  </c:pt>
                  <c:pt idx="8">
                    <c:v>kg N-eq/MJ Fuel</c:v>
                  </c:pt>
                  <c:pt idx="9">
                    <c:v>MJ Surplus/MJ Fuel</c:v>
                  </c:pt>
                </c:lvl>
                <c:lvl>
                  <c:pt idx="0">
                    <c:v>Respiratory Effects</c:v>
                  </c:pt>
                  <c:pt idx="1">
                    <c:v>Acidification</c:v>
                  </c:pt>
                  <c:pt idx="2">
                    <c:v>Ecotoxicity</c:v>
                  </c:pt>
                  <c:pt idx="3">
                    <c:v>Non-Carcinogenics</c:v>
                  </c:pt>
                  <c:pt idx="4">
                    <c:v>Carcinogenics</c:v>
                  </c:pt>
                  <c:pt idx="5">
                    <c:v>Global Warming Potential</c:v>
                  </c:pt>
                  <c:pt idx="6">
                    <c:v>Smog Formation</c:v>
                  </c:pt>
                  <c:pt idx="7">
                    <c:v>Ozone Depletion</c:v>
                  </c:pt>
                  <c:pt idx="8">
                    <c:v>Eutrophication</c:v>
                  </c:pt>
                  <c:pt idx="9">
                    <c:v>Fossil Fuel Depletion</c:v>
                  </c:pt>
                </c:lvl>
              </c:multiLvlStrCache>
            </c:multiLvlStrRef>
          </c:cat>
          <c:val>
            <c:numRef>
              <c:f>'LCA Outputs'!$C$100:$L$100</c:f>
              <c:numCache>
                <c:formatCode>0.00%</c:formatCode>
                <c:ptCount val="10"/>
                <c:pt idx="0">
                  <c:v>1.8947433797530708E-2</c:v>
                </c:pt>
                <c:pt idx="1">
                  <c:v>4.3600242480163198E-2</c:v>
                </c:pt>
                <c:pt idx="2">
                  <c:v>8.9316102432421024E-2</c:v>
                </c:pt>
                <c:pt idx="3">
                  <c:v>4.9603753315713109E-2</c:v>
                </c:pt>
                <c:pt idx="4">
                  <c:v>7.6931489739609463E-2</c:v>
                </c:pt>
                <c:pt idx="5">
                  <c:v>2.971074647107029E-2</c:v>
                </c:pt>
                <c:pt idx="6">
                  <c:v>9.078808738187398E-2</c:v>
                </c:pt>
                <c:pt idx="7">
                  <c:v>5.9320950898763374E-2</c:v>
                </c:pt>
                <c:pt idx="8">
                  <c:v>1.9947910394969997E-2</c:v>
                </c:pt>
                <c:pt idx="9">
                  <c:v>0.12337970830339287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2F-4E2F-B60B-C8386A1942FB}"/>
            </c:ext>
          </c:extLst>
        </c:ser>
        <c:ser>
          <c:idx val="1"/>
          <c:order val="1"/>
          <c:tx>
            <c:strRef>
              <c:f>'LCA Outputs'!$B$101</c:f>
              <c:strCache>
                <c:ptCount val="1"/>
                <c:pt idx="0">
                  <c:v>Diammonium Phosphate (DAP)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'LCA Outputs'!$C$98:$L$99</c:f>
              <c:multiLvlStrCache>
                <c:ptCount val="10"/>
                <c:lvl>
                  <c:pt idx="0">
                    <c:v>kg PM2.5/MJ Fuel</c:v>
                  </c:pt>
                  <c:pt idx="1">
                    <c:v>kg SO2-eq/MJ Fuel</c:v>
                  </c:pt>
                  <c:pt idx="2">
                    <c:v>CTUe/MJ Fuel</c:v>
                  </c:pt>
                  <c:pt idx="3">
                    <c:v>CTUh/MJ Fuel</c:v>
                  </c:pt>
                  <c:pt idx="4">
                    <c:v>CTUh/MJ Fuel</c:v>
                  </c:pt>
                  <c:pt idx="5">
                    <c:v>g CO2-eq/MJ Fuel</c:v>
                  </c:pt>
                  <c:pt idx="6">
                    <c:v>kg O3-eq/MJ Fuel</c:v>
                  </c:pt>
                  <c:pt idx="7">
                    <c:v>kg CFC-11/MJ Fuel</c:v>
                  </c:pt>
                  <c:pt idx="8">
                    <c:v>kg N-eq/MJ Fuel</c:v>
                  </c:pt>
                  <c:pt idx="9">
                    <c:v>MJ Surplus/MJ Fuel</c:v>
                  </c:pt>
                </c:lvl>
                <c:lvl>
                  <c:pt idx="0">
                    <c:v>Respiratory Effects</c:v>
                  </c:pt>
                  <c:pt idx="1">
                    <c:v>Acidification</c:v>
                  </c:pt>
                  <c:pt idx="2">
                    <c:v>Ecotoxicity</c:v>
                  </c:pt>
                  <c:pt idx="3">
                    <c:v>Non-Carcinogenics</c:v>
                  </c:pt>
                  <c:pt idx="4">
                    <c:v>Carcinogenics</c:v>
                  </c:pt>
                  <c:pt idx="5">
                    <c:v>Global Warming Potential</c:v>
                  </c:pt>
                  <c:pt idx="6">
                    <c:v>Smog Formation</c:v>
                  </c:pt>
                  <c:pt idx="7">
                    <c:v>Ozone Depletion</c:v>
                  </c:pt>
                  <c:pt idx="8">
                    <c:v>Eutrophication</c:v>
                  </c:pt>
                  <c:pt idx="9">
                    <c:v>Fossil Fuel Depletion</c:v>
                  </c:pt>
                </c:lvl>
              </c:multiLvlStrCache>
            </c:multiLvlStrRef>
          </c:cat>
          <c:val>
            <c:numRef>
              <c:f>'LCA Outputs'!$C$101:$L$101</c:f>
              <c:numCache>
                <c:formatCode>0.00%</c:formatCode>
                <c:ptCount val="10"/>
                <c:pt idx="0">
                  <c:v>7.3343634833251639E-2</c:v>
                </c:pt>
                <c:pt idx="1">
                  <c:v>0.14490128440726385</c:v>
                </c:pt>
                <c:pt idx="2">
                  <c:v>0.36664684029843719</c:v>
                </c:pt>
                <c:pt idx="3">
                  <c:v>0.25897105666086118</c:v>
                </c:pt>
                <c:pt idx="4">
                  <c:v>9.0501272658968165E-2</c:v>
                </c:pt>
                <c:pt idx="5">
                  <c:v>9.497635214926298E-3</c:v>
                </c:pt>
                <c:pt idx="6">
                  <c:v>8.9470041721050414E-2</c:v>
                </c:pt>
                <c:pt idx="7">
                  <c:v>2.77594442842076E-2</c:v>
                </c:pt>
                <c:pt idx="8">
                  <c:v>0.11701697652024606</c:v>
                </c:pt>
                <c:pt idx="9">
                  <c:v>2.9275320965343743E-2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2F-4E2F-B60B-C8386A1942FB}"/>
            </c:ext>
          </c:extLst>
        </c:ser>
        <c:ser>
          <c:idx val="2"/>
          <c:order val="2"/>
          <c:tx>
            <c:strRef>
              <c:f>'LCA Outputs'!$B$102</c:f>
              <c:strCache>
                <c:ptCount val="1"/>
                <c:pt idx="0">
                  <c:v>Process Water (Cultivation &amp; Dewatering)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'LCA Outputs'!$C$98:$L$99</c:f>
              <c:multiLvlStrCache>
                <c:ptCount val="10"/>
                <c:lvl>
                  <c:pt idx="0">
                    <c:v>kg PM2.5/MJ Fuel</c:v>
                  </c:pt>
                  <c:pt idx="1">
                    <c:v>kg SO2-eq/MJ Fuel</c:v>
                  </c:pt>
                  <c:pt idx="2">
                    <c:v>CTUe/MJ Fuel</c:v>
                  </c:pt>
                  <c:pt idx="3">
                    <c:v>CTUh/MJ Fuel</c:v>
                  </c:pt>
                  <c:pt idx="4">
                    <c:v>CTUh/MJ Fuel</c:v>
                  </c:pt>
                  <c:pt idx="5">
                    <c:v>g CO2-eq/MJ Fuel</c:v>
                  </c:pt>
                  <c:pt idx="6">
                    <c:v>kg O3-eq/MJ Fuel</c:v>
                  </c:pt>
                  <c:pt idx="7">
                    <c:v>kg CFC-11/MJ Fuel</c:v>
                  </c:pt>
                  <c:pt idx="8">
                    <c:v>kg N-eq/MJ Fuel</c:v>
                  </c:pt>
                  <c:pt idx="9">
                    <c:v>MJ Surplus/MJ Fuel</c:v>
                  </c:pt>
                </c:lvl>
                <c:lvl>
                  <c:pt idx="0">
                    <c:v>Respiratory Effects</c:v>
                  </c:pt>
                  <c:pt idx="1">
                    <c:v>Acidification</c:v>
                  </c:pt>
                  <c:pt idx="2">
                    <c:v>Ecotoxicity</c:v>
                  </c:pt>
                  <c:pt idx="3">
                    <c:v>Non-Carcinogenics</c:v>
                  </c:pt>
                  <c:pt idx="4">
                    <c:v>Carcinogenics</c:v>
                  </c:pt>
                  <c:pt idx="5">
                    <c:v>Global Warming Potential</c:v>
                  </c:pt>
                  <c:pt idx="6">
                    <c:v>Smog Formation</c:v>
                  </c:pt>
                  <c:pt idx="7">
                    <c:v>Ozone Depletion</c:v>
                  </c:pt>
                  <c:pt idx="8">
                    <c:v>Eutrophication</c:v>
                  </c:pt>
                  <c:pt idx="9">
                    <c:v>Fossil Fuel Depletion</c:v>
                  </c:pt>
                </c:lvl>
              </c:multiLvlStrCache>
            </c:multiLvlStrRef>
          </c:cat>
          <c:val>
            <c:numRef>
              <c:f>'LCA Outputs'!$C$102:$L$102</c:f>
              <c:numCache>
                <c:formatCode>0.00%</c:formatCode>
                <c:ptCount val="10"/>
                <c:pt idx="0">
                  <c:v>2.3746204841069478E-4</c:v>
                </c:pt>
                <c:pt idx="1">
                  <c:v>1.3293703621085456E-4</c:v>
                </c:pt>
                <c:pt idx="2">
                  <c:v>1.4291143838695219E-4</c:v>
                </c:pt>
                <c:pt idx="3">
                  <c:v>1.4930867978615162E-4</c:v>
                </c:pt>
                <c:pt idx="4">
                  <c:v>1.702125761367631E-4</c:v>
                </c:pt>
                <c:pt idx="5">
                  <c:v>2.2557426627989888E-5</c:v>
                </c:pt>
                <c:pt idx="6">
                  <c:v>1.3704345413481734E-4</c:v>
                </c:pt>
                <c:pt idx="7">
                  <c:v>2.9172643036579998E-4</c:v>
                </c:pt>
                <c:pt idx="8">
                  <c:v>2.1478973640638924E-4</c:v>
                </c:pt>
                <c:pt idx="9">
                  <c:v>4.3424747871572562E-5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2F-4E2F-B60B-C8386A1942FB}"/>
            </c:ext>
          </c:extLst>
        </c:ser>
        <c:ser>
          <c:idx val="3"/>
          <c:order val="3"/>
          <c:tx>
            <c:strRef>
              <c:f>'LCA Outputs'!$B$103</c:f>
              <c:strCache>
                <c:ptCount val="1"/>
                <c:pt idx="0">
                  <c:v>Electricity (Cultivation)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'LCA Outputs'!$C$98:$L$99</c:f>
              <c:multiLvlStrCache>
                <c:ptCount val="10"/>
                <c:lvl>
                  <c:pt idx="0">
                    <c:v>kg PM2.5/MJ Fuel</c:v>
                  </c:pt>
                  <c:pt idx="1">
                    <c:v>kg SO2-eq/MJ Fuel</c:v>
                  </c:pt>
                  <c:pt idx="2">
                    <c:v>CTUe/MJ Fuel</c:v>
                  </c:pt>
                  <c:pt idx="3">
                    <c:v>CTUh/MJ Fuel</c:v>
                  </c:pt>
                  <c:pt idx="4">
                    <c:v>CTUh/MJ Fuel</c:v>
                  </c:pt>
                  <c:pt idx="5">
                    <c:v>g CO2-eq/MJ Fuel</c:v>
                  </c:pt>
                  <c:pt idx="6">
                    <c:v>kg O3-eq/MJ Fuel</c:v>
                  </c:pt>
                  <c:pt idx="7">
                    <c:v>kg CFC-11/MJ Fuel</c:v>
                  </c:pt>
                  <c:pt idx="8">
                    <c:v>kg N-eq/MJ Fuel</c:v>
                  </c:pt>
                  <c:pt idx="9">
                    <c:v>MJ Surplus/MJ Fuel</c:v>
                  </c:pt>
                </c:lvl>
                <c:lvl>
                  <c:pt idx="0">
                    <c:v>Respiratory Effects</c:v>
                  </c:pt>
                  <c:pt idx="1">
                    <c:v>Acidification</c:v>
                  </c:pt>
                  <c:pt idx="2">
                    <c:v>Ecotoxicity</c:v>
                  </c:pt>
                  <c:pt idx="3">
                    <c:v>Non-Carcinogenics</c:v>
                  </c:pt>
                  <c:pt idx="4">
                    <c:v>Carcinogenics</c:v>
                  </c:pt>
                  <c:pt idx="5">
                    <c:v>Global Warming Potential</c:v>
                  </c:pt>
                  <c:pt idx="6">
                    <c:v>Smog Formation</c:v>
                  </c:pt>
                  <c:pt idx="7">
                    <c:v>Ozone Depletion</c:v>
                  </c:pt>
                  <c:pt idx="8">
                    <c:v>Eutrophication</c:v>
                  </c:pt>
                  <c:pt idx="9">
                    <c:v>Fossil Fuel Depletion</c:v>
                  </c:pt>
                </c:lvl>
              </c:multiLvlStrCache>
            </c:multiLvlStrRef>
          </c:cat>
          <c:val>
            <c:numRef>
              <c:f>'LCA Outputs'!$C$103:$L$103</c:f>
              <c:numCache>
                <c:formatCode>0.00%</c:formatCode>
                <c:ptCount val="10"/>
                <c:pt idx="0">
                  <c:v>0.40592964422205785</c:v>
                </c:pt>
                <c:pt idx="1">
                  <c:v>0.25027500248715112</c:v>
                </c:pt>
                <c:pt idx="2">
                  <c:v>0.20163883768015381</c:v>
                </c:pt>
                <c:pt idx="3">
                  <c:v>0.3338089639247051</c:v>
                </c:pt>
                <c:pt idx="4">
                  <c:v>0.3370994074970135</c:v>
                </c:pt>
                <c:pt idx="5">
                  <c:v>8.1176560531777964E-2</c:v>
                </c:pt>
                <c:pt idx="6">
                  <c:v>0.29485444980574516</c:v>
                </c:pt>
                <c:pt idx="7">
                  <c:v>0.17309596443166456</c:v>
                </c:pt>
                <c:pt idx="8">
                  <c:v>0.4377793821292279</c:v>
                </c:pt>
                <c:pt idx="9">
                  <c:v>0.2113340870748725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02F-4E2F-B60B-C8386A1942FB}"/>
            </c:ext>
          </c:extLst>
        </c:ser>
        <c:ser>
          <c:idx val="4"/>
          <c:order val="4"/>
          <c:tx>
            <c:strRef>
              <c:f>'LCA Outputs'!$B$104</c:f>
              <c:strCache>
                <c:ptCount val="1"/>
                <c:pt idx="0">
                  <c:v>Electricity (Dewatering)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'LCA Outputs'!$C$98:$L$99</c:f>
              <c:multiLvlStrCache>
                <c:ptCount val="10"/>
                <c:lvl>
                  <c:pt idx="0">
                    <c:v>kg PM2.5/MJ Fuel</c:v>
                  </c:pt>
                  <c:pt idx="1">
                    <c:v>kg SO2-eq/MJ Fuel</c:v>
                  </c:pt>
                  <c:pt idx="2">
                    <c:v>CTUe/MJ Fuel</c:v>
                  </c:pt>
                  <c:pt idx="3">
                    <c:v>CTUh/MJ Fuel</c:v>
                  </c:pt>
                  <c:pt idx="4">
                    <c:v>CTUh/MJ Fuel</c:v>
                  </c:pt>
                  <c:pt idx="5">
                    <c:v>g CO2-eq/MJ Fuel</c:v>
                  </c:pt>
                  <c:pt idx="6">
                    <c:v>kg O3-eq/MJ Fuel</c:v>
                  </c:pt>
                  <c:pt idx="7">
                    <c:v>kg CFC-11/MJ Fuel</c:v>
                  </c:pt>
                  <c:pt idx="8">
                    <c:v>kg N-eq/MJ Fuel</c:v>
                  </c:pt>
                  <c:pt idx="9">
                    <c:v>MJ Surplus/MJ Fuel</c:v>
                  </c:pt>
                </c:lvl>
                <c:lvl>
                  <c:pt idx="0">
                    <c:v>Respiratory Effects</c:v>
                  </c:pt>
                  <c:pt idx="1">
                    <c:v>Acidification</c:v>
                  </c:pt>
                  <c:pt idx="2">
                    <c:v>Ecotoxicity</c:v>
                  </c:pt>
                  <c:pt idx="3">
                    <c:v>Non-Carcinogenics</c:v>
                  </c:pt>
                  <c:pt idx="4">
                    <c:v>Carcinogenics</c:v>
                  </c:pt>
                  <c:pt idx="5">
                    <c:v>Global Warming Potential</c:v>
                  </c:pt>
                  <c:pt idx="6">
                    <c:v>Smog Formation</c:v>
                  </c:pt>
                  <c:pt idx="7">
                    <c:v>Ozone Depletion</c:v>
                  </c:pt>
                  <c:pt idx="8">
                    <c:v>Eutrophication</c:v>
                  </c:pt>
                  <c:pt idx="9">
                    <c:v>Fossil Fuel Depletion</c:v>
                  </c:pt>
                </c:lvl>
              </c:multiLvlStrCache>
            </c:multiLvlStrRef>
          </c:cat>
          <c:val>
            <c:numRef>
              <c:f>'LCA Outputs'!$C$104:$L$104</c:f>
              <c:numCache>
                <c:formatCode>0.00%</c:formatCode>
                <c:ptCount val="10"/>
                <c:pt idx="0">
                  <c:v>0.13094266614053174</c:v>
                </c:pt>
                <c:pt idx="1">
                  <c:v>8.0732404150480108E-2</c:v>
                </c:pt>
                <c:pt idx="2">
                  <c:v>6.5043603932689889E-2</c:v>
                </c:pt>
                <c:pt idx="3">
                  <c:v>0.10767835347841372</c:v>
                </c:pt>
                <c:pt idx="4">
                  <c:v>0.10873976759358324</c:v>
                </c:pt>
                <c:pt idx="5">
                  <c:v>2.6185511246708974E-2</c:v>
                </c:pt>
                <c:pt idx="6">
                  <c:v>9.5112609612328189E-2</c:v>
                </c:pt>
                <c:pt idx="7">
                  <c:v>5.5836392841637106E-2</c:v>
                </c:pt>
                <c:pt idx="8">
                  <c:v>0.1412165883750966</c:v>
                </c:pt>
                <c:pt idx="9">
                  <c:v>6.8171046884226011E-2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02F-4E2F-B60B-C8386A1942FB}"/>
            </c:ext>
          </c:extLst>
        </c:ser>
        <c:ser>
          <c:idx val="5"/>
          <c:order val="5"/>
          <c:tx>
            <c:strRef>
              <c:f>'LCA Outputs'!$B$105</c:f>
              <c:strCache>
                <c:ptCount val="1"/>
                <c:pt idx="0">
                  <c:v>Electricity (Storage)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'LCA Outputs'!$C$98:$L$99</c:f>
              <c:multiLvlStrCache>
                <c:ptCount val="10"/>
                <c:lvl>
                  <c:pt idx="0">
                    <c:v>kg PM2.5/MJ Fuel</c:v>
                  </c:pt>
                  <c:pt idx="1">
                    <c:v>kg SO2-eq/MJ Fuel</c:v>
                  </c:pt>
                  <c:pt idx="2">
                    <c:v>CTUe/MJ Fuel</c:v>
                  </c:pt>
                  <c:pt idx="3">
                    <c:v>CTUh/MJ Fuel</c:v>
                  </c:pt>
                  <c:pt idx="4">
                    <c:v>CTUh/MJ Fuel</c:v>
                  </c:pt>
                  <c:pt idx="5">
                    <c:v>g CO2-eq/MJ Fuel</c:v>
                  </c:pt>
                  <c:pt idx="6">
                    <c:v>kg O3-eq/MJ Fuel</c:v>
                  </c:pt>
                  <c:pt idx="7">
                    <c:v>kg CFC-11/MJ Fuel</c:v>
                  </c:pt>
                  <c:pt idx="8">
                    <c:v>kg N-eq/MJ Fuel</c:v>
                  </c:pt>
                  <c:pt idx="9">
                    <c:v>MJ Surplus/MJ Fuel</c:v>
                  </c:pt>
                </c:lvl>
                <c:lvl>
                  <c:pt idx="0">
                    <c:v>Respiratory Effects</c:v>
                  </c:pt>
                  <c:pt idx="1">
                    <c:v>Acidification</c:v>
                  </c:pt>
                  <c:pt idx="2">
                    <c:v>Ecotoxicity</c:v>
                  </c:pt>
                  <c:pt idx="3">
                    <c:v>Non-Carcinogenics</c:v>
                  </c:pt>
                  <c:pt idx="4">
                    <c:v>Carcinogenics</c:v>
                  </c:pt>
                  <c:pt idx="5">
                    <c:v>Global Warming Potential</c:v>
                  </c:pt>
                  <c:pt idx="6">
                    <c:v>Smog Formation</c:v>
                  </c:pt>
                  <c:pt idx="7">
                    <c:v>Ozone Depletion</c:v>
                  </c:pt>
                  <c:pt idx="8">
                    <c:v>Eutrophication</c:v>
                  </c:pt>
                  <c:pt idx="9">
                    <c:v>Fossil Fuel Depletion</c:v>
                  </c:pt>
                </c:lvl>
              </c:multiLvlStrCache>
            </c:multiLvlStrRef>
          </c:cat>
          <c:val>
            <c:numRef>
              <c:f>'LCA Outputs'!$C$105:$L$105</c:f>
              <c:numCache>
                <c:formatCode>0.00%</c:formatCode>
                <c:ptCount val="10"/>
                <c:pt idx="0">
                  <c:v>3.6393926166193124E-4</c:v>
                </c:pt>
                <c:pt idx="1">
                  <c:v>2.2438592725143559E-4</c:v>
                </c:pt>
                <c:pt idx="2">
                  <c:v>1.807808095620171E-4</c:v>
                </c:pt>
                <c:pt idx="3">
                  <c:v>2.9927892578457318E-4</c:v>
                </c:pt>
                <c:pt idx="4">
                  <c:v>3.0222899760438607E-4</c:v>
                </c:pt>
                <c:pt idx="5">
                  <c:v>7.277945310155545E-5</c:v>
                </c:pt>
                <c:pt idx="6">
                  <c:v>2.643539645045879E-4</c:v>
                </c:pt>
                <c:pt idx="7">
                  <c:v>1.5519048285485317E-4</c:v>
                </c:pt>
                <c:pt idx="8">
                  <c:v>3.9249438263683754E-4</c:v>
                </c:pt>
                <c:pt idx="9">
                  <c:v>1.8947315799373692E-4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02F-4E2F-B60B-C8386A1942FB}"/>
            </c:ext>
          </c:extLst>
        </c:ser>
        <c:ser>
          <c:idx val="6"/>
          <c:order val="6"/>
          <c:tx>
            <c:strRef>
              <c:f>'LCA Outputs'!$B$106</c:f>
              <c:strCache>
                <c:ptCount val="1"/>
                <c:pt idx="0">
                  <c:v>Natural Gas Transport (HTL &amp; UG)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'LCA Outputs'!$C$98:$L$99</c:f>
              <c:multiLvlStrCache>
                <c:ptCount val="10"/>
                <c:lvl>
                  <c:pt idx="0">
                    <c:v>kg PM2.5/MJ Fuel</c:v>
                  </c:pt>
                  <c:pt idx="1">
                    <c:v>kg SO2-eq/MJ Fuel</c:v>
                  </c:pt>
                  <c:pt idx="2">
                    <c:v>CTUe/MJ Fuel</c:v>
                  </c:pt>
                  <c:pt idx="3">
                    <c:v>CTUh/MJ Fuel</c:v>
                  </c:pt>
                  <c:pt idx="4">
                    <c:v>CTUh/MJ Fuel</c:v>
                  </c:pt>
                  <c:pt idx="5">
                    <c:v>g CO2-eq/MJ Fuel</c:v>
                  </c:pt>
                  <c:pt idx="6">
                    <c:v>kg O3-eq/MJ Fuel</c:v>
                  </c:pt>
                  <c:pt idx="7">
                    <c:v>kg CFC-11/MJ Fuel</c:v>
                  </c:pt>
                  <c:pt idx="8">
                    <c:v>kg N-eq/MJ Fuel</c:v>
                  </c:pt>
                  <c:pt idx="9">
                    <c:v>MJ Surplus/MJ Fuel</c:v>
                  </c:pt>
                </c:lvl>
                <c:lvl>
                  <c:pt idx="0">
                    <c:v>Respiratory Effects</c:v>
                  </c:pt>
                  <c:pt idx="1">
                    <c:v>Acidification</c:v>
                  </c:pt>
                  <c:pt idx="2">
                    <c:v>Ecotoxicity</c:v>
                  </c:pt>
                  <c:pt idx="3">
                    <c:v>Non-Carcinogenics</c:v>
                  </c:pt>
                  <c:pt idx="4">
                    <c:v>Carcinogenics</c:v>
                  </c:pt>
                  <c:pt idx="5">
                    <c:v>Global Warming Potential</c:v>
                  </c:pt>
                  <c:pt idx="6">
                    <c:v>Smog Formation</c:v>
                  </c:pt>
                  <c:pt idx="7">
                    <c:v>Ozone Depletion</c:v>
                  </c:pt>
                  <c:pt idx="8">
                    <c:v>Eutrophication</c:v>
                  </c:pt>
                  <c:pt idx="9">
                    <c:v>Fossil Fuel Depletion</c:v>
                  </c:pt>
                </c:lvl>
              </c:multiLvlStrCache>
            </c:multiLvlStrRef>
          </c:cat>
          <c:val>
            <c:numRef>
              <c:f>'LCA Outputs'!$C$106:$L$106</c:f>
              <c:numCache>
                <c:formatCode>0.00%</c:formatCode>
                <c:ptCount val="10"/>
                <c:pt idx="0">
                  <c:v>1.6291263547389436E-3</c:v>
                </c:pt>
                <c:pt idx="1">
                  <c:v>2.762442045845229E-3</c:v>
                </c:pt>
                <c:pt idx="2">
                  <c:v>2.6492782415634729E-3</c:v>
                </c:pt>
                <c:pt idx="3">
                  <c:v>1.9950935129872073E-3</c:v>
                </c:pt>
                <c:pt idx="4">
                  <c:v>8.0249324178041943E-3</c:v>
                </c:pt>
                <c:pt idx="5">
                  <c:v>1.2606777588929836E-3</c:v>
                </c:pt>
                <c:pt idx="6">
                  <c:v>6.1931748504342882E-3</c:v>
                </c:pt>
                <c:pt idx="7">
                  <c:v>4.3573336949122047E-3</c:v>
                </c:pt>
                <c:pt idx="8">
                  <c:v>1.3408555146180408E-3</c:v>
                </c:pt>
                <c:pt idx="9">
                  <c:v>2.9520471261577717E-2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02F-4E2F-B60B-C8386A1942FB}"/>
            </c:ext>
          </c:extLst>
        </c:ser>
        <c:ser>
          <c:idx val="7"/>
          <c:order val="7"/>
          <c:tx>
            <c:strRef>
              <c:f>'LCA Outputs'!$B$107</c:f>
              <c:strCache>
                <c:ptCount val="1"/>
                <c:pt idx="0">
                  <c:v>Hydrogen (HTL &amp; UG)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'LCA Outputs'!$C$98:$L$99</c:f>
              <c:multiLvlStrCache>
                <c:ptCount val="10"/>
                <c:lvl>
                  <c:pt idx="0">
                    <c:v>kg PM2.5/MJ Fuel</c:v>
                  </c:pt>
                  <c:pt idx="1">
                    <c:v>kg SO2-eq/MJ Fuel</c:v>
                  </c:pt>
                  <c:pt idx="2">
                    <c:v>CTUe/MJ Fuel</c:v>
                  </c:pt>
                  <c:pt idx="3">
                    <c:v>CTUh/MJ Fuel</c:v>
                  </c:pt>
                  <c:pt idx="4">
                    <c:v>CTUh/MJ Fuel</c:v>
                  </c:pt>
                  <c:pt idx="5">
                    <c:v>g CO2-eq/MJ Fuel</c:v>
                  </c:pt>
                  <c:pt idx="6">
                    <c:v>kg O3-eq/MJ Fuel</c:v>
                  </c:pt>
                  <c:pt idx="7">
                    <c:v>kg CFC-11/MJ Fuel</c:v>
                  </c:pt>
                  <c:pt idx="8">
                    <c:v>kg N-eq/MJ Fuel</c:v>
                  </c:pt>
                  <c:pt idx="9">
                    <c:v>MJ Surplus/MJ Fuel</c:v>
                  </c:pt>
                </c:lvl>
                <c:lvl>
                  <c:pt idx="0">
                    <c:v>Respiratory Effects</c:v>
                  </c:pt>
                  <c:pt idx="1">
                    <c:v>Acidification</c:v>
                  </c:pt>
                  <c:pt idx="2">
                    <c:v>Ecotoxicity</c:v>
                  </c:pt>
                  <c:pt idx="3">
                    <c:v>Non-Carcinogenics</c:v>
                  </c:pt>
                  <c:pt idx="4">
                    <c:v>Carcinogenics</c:v>
                  </c:pt>
                  <c:pt idx="5">
                    <c:v>Global Warming Potential</c:v>
                  </c:pt>
                  <c:pt idx="6">
                    <c:v>Smog Formation</c:v>
                  </c:pt>
                  <c:pt idx="7">
                    <c:v>Ozone Depletion</c:v>
                  </c:pt>
                  <c:pt idx="8">
                    <c:v>Eutrophication</c:v>
                  </c:pt>
                  <c:pt idx="9">
                    <c:v>Fossil Fuel Depletion</c:v>
                  </c:pt>
                </c:lvl>
              </c:multiLvlStrCache>
            </c:multiLvlStrRef>
          </c:cat>
          <c:val>
            <c:numRef>
              <c:f>'LCA Outputs'!$C$107:$L$107</c:f>
              <c:numCache>
                <c:formatCode>0.00%</c:formatCode>
                <c:ptCount val="10"/>
                <c:pt idx="0">
                  <c:v>4.7689681221453228E-2</c:v>
                </c:pt>
                <c:pt idx="1">
                  <c:v>8.2160221875268211E-2</c:v>
                </c:pt>
                <c:pt idx="2">
                  <c:v>0.14400987016748878</c:v>
                </c:pt>
                <c:pt idx="3">
                  <c:v>7.9837237911716069E-2</c:v>
                </c:pt>
                <c:pt idx="4">
                  <c:v>0.19819607032167716</c:v>
                </c:pt>
                <c:pt idx="5">
                  <c:v>9.7250680606669776E-2</c:v>
                </c:pt>
                <c:pt idx="6">
                  <c:v>0.14011260733891975</c:v>
                </c:pt>
                <c:pt idx="7">
                  <c:v>0.47396632394956567</c:v>
                </c:pt>
                <c:pt idx="8">
                  <c:v>3.4228492844892065E-2</c:v>
                </c:pt>
                <c:pt idx="9">
                  <c:v>0.46014760825931356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02F-4E2F-B60B-C8386A1942FB}"/>
            </c:ext>
          </c:extLst>
        </c:ser>
        <c:ser>
          <c:idx val="8"/>
          <c:order val="8"/>
          <c:tx>
            <c:strRef>
              <c:f>'LCA Outputs'!$B$108</c:f>
              <c:strCache>
                <c:ptCount val="1"/>
                <c:pt idx="0">
                  <c:v>Process Water (HTL &amp; UG)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'LCA Outputs'!$C$98:$L$99</c:f>
              <c:multiLvlStrCache>
                <c:ptCount val="10"/>
                <c:lvl>
                  <c:pt idx="0">
                    <c:v>kg PM2.5/MJ Fuel</c:v>
                  </c:pt>
                  <c:pt idx="1">
                    <c:v>kg SO2-eq/MJ Fuel</c:v>
                  </c:pt>
                  <c:pt idx="2">
                    <c:v>CTUe/MJ Fuel</c:v>
                  </c:pt>
                  <c:pt idx="3">
                    <c:v>CTUh/MJ Fuel</c:v>
                  </c:pt>
                  <c:pt idx="4">
                    <c:v>CTUh/MJ Fuel</c:v>
                  </c:pt>
                  <c:pt idx="5">
                    <c:v>g CO2-eq/MJ Fuel</c:v>
                  </c:pt>
                  <c:pt idx="6">
                    <c:v>kg O3-eq/MJ Fuel</c:v>
                  </c:pt>
                  <c:pt idx="7">
                    <c:v>kg CFC-11/MJ Fuel</c:v>
                  </c:pt>
                  <c:pt idx="8">
                    <c:v>kg N-eq/MJ Fuel</c:v>
                  </c:pt>
                  <c:pt idx="9">
                    <c:v>MJ Surplus/MJ Fuel</c:v>
                  </c:pt>
                </c:lvl>
                <c:lvl>
                  <c:pt idx="0">
                    <c:v>Respiratory Effects</c:v>
                  </c:pt>
                  <c:pt idx="1">
                    <c:v>Acidification</c:v>
                  </c:pt>
                  <c:pt idx="2">
                    <c:v>Ecotoxicity</c:v>
                  </c:pt>
                  <c:pt idx="3">
                    <c:v>Non-Carcinogenics</c:v>
                  </c:pt>
                  <c:pt idx="4">
                    <c:v>Carcinogenics</c:v>
                  </c:pt>
                  <c:pt idx="5">
                    <c:v>Global Warming Potential</c:v>
                  </c:pt>
                  <c:pt idx="6">
                    <c:v>Smog Formation</c:v>
                  </c:pt>
                  <c:pt idx="7">
                    <c:v>Ozone Depletion</c:v>
                  </c:pt>
                  <c:pt idx="8">
                    <c:v>Eutrophication</c:v>
                  </c:pt>
                  <c:pt idx="9">
                    <c:v>Fossil Fuel Depletion</c:v>
                  </c:pt>
                </c:lvl>
              </c:multiLvlStrCache>
            </c:multiLvlStrRef>
          </c:cat>
          <c:val>
            <c:numRef>
              <c:f>'LCA Outputs'!$C$108:$L$108</c:f>
              <c:numCache>
                <c:formatCode>0.00%</c:formatCode>
                <c:ptCount val="10"/>
                <c:pt idx="0">
                  <c:v>0.13106065565537539</c:v>
                </c:pt>
                <c:pt idx="1">
                  <c:v>7.3370945981835023E-2</c:v>
                </c:pt>
                <c:pt idx="2">
                  <c:v>7.8876043313046623E-2</c:v>
                </c:pt>
                <c:pt idx="3">
                  <c:v>8.2406825001220693E-2</c:v>
                </c:pt>
                <c:pt idx="4">
                  <c:v>9.394415646028749E-2</c:v>
                </c:pt>
                <c:pt idx="5">
                  <c:v>1.2449952080971051E-2</c:v>
                </c:pt>
                <c:pt idx="6">
                  <c:v>7.5637370570991846E-2</c:v>
                </c:pt>
                <c:pt idx="7">
                  <c:v>0.16101039088830663</c:v>
                </c:pt>
                <c:pt idx="8">
                  <c:v>0.11854729574630751</c:v>
                </c:pt>
                <c:pt idx="9">
                  <c:v>2.3967096914259342E-2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02F-4E2F-B60B-C8386A1942FB}"/>
            </c:ext>
          </c:extLst>
        </c:ser>
        <c:ser>
          <c:idx val="9"/>
          <c:order val="9"/>
          <c:tx>
            <c:strRef>
              <c:f>'LCA Outputs'!$B$109</c:f>
              <c:strCache>
                <c:ptCount val="1"/>
                <c:pt idx="0">
                  <c:v>Electricity (HTL &amp; UG)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'LCA Outputs'!$C$98:$L$99</c:f>
              <c:multiLvlStrCache>
                <c:ptCount val="10"/>
                <c:lvl>
                  <c:pt idx="0">
                    <c:v>kg PM2.5/MJ Fuel</c:v>
                  </c:pt>
                  <c:pt idx="1">
                    <c:v>kg SO2-eq/MJ Fuel</c:v>
                  </c:pt>
                  <c:pt idx="2">
                    <c:v>CTUe/MJ Fuel</c:v>
                  </c:pt>
                  <c:pt idx="3">
                    <c:v>CTUh/MJ Fuel</c:v>
                  </c:pt>
                  <c:pt idx="4">
                    <c:v>CTUh/MJ Fuel</c:v>
                  </c:pt>
                  <c:pt idx="5">
                    <c:v>g CO2-eq/MJ Fuel</c:v>
                  </c:pt>
                  <c:pt idx="6">
                    <c:v>kg O3-eq/MJ Fuel</c:v>
                  </c:pt>
                  <c:pt idx="7">
                    <c:v>kg CFC-11/MJ Fuel</c:v>
                  </c:pt>
                  <c:pt idx="8">
                    <c:v>kg N-eq/MJ Fuel</c:v>
                  </c:pt>
                  <c:pt idx="9">
                    <c:v>MJ Surplus/MJ Fuel</c:v>
                  </c:pt>
                </c:lvl>
                <c:lvl>
                  <c:pt idx="0">
                    <c:v>Respiratory Effects</c:v>
                  </c:pt>
                  <c:pt idx="1">
                    <c:v>Acidification</c:v>
                  </c:pt>
                  <c:pt idx="2">
                    <c:v>Ecotoxicity</c:v>
                  </c:pt>
                  <c:pt idx="3">
                    <c:v>Non-Carcinogenics</c:v>
                  </c:pt>
                  <c:pt idx="4">
                    <c:v>Carcinogenics</c:v>
                  </c:pt>
                  <c:pt idx="5">
                    <c:v>Global Warming Potential</c:v>
                  </c:pt>
                  <c:pt idx="6">
                    <c:v>Smog Formation</c:v>
                  </c:pt>
                  <c:pt idx="7">
                    <c:v>Ozone Depletion</c:v>
                  </c:pt>
                  <c:pt idx="8">
                    <c:v>Eutrophication</c:v>
                  </c:pt>
                  <c:pt idx="9">
                    <c:v>Fossil Fuel Depletion</c:v>
                  </c:pt>
                </c:lvl>
              </c:multiLvlStrCache>
            </c:multiLvlStrRef>
          </c:cat>
          <c:val>
            <c:numRef>
              <c:f>'LCA Outputs'!$C$109:$L$109</c:f>
              <c:numCache>
                <c:formatCode>0.00%</c:formatCode>
                <c:ptCount val="10"/>
                <c:pt idx="0">
                  <c:v>0.10366873903286487</c:v>
                </c:pt>
                <c:pt idx="1">
                  <c:v>6.3916726182965997E-2</c:v>
                </c:pt>
                <c:pt idx="2">
                  <c:v>5.1495731686250136E-2</c:v>
                </c:pt>
                <c:pt idx="3">
                  <c:v>8.5250128588812299E-2</c:v>
                </c:pt>
                <c:pt idx="4">
                  <c:v>8.6090461737315743E-2</c:v>
                </c:pt>
                <c:pt idx="5">
                  <c:v>2.0731355270892437E-2</c:v>
                </c:pt>
                <c:pt idx="6">
                  <c:v>7.5301691917995087E-2</c:v>
                </c:pt>
                <c:pt idx="7">
                  <c:v>4.4206282097722191E-2</c:v>
                </c:pt>
                <c:pt idx="8">
                  <c:v>0.111802715485093</c:v>
                </c:pt>
                <c:pt idx="9">
                  <c:v>5.3971762431148887E-2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02F-4E2F-B60B-C8386A1942FB}"/>
            </c:ext>
          </c:extLst>
        </c:ser>
        <c:ser>
          <c:idx val="10"/>
          <c:order val="10"/>
          <c:tx>
            <c:strRef>
              <c:f>'LCA Outputs'!$B$110</c:f>
              <c:strCache>
                <c:ptCount val="1"/>
                <c:pt idx="0">
                  <c:v>Direct CO2 Emissions (Biorefinery &amp; Fuel End Use)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'LCA Outputs'!$C$98:$L$99</c:f>
              <c:multiLvlStrCache>
                <c:ptCount val="10"/>
                <c:lvl>
                  <c:pt idx="0">
                    <c:v>kg PM2.5/MJ Fuel</c:v>
                  </c:pt>
                  <c:pt idx="1">
                    <c:v>kg SO2-eq/MJ Fuel</c:v>
                  </c:pt>
                  <c:pt idx="2">
                    <c:v>CTUe/MJ Fuel</c:v>
                  </c:pt>
                  <c:pt idx="3">
                    <c:v>CTUh/MJ Fuel</c:v>
                  </c:pt>
                  <c:pt idx="4">
                    <c:v>CTUh/MJ Fuel</c:v>
                  </c:pt>
                  <c:pt idx="5">
                    <c:v>g CO2-eq/MJ Fuel</c:v>
                  </c:pt>
                  <c:pt idx="6">
                    <c:v>kg O3-eq/MJ Fuel</c:v>
                  </c:pt>
                  <c:pt idx="7">
                    <c:v>kg CFC-11/MJ Fuel</c:v>
                  </c:pt>
                  <c:pt idx="8">
                    <c:v>kg N-eq/MJ Fuel</c:v>
                  </c:pt>
                  <c:pt idx="9">
                    <c:v>MJ Surplus/MJ Fuel</c:v>
                  </c:pt>
                </c:lvl>
                <c:lvl>
                  <c:pt idx="0">
                    <c:v>Respiratory Effects</c:v>
                  </c:pt>
                  <c:pt idx="1">
                    <c:v>Acidification</c:v>
                  </c:pt>
                  <c:pt idx="2">
                    <c:v>Ecotoxicity</c:v>
                  </c:pt>
                  <c:pt idx="3">
                    <c:v>Non-Carcinogenics</c:v>
                  </c:pt>
                  <c:pt idx="4">
                    <c:v>Carcinogenics</c:v>
                  </c:pt>
                  <c:pt idx="5">
                    <c:v>Global Warming Potential</c:v>
                  </c:pt>
                  <c:pt idx="6">
                    <c:v>Smog Formation</c:v>
                  </c:pt>
                  <c:pt idx="7">
                    <c:v>Ozone Depletion</c:v>
                  </c:pt>
                  <c:pt idx="8">
                    <c:v>Eutrophication</c:v>
                  </c:pt>
                  <c:pt idx="9">
                    <c:v>Fossil Fuel Depletion</c:v>
                  </c:pt>
                </c:lvl>
              </c:multiLvlStrCache>
            </c:multiLvlStrRef>
          </c:cat>
          <c:val>
            <c:numRef>
              <c:f>'LCA Outputs'!$C$110:$L$110</c:f>
              <c:numCache>
                <c:formatCode>0.00%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0.7208299811906197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02F-4E2F-B60B-C8386A1942FB}"/>
            </c:ext>
          </c:extLst>
        </c:ser>
        <c:ser>
          <c:idx val="11"/>
          <c:order val="11"/>
          <c:tx>
            <c:strRef>
              <c:f>'LCA Outputs'!$B$111</c:f>
              <c:strCache>
                <c:ptCount val="1"/>
                <c:pt idx="0">
                  <c:v>Non-CO2 GHG Emissions (Biorefinery &amp; Fuel End Use)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'LCA Outputs'!$C$98:$L$99</c:f>
              <c:multiLvlStrCache>
                <c:ptCount val="10"/>
                <c:lvl>
                  <c:pt idx="0">
                    <c:v>kg PM2.5/MJ Fuel</c:v>
                  </c:pt>
                  <c:pt idx="1">
                    <c:v>kg SO2-eq/MJ Fuel</c:v>
                  </c:pt>
                  <c:pt idx="2">
                    <c:v>CTUe/MJ Fuel</c:v>
                  </c:pt>
                  <c:pt idx="3">
                    <c:v>CTUh/MJ Fuel</c:v>
                  </c:pt>
                  <c:pt idx="4">
                    <c:v>CTUh/MJ Fuel</c:v>
                  </c:pt>
                  <c:pt idx="5">
                    <c:v>g CO2-eq/MJ Fuel</c:v>
                  </c:pt>
                  <c:pt idx="6">
                    <c:v>kg O3-eq/MJ Fuel</c:v>
                  </c:pt>
                  <c:pt idx="7">
                    <c:v>kg CFC-11/MJ Fuel</c:v>
                  </c:pt>
                  <c:pt idx="8">
                    <c:v>kg N-eq/MJ Fuel</c:v>
                  </c:pt>
                  <c:pt idx="9">
                    <c:v>MJ Surplus/MJ Fuel</c:v>
                  </c:pt>
                </c:lvl>
                <c:lvl>
                  <c:pt idx="0">
                    <c:v>Respiratory Effects</c:v>
                  </c:pt>
                  <c:pt idx="1">
                    <c:v>Acidification</c:v>
                  </c:pt>
                  <c:pt idx="2">
                    <c:v>Ecotoxicity</c:v>
                  </c:pt>
                  <c:pt idx="3">
                    <c:v>Non-Carcinogenics</c:v>
                  </c:pt>
                  <c:pt idx="4">
                    <c:v>Carcinogenics</c:v>
                  </c:pt>
                  <c:pt idx="5">
                    <c:v>Global Warming Potential</c:v>
                  </c:pt>
                  <c:pt idx="6">
                    <c:v>Smog Formation</c:v>
                  </c:pt>
                  <c:pt idx="7">
                    <c:v>Ozone Depletion</c:v>
                  </c:pt>
                  <c:pt idx="8">
                    <c:v>Eutrophication</c:v>
                  </c:pt>
                  <c:pt idx="9">
                    <c:v>Fossil Fuel Depletion</c:v>
                  </c:pt>
                </c:lvl>
              </c:multiLvlStrCache>
            </c:multiLvlStrRef>
          </c:cat>
          <c:val>
            <c:numRef>
              <c:f>'LCA Outputs'!$C$111:$L$111</c:f>
              <c:numCache>
                <c:formatCode>0.00%</c:formatCode>
                <c:ptCount val="10"/>
                <c:pt idx="0">
                  <c:v>8.6187017432123023E-2</c:v>
                </c:pt>
                <c:pt idx="1">
                  <c:v>0.25792340742556502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8.1156274774102561E-4</c:v>
                </c:pt>
                <c:pt idx="6">
                  <c:v>0.13212856938202183</c:v>
                </c:pt>
                <c:pt idx="7">
                  <c:v>0</c:v>
                </c:pt>
                <c:pt idx="8">
                  <c:v>1.7512498870505634E-2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02F-4E2F-B60B-C8386A1942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2"/>
        <c:overlap val="100"/>
        <c:axId val="954137824"/>
        <c:axId val="954136160"/>
      </c:barChart>
      <c:catAx>
        <c:axId val="954137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4136160"/>
        <c:crosses val="autoZero"/>
        <c:auto val="1"/>
        <c:lblAlgn val="ctr"/>
        <c:lblOffset val="100"/>
        <c:noMultiLvlLbl val="0"/>
      </c:catAx>
      <c:valAx>
        <c:axId val="954136160"/>
        <c:scaling>
          <c:orientation val="minMax"/>
          <c:max val="1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>
                    <a:solidFill>
                      <a:sysClr val="windowText" lastClr="000000"/>
                    </a:solidFill>
                  </a:rPr>
                  <a:t>%</a:t>
                </a:r>
                <a:r>
                  <a:rPr lang="en-US" sz="1600" baseline="0">
                    <a:solidFill>
                      <a:sysClr val="windowText" lastClr="000000"/>
                    </a:solidFill>
                  </a:rPr>
                  <a:t> of Impact Category by Process</a:t>
                </a:r>
                <a:endParaRPr lang="en-US" sz="160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5.1096136493442119E-3"/>
              <c:y val="0.1079723062580642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out"/>
        <c:minorTickMark val="out"/>
        <c:tickLblPos val="nextTo"/>
        <c:spPr>
          <a:noFill/>
          <a:ln w="635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4137824"/>
        <c:crosses val="autoZero"/>
        <c:crossBetween val="between"/>
        <c:majorUnit val="0.1"/>
        <c:minorUnit val="5.000000000000001E-2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531874867908519"/>
          <c:y val="0.23305425346827352"/>
          <c:w val="0.26087306699010099"/>
          <c:h val="0.40478905602223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System Global Warming Potential (kg CO2-eq/kg</a:t>
            </a:r>
            <a:r>
              <a:rPr lang="en-US" baseline="0"/>
              <a:t> AFDW</a:t>
            </a:r>
            <a:r>
              <a:rPr lang="en-US"/>
              <a:t>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081668235654073"/>
          <c:y val="8.5313135828209874E-2"/>
          <c:w val="0.46784401600981973"/>
          <c:h val="0.8893850444330382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'LCA Outputs'!$A$81</c:f>
              <c:strCache>
                <c:ptCount val="1"/>
                <c:pt idx="0">
                  <c:v>CO2 Uptake (from Biomass Growth)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'LCA Outputs'!$H$81</c:f>
              <c:numCache>
                <c:formatCode>0.00E+00</c:formatCode>
                <c:ptCount val="1"/>
                <c:pt idx="0">
                  <c:v>-1.449242304299911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14-4752-9DFB-685DAD9918FC}"/>
            </c:ext>
          </c:extLst>
        </c:ser>
        <c:ser>
          <c:idx val="1"/>
          <c:order val="1"/>
          <c:tx>
            <c:strRef>
              <c:f>'LCA Outputs'!$A$82</c:f>
              <c:strCache>
                <c:ptCount val="1"/>
                <c:pt idx="0">
                  <c:v>Ammonia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val>
            <c:numRef>
              <c:f>'LCA Outputs'!$H$82</c:f>
              <c:numCache>
                <c:formatCode>0.00E+00</c:formatCode>
                <c:ptCount val="1"/>
                <c:pt idx="0">
                  <c:v>6.937461621645831E-2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14-4752-9DFB-685DAD9918FC}"/>
            </c:ext>
          </c:extLst>
        </c:ser>
        <c:ser>
          <c:idx val="2"/>
          <c:order val="2"/>
          <c:tx>
            <c:strRef>
              <c:f>'LCA Outputs'!$A$83</c:f>
              <c:strCache>
                <c:ptCount val="1"/>
                <c:pt idx="0">
                  <c:v>Diammonium Phosphate (DAP)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val>
            <c:numRef>
              <c:f>'LCA Outputs'!$H$83</c:f>
              <c:numCache>
                <c:formatCode>0.00E+00</c:formatCode>
                <c:ptCount val="1"/>
                <c:pt idx="0">
                  <c:v>2.2176985645278386E-2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614-4752-9DFB-685DAD9918FC}"/>
            </c:ext>
          </c:extLst>
        </c:ser>
        <c:ser>
          <c:idx val="3"/>
          <c:order val="3"/>
          <c:tx>
            <c:strRef>
              <c:f>'LCA Outputs'!$A$84</c:f>
              <c:strCache>
                <c:ptCount val="1"/>
                <c:pt idx="0">
                  <c:v>Process Water (Cultivation &amp; Dewatering)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val>
            <c:numRef>
              <c:f>'LCA Outputs'!$H$84</c:f>
              <c:numCache>
                <c:formatCode>0.00E+00</c:formatCode>
                <c:ptCount val="1"/>
                <c:pt idx="0">
                  <c:v>5.2671608795541029E-5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614-4752-9DFB-685DAD9918FC}"/>
            </c:ext>
          </c:extLst>
        </c:ser>
        <c:ser>
          <c:idx val="4"/>
          <c:order val="4"/>
          <c:tx>
            <c:strRef>
              <c:f>'LCA Outputs'!$A$85</c:f>
              <c:strCache>
                <c:ptCount val="1"/>
                <c:pt idx="0">
                  <c:v>Electricity (Cultivation)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val>
            <c:numRef>
              <c:f>'LCA Outputs'!$H$85</c:f>
              <c:numCache>
                <c:formatCode>0.00E+00</c:formatCode>
                <c:ptCount val="1"/>
                <c:pt idx="0">
                  <c:v>0.18954733224719689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614-4752-9DFB-685DAD9918FC}"/>
            </c:ext>
          </c:extLst>
        </c:ser>
        <c:ser>
          <c:idx val="5"/>
          <c:order val="5"/>
          <c:tx>
            <c:strRef>
              <c:f>'LCA Outputs'!$A$86</c:f>
              <c:strCache>
                <c:ptCount val="1"/>
                <c:pt idx="0">
                  <c:v>Electricity (Dewatering)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val>
            <c:numRef>
              <c:f>'LCA Outputs'!$H$86</c:f>
              <c:numCache>
                <c:formatCode>0.00E+00</c:formatCode>
                <c:ptCount val="1"/>
                <c:pt idx="0">
                  <c:v>6.1143189214079241E-2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614-4752-9DFB-685DAD9918FC}"/>
            </c:ext>
          </c:extLst>
        </c:ser>
        <c:ser>
          <c:idx val="6"/>
          <c:order val="6"/>
          <c:tx>
            <c:strRef>
              <c:f>'LCA Outputs'!$A$87</c:f>
              <c:strCache>
                <c:ptCount val="1"/>
                <c:pt idx="0">
                  <c:v>Electricity (Storage)</c:v>
                </c:pt>
              </c:strCache>
            </c:strRef>
          </c:tx>
          <c:spPr>
            <a:solidFill>
              <a:schemeClr val="tx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val>
            <c:numRef>
              <c:f>'LCA Outputs'!$H$87</c:f>
              <c:numCache>
                <c:formatCode>0.00E+00</c:formatCode>
                <c:ptCount val="1"/>
                <c:pt idx="0">
                  <c:v>1.6994007983880353E-4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614-4752-9DFB-685DAD9918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2"/>
        <c:overlap val="100"/>
        <c:axId val="954137824"/>
        <c:axId val="954136160"/>
      </c:barChart>
      <c:barChart>
        <c:barDir val="col"/>
        <c:grouping val="stacked"/>
        <c:varyColors val="0"/>
        <c:ser>
          <c:idx val="7"/>
          <c:order val="7"/>
          <c:tx>
            <c:strRef>
              <c:f>'LCA Outputs'!$A$88</c:f>
              <c:strCache>
                <c:ptCount val="1"/>
                <c:pt idx="0">
                  <c:v>Net Emissions</c:v>
                </c:pt>
              </c:strCache>
            </c:strRef>
          </c:tx>
          <c:spPr>
            <a:solidFill>
              <a:schemeClr val="bg1"/>
            </a:solidFill>
            <a:ln w="15875">
              <a:solidFill>
                <a:srgbClr val="FF0000"/>
              </a:solidFill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'LCA Outputs'!$H$88</c:f>
              <c:numCache>
                <c:formatCode>0.00E+00</c:formatCode>
                <c:ptCount val="1"/>
                <c:pt idx="0">
                  <c:v>-1.1067775692882638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614-4752-9DFB-685DAD9918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2"/>
        <c:overlap val="100"/>
        <c:axId val="1497994352"/>
        <c:axId val="1257887248"/>
      </c:barChart>
      <c:catAx>
        <c:axId val="954137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4136160"/>
        <c:crosses val="autoZero"/>
        <c:auto val="1"/>
        <c:lblAlgn val="ctr"/>
        <c:lblOffset val="100"/>
        <c:noMultiLvlLbl val="0"/>
      </c:catAx>
      <c:valAx>
        <c:axId val="9541361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C2G Global Warming</a:t>
                </a:r>
                <a:r>
                  <a:rPr lang="en-US" baseline="0"/>
                  <a:t> Potential (kg CO2-eq/kg AFDW)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2.5101967134589467E-2"/>
              <c:y val="6.148683693516699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out"/>
        <c:minorTickMark val="out"/>
        <c:tickLblPos val="nextTo"/>
        <c:spPr>
          <a:noFill/>
          <a:ln w="635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4137824"/>
        <c:crosses val="autoZero"/>
        <c:crossBetween val="between"/>
        <c:majorUnit val="1"/>
        <c:minorUnit val="0.5"/>
      </c:valAx>
      <c:valAx>
        <c:axId val="1257887248"/>
        <c:scaling>
          <c:orientation val="minMax"/>
          <c:max val="200"/>
          <c:min val="-200"/>
        </c:scaling>
        <c:delete val="1"/>
        <c:axPos val="r"/>
        <c:numFmt formatCode="0.00E+00" sourceLinked="1"/>
        <c:majorTickMark val="out"/>
        <c:minorTickMark val="none"/>
        <c:tickLblPos val="nextTo"/>
        <c:crossAx val="1497994352"/>
        <c:crosses val="max"/>
        <c:crossBetween val="between"/>
      </c:valAx>
      <c:catAx>
        <c:axId val="1497994352"/>
        <c:scaling>
          <c:orientation val="minMax"/>
        </c:scaling>
        <c:delete val="1"/>
        <c:axPos val="b"/>
        <c:majorTickMark val="out"/>
        <c:minorTickMark val="none"/>
        <c:tickLblPos val="nextTo"/>
        <c:crossAx val="125788724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0925854432755302"/>
          <c:y val="8.5111896965728018E-2"/>
          <c:w val="0.45872321434706675"/>
          <c:h val="0.34348642051153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TRACI</a:t>
            </a:r>
            <a:r>
              <a:rPr lang="en-US" b="1" baseline="0">
                <a:solidFill>
                  <a:sysClr val="windowText" lastClr="000000"/>
                </a:solidFill>
              </a:rPr>
              <a:t> Impacts for System Credits</a:t>
            </a:r>
            <a:endParaRPr lang="en-US" b="1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37919322718144666"/>
          <c:y val="2.219446534499406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292175833094411E-2"/>
          <c:y val="9.1807101998614804E-2"/>
          <c:w val="0.65229310785931571"/>
          <c:h val="0.6462343840921831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'LCA Outputs'!$B$118</c:f>
              <c:strCache>
                <c:ptCount val="1"/>
                <c:pt idx="0">
                  <c:v>CO2 Uptake (from biomass growth)</c:v>
                </c:pt>
              </c:strCache>
            </c:strRef>
          </c:tx>
          <c:spPr>
            <a:solidFill>
              <a:srgbClr val="BD92DE"/>
            </a:solidFill>
            <a:ln>
              <a:noFill/>
            </a:ln>
            <a:effectLst/>
          </c:spPr>
          <c:invertIfNegative val="0"/>
          <c:cat>
            <c:multiLvlStrRef>
              <c:f>'LCA Outputs'!$C$98:$L$99</c:f>
              <c:multiLvlStrCache>
                <c:ptCount val="10"/>
                <c:lvl>
                  <c:pt idx="0">
                    <c:v>kg PM2.5/MJ Fuel</c:v>
                  </c:pt>
                  <c:pt idx="1">
                    <c:v>kg SO2-eq/MJ Fuel</c:v>
                  </c:pt>
                  <c:pt idx="2">
                    <c:v>CTUe/MJ Fuel</c:v>
                  </c:pt>
                  <c:pt idx="3">
                    <c:v>CTUh/MJ Fuel</c:v>
                  </c:pt>
                  <c:pt idx="4">
                    <c:v>CTUh/MJ Fuel</c:v>
                  </c:pt>
                  <c:pt idx="5">
                    <c:v>g CO2-eq/MJ Fuel</c:v>
                  </c:pt>
                  <c:pt idx="6">
                    <c:v>kg O3-eq/MJ Fuel</c:v>
                  </c:pt>
                  <c:pt idx="7">
                    <c:v>kg CFC-11/MJ Fuel</c:v>
                  </c:pt>
                  <c:pt idx="8">
                    <c:v>kg N-eq/MJ Fuel</c:v>
                  </c:pt>
                  <c:pt idx="9">
                    <c:v>MJ Surplus/MJ Fuel</c:v>
                  </c:pt>
                </c:lvl>
                <c:lvl>
                  <c:pt idx="0">
                    <c:v>Respiratory Effects</c:v>
                  </c:pt>
                  <c:pt idx="1">
                    <c:v>Acidification</c:v>
                  </c:pt>
                  <c:pt idx="2">
                    <c:v>Ecotoxicity</c:v>
                  </c:pt>
                  <c:pt idx="3">
                    <c:v>Non-Carcinogenics</c:v>
                  </c:pt>
                  <c:pt idx="4">
                    <c:v>Carcinogenics</c:v>
                  </c:pt>
                  <c:pt idx="5">
                    <c:v>Global Warming Potential</c:v>
                  </c:pt>
                  <c:pt idx="6">
                    <c:v>Smog Formation</c:v>
                  </c:pt>
                  <c:pt idx="7">
                    <c:v>Ozone Depletion</c:v>
                  </c:pt>
                  <c:pt idx="8">
                    <c:v>Eutrophication</c:v>
                  </c:pt>
                  <c:pt idx="9">
                    <c:v>Fossil Fuel Depletion</c:v>
                  </c:pt>
                </c:lvl>
              </c:multiLvlStrCache>
            </c:multiLvlStrRef>
          </c:cat>
          <c:val>
            <c:numRef>
              <c:f>'LCA Outputs'!$C$118:$L$118</c:f>
              <c:numCache>
                <c:formatCode>0.00%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0.77394737793902957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0D-426A-8D85-0069AE4006A6}"/>
            </c:ext>
          </c:extLst>
        </c:ser>
        <c:ser>
          <c:idx val="1"/>
          <c:order val="1"/>
          <c:tx>
            <c:strRef>
              <c:f>'LCA Outputs'!$B$119</c:f>
              <c:strCache>
                <c:ptCount val="1"/>
                <c:pt idx="0">
                  <c:v>Ammonia Recovery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'LCA Outputs'!$C$98:$L$99</c:f>
              <c:multiLvlStrCache>
                <c:ptCount val="10"/>
                <c:lvl>
                  <c:pt idx="0">
                    <c:v>kg PM2.5/MJ Fuel</c:v>
                  </c:pt>
                  <c:pt idx="1">
                    <c:v>kg SO2-eq/MJ Fuel</c:v>
                  </c:pt>
                  <c:pt idx="2">
                    <c:v>CTUe/MJ Fuel</c:v>
                  </c:pt>
                  <c:pt idx="3">
                    <c:v>CTUh/MJ Fuel</c:v>
                  </c:pt>
                  <c:pt idx="4">
                    <c:v>CTUh/MJ Fuel</c:v>
                  </c:pt>
                  <c:pt idx="5">
                    <c:v>g CO2-eq/MJ Fuel</c:v>
                  </c:pt>
                  <c:pt idx="6">
                    <c:v>kg O3-eq/MJ Fuel</c:v>
                  </c:pt>
                  <c:pt idx="7">
                    <c:v>kg CFC-11/MJ Fuel</c:v>
                  </c:pt>
                  <c:pt idx="8">
                    <c:v>kg N-eq/MJ Fuel</c:v>
                  </c:pt>
                  <c:pt idx="9">
                    <c:v>MJ Surplus/MJ Fuel</c:v>
                  </c:pt>
                </c:lvl>
                <c:lvl>
                  <c:pt idx="0">
                    <c:v>Respiratory Effects</c:v>
                  </c:pt>
                  <c:pt idx="1">
                    <c:v>Acidification</c:v>
                  </c:pt>
                  <c:pt idx="2">
                    <c:v>Ecotoxicity</c:v>
                  </c:pt>
                  <c:pt idx="3">
                    <c:v>Non-Carcinogenics</c:v>
                  </c:pt>
                  <c:pt idx="4">
                    <c:v>Carcinogenics</c:v>
                  </c:pt>
                  <c:pt idx="5">
                    <c:v>Global Warming Potential</c:v>
                  </c:pt>
                  <c:pt idx="6">
                    <c:v>Smog Formation</c:v>
                  </c:pt>
                  <c:pt idx="7">
                    <c:v>Ozone Depletion</c:v>
                  </c:pt>
                  <c:pt idx="8">
                    <c:v>Eutrophication</c:v>
                  </c:pt>
                  <c:pt idx="9">
                    <c:v>Fossil Fuel Depletion</c:v>
                  </c:pt>
                </c:lvl>
              </c:multiLvlStrCache>
            </c:multiLvlStrRef>
          </c:cat>
          <c:val>
            <c:numRef>
              <c:f>'LCA Outputs'!$C$119:$L$119</c:f>
              <c:numCache>
                <c:formatCode>0.00%</c:formatCode>
                <c:ptCount val="10"/>
                <c:pt idx="0">
                  <c:v>0.20530083873202665</c:v>
                </c:pt>
                <c:pt idx="1">
                  <c:v>0.23129914754406133</c:v>
                </c:pt>
                <c:pt idx="2">
                  <c:v>0.19588456442697669</c:v>
                </c:pt>
                <c:pt idx="3">
                  <c:v>0.16075114271008498</c:v>
                </c:pt>
                <c:pt idx="4">
                  <c:v>0.45947691859757561</c:v>
                </c:pt>
                <c:pt idx="5">
                  <c:v>3.3343680308661347E-2</c:v>
                </c:pt>
                <c:pt idx="6">
                  <c:v>0.50365599506232794</c:v>
                </c:pt>
                <c:pt idx="7">
                  <c:v>0.68122050633697517</c:v>
                </c:pt>
                <c:pt idx="8">
                  <c:v>0.14564251352349536</c:v>
                </c:pt>
                <c:pt idx="9">
                  <c:v>0.80822563720418161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0D-426A-8D85-0069AE4006A6}"/>
            </c:ext>
          </c:extLst>
        </c:ser>
        <c:ser>
          <c:idx val="2"/>
          <c:order val="2"/>
          <c:tx>
            <c:strRef>
              <c:f>'LCA Outputs'!$B$120</c:f>
              <c:strCache>
                <c:ptCount val="1"/>
                <c:pt idx="0">
                  <c:v>DAP Recovery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'LCA Outputs'!$C$98:$L$99</c:f>
              <c:multiLvlStrCache>
                <c:ptCount val="10"/>
                <c:lvl>
                  <c:pt idx="0">
                    <c:v>kg PM2.5/MJ Fuel</c:v>
                  </c:pt>
                  <c:pt idx="1">
                    <c:v>kg SO2-eq/MJ Fuel</c:v>
                  </c:pt>
                  <c:pt idx="2">
                    <c:v>CTUe/MJ Fuel</c:v>
                  </c:pt>
                  <c:pt idx="3">
                    <c:v>CTUh/MJ Fuel</c:v>
                  </c:pt>
                  <c:pt idx="4">
                    <c:v>CTUh/MJ Fuel</c:v>
                  </c:pt>
                  <c:pt idx="5">
                    <c:v>g CO2-eq/MJ Fuel</c:v>
                  </c:pt>
                  <c:pt idx="6">
                    <c:v>kg O3-eq/MJ Fuel</c:v>
                  </c:pt>
                  <c:pt idx="7">
                    <c:v>kg CFC-11/MJ Fuel</c:v>
                  </c:pt>
                  <c:pt idx="8">
                    <c:v>kg N-eq/MJ Fuel</c:v>
                  </c:pt>
                  <c:pt idx="9">
                    <c:v>MJ Surplus/MJ Fuel</c:v>
                  </c:pt>
                </c:lvl>
                <c:lvl>
                  <c:pt idx="0">
                    <c:v>Respiratory Effects</c:v>
                  </c:pt>
                  <c:pt idx="1">
                    <c:v>Acidification</c:v>
                  </c:pt>
                  <c:pt idx="2">
                    <c:v>Ecotoxicity</c:v>
                  </c:pt>
                  <c:pt idx="3">
                    <c:v>Non-Carcinogenics</c:v>
                  </c:pt>
                  <c:pt idx="4">
                    <c:v>Carcinogenics</c:v>
                  </c:pt>
                  <c:pt idx="5">
                    <c:v>Global Warming Potential</c:v>
                  </c:pt>
                  <c:pt idx="6">
                    <c:v>Smog Formation</c:v>
                  </c:pt>
                  <c:pt idx="7">
                    <c:v>Ozone Depletion</c:v>
                  </c:pt>
                  <c:pt idx="8">
                    <c:v>Eutrophication</c:v>
                  </c:pt>
                  <c:pt idx="9">
                    <c:v>Fossil Fuel Depletion</c:v>
                  </c:pt>
                </c:lvl>
              </c:multiLvlStrCache>
            </c:multiLvlStrRef>
          </c:cat>
          <c:val>
            <c:numRef>
              <c:f>'LCA Outputs'!$C$120:$L$120</c:f>
              <c:numCache>
                <c:formatCode>0.00%</c:formatCode>
                <c:ptCount val="10"/>
                <c:pt idx="0">
                  <c:v>0.79469916126797335</c:v>
                </c:pt>
                <c:pt idx="1">
                  <c:v>0.76870085245593855</c:v>
                </c:pt>
                <c:pt idx="2">
                  <c:v>0.80411543557302334</c:v>
                </c:pt>
                <c:pt idx="3">
                  <c:v>0.83924885728991505</c:v>
                </c:pt>
                <c:pt idx="4">
                  <c:v>0.54052308140242433</c:v>
                </c:pt>
                <c:pt idx="5">
                  <c:v>1.0658975283789313E-2</c:v>
                </c:pt>
                <c:pt idx="6">
                  <c:v>0.49634400493767206</c:v>
                </c:pt>
                <c:pt idx="7">
                  <c:v>0.31877949366302488</c:v>
                </c:pt>
                <c:pt idx="8">
                  <c:v>0.85435748647650456</c:v>
                </c:pt>
                <c:pt idx="9">
                  <c:v>0.19177436279581833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A0D-426A-8D85-0069AE4006A6}"/>
            </c:ext>
          </c:extLst>
        </c:ser>
        <c:ser>
          <c:idx val="3"/>
          <c:order val="3"/>
          <c:tx>
            <c:strRef>
              <c:f>'LCA Outputs'!$B$121</c:f>
              <c:strCache>
                <c:ptCount val="1"/>
                <c:pt idx="0">
                  <c:v>Biogenic Carbon Stored in Char</c:v>
                </c:pt>
              </c:strCache>
            </c:strRef>
          </c:tx>
          <c:spPr>
            <a:solidFill>
              <a:schemeClr val="accent2">
                <a:tint val="58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'LCA Outputs'!$C$98:$L$99</c:f>
              <c:multiLvlStrCache>
                <c:ptCount val="10"/>
                <c:lvl>
                  <c:pt idx="0">
                    <c:v>kg PM2.5/MJ Fuel</c:v>
                  </c:pt>
                  <c:pt idx="1">
                    <c:v>kg SO2-eq/MJ Fuel</c:v>
                  </c:pt>
                  <c:pt idx="2">
                    <c:v>CTUe/MJ Fuel</c:v>
                  </c:pt>
                  <c:pt idx="3">
                    <c:v>CTUh/MJ Fuel</c:v>
                  </c:pt>
                  <c:pt idx="4">
                    <c:v>CTUh/MJ Fuel</c:v>
                  </c:pt>
                  <c:pt idx="5">
                    <c:v>g CO2-eq/MJ Fuel</c:v>
                  </c:pt>
                  <c:pt idx="6">
                    <c:v>kg O3-eq/MJ Fuel</c:v>
                  </c:pt>
                  <c:pt idx="7">
                    <c:v>kg CFC-11/MJ Fuel</c:v>
                  </c:pt>
                  <c:pt idx="8">
                    <c:v>kg N-eq/MJ Fuel</c:v>
                  </c:pt>
                  <c:pt idx="9">
                    <c:v>MJ Surplus/MJ Fuel</c:v>
                  </c:pt>
                </c:lvl>
                <c:lvl>
                  <c:pt idx="0">
                    <c:v>Respiratory Effects</c:v>
                  </c:pt>
                  <c:pt idx="1">
                    <c:v>Acidification</c:v>
                  </c:pt>
                  <c:pt idx="2">
                    <c:v>Ecotoxicity</c:v>
                  </c:pt>
                  <c:pt idx="3">
                    <c:v>Non-Carcinogenics</c:v>
                  </c:pt>
                  <c:pt idx="4">
                    <c:v>Carcinogenics</c:v>
                  </c:pt>
                  <c:pt idx="5">
                    <c:v>Global Warming Potential</c:v>
                  </c:pt>
                  <c:pt idx="6">
                    <c:v>Smog Formation</c:v>
                  </c:pt>
                  <c:pt idx="7">
                    <c:v>Ozone Depletion</c:v>
                  </c:pt>
                  <c:pt idx="8">
                    <c:v>Eutrophication</c:v>
                  </c:pt>
                  <c:pt idx="9">
                    <c:v>Fossil Fuel Depletion</c:v>
                  </c:pt>
                </c:lvl>
              </c:multiLvlStrCache>
            </c:multiLvlStrRef>
          </c:cat>
          <c:val>
            <c:numRef>
              <c:f>'LCA Outputs'!$C$121:$L$121</c:f>
              <c:numCache>
                <c:formatCode>0.00%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0.18204996646851976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26-42D2-B70D-782E6BB1CE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2"/>
        <c:overlap val="100"/>
        <c:axId val="954137824"/>
        <c:axId val="954136160"/>
      </c:barChart>
      <c:catAx>
        <c:axId val="954137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4136160"/>
        <c:crosses val="autoZero"/>
        <c:auto val="1"/>
        <c:lblAlgn val="ctr"/>
        <c:lblOffset val="100"/>
        <c:noMultiLvlLbl val="0"/>
      </c:catAx>
      <c:valAx>
        <c:axId val="954136160"/>
        <c:scaling>
          <c:orientation val="minMax"/>
          <c:max val="1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>
                    <a:solidFill>
                      <a:sysClr val="windowText" lastClr="000000"/>
                    </a:solidFill>
                  </a:rPr>
                  <a:t>%</a:t>
                </a:r>
                <a:r>
                  <a:rPr lang="en-US" sz="1600" baseline="0">
                    <a:solidFill>
                      <a:sysClr val="windowText" lastClr="000000"/>
                    </a:solidFill>
                  </a:rPr>
                  <a:t> of Impact Category by Process</a:t>
                </a:r>
                <a:endParaRPr lang="en-US" sz="160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5.1096136493442119E-3"/>
              <c:y val="0.1079723062580642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out"/>
        <c:minorTickMark val="out"/>
        <c:tickLblPos val="nextTo"/>
        <c:spPr>
          <a:noFill/>
          <a:ln w="635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4137824"/>
        <c:crosses val="autoZero"/>
        <c:crossBetween val="between"/>
        <c:majorUnit val="0.1"/>
        <c:minorUnit val="5.000000000000001E-2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531874867908519"/>
          <c:y val="0.23305425346827352"/>
          <c:w val="0.17697429052343194"/>
          <c:h val="0.1349296853407452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HTL</a:t>
            </a:r>
            <a:r>
              <a:rPr lang="en-US" b="1" baseline="0">
                <a:solidFill>
                  <a:sysClr val="windowText" lastClr="000000"/>
                </a:solidFill>
              </a:rPr>
              <a:t> Phase Yields</a:t>
            </a:r>
            <a:endParaRPr lang="en-US" b="1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38247900262467194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800721784776903"/>
          <c:y val="0.18560185185185185"/>
          <c:w val="0.40287467191601051"/>
          <c:h val="0.6714577865266842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4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748-420C-B9D6-886BE0A748FC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748-420C-B9D6-886BE0A748FC}"/>
              </c:ext>
            </c:extLst>
          </c:dPt>
          <c:dPt>
            <c:idx val="2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748-420C-B9D6-886BE0A748FC}"/>
              </c:ext>
            </c:extLst>
          </c:dPt>
          <c:dPt>
            <c:idx val="3"/>
            <c:bubble3D val="0"/>
            <c:spPr>
              <a:solidFill>
                <a:schemeClr val="accent4">
                  <a:lumMod val="20000"/>
                  <a:lumOff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7748-420C-B9D6-886BE0A748FC}"/>
              </c:ext>
            </c:extLst>
          </c:dPt>
          <c:dLbls>
            <c:dLbl>
              <c:idx val="1"/>
              <c:layout>
                <c:manualLayout>
                  <c:x val="0.11460242612081915"/>
                  <c:y val="-0.10183451262291433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748-420C-B9D6-886BE0A748FC}"/>
                </c:ext>
              </c:extLst>
            </c:dLbl>
            <c:dLbl>
              <c:idx val="2"/>
              <c:layout>
                <c:manualLayout>
                  <c:x val="0.10067917776704603"/>
                  <c:y val="5.8776156371160848E-2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748-420C-B9D6-886BE0A748FC}"/>
                </c:ext>
              </c:extLst>
            </c:dLbl>
            <c:dLbl>
              <c:idx val="3"/>
              <c:layout>
                <c:manualLayout>
                  <c:x val="8.8652471602196345E-2"/>
                  <c:y val="0.12713998499013321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748-420C-B9D6-886BE0A748FC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'Process Model Outputs'!$B$43:$B$46</c:f>
              <c:strCache>
                <c:ptCount val="4"/>
                <c:pt idx="0">
                  <c:v>Biocrude Yield</c:v>
                </c:pt>
                <c:pt idx="1">
                  <c:v>Aqueous Phase Yield</c:v>
                </c:pt>
                <c:pt idx="2">
                  <c:v>Solids Yield</c:v>
                </c:pt>
                <c:pt idx="3">
                  <c:v>Gas Yield</c:v>
                </c:pt>
              </c:strCache>
            </c:strRef>
          </c:cat>
          <c:val>
            <c:numRef>
              <c:f>'Process Model Outputs'!$C$43:$C$46</c:f>
              <c:numCache>
                <c:formatCode>0.00</c:formatCode>
                <c:ptCount val="4"/>
                <c:pt idx="0">
                  <c:v>0.4752575</c:v>
                </c:pt>
                <c:pt idx="1">
                  <c:v>0.10582999999999999</c:v>
                </c:pt>
                <c:pt idx="2">
                  <c:v>0.18618000000000001</c:v>
                </c:pt>
                <c:pt idx="3">
                  <c:v>0.21264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748-420C-B9D6-886BE0A748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7654841284883152"/>
          <c:y val="0.33391149023038791"/>
          <c:w val="0.31814676338324227"/>
          <c:h val="0.342014435695538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4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Cultivation and Dewatering CAPEX</a:t>
            </a:r>
          </a:p>
        </c:rich>
      </c:tx>
      <c:layout>
        <c:manualLayout>
          <c:xMode val="edge"/>
          <c:yMode val="edge"/>
          <c:x val="0.23198327897799961"/>
          <c:y val="1.442741071714266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8179812960273173"/>
          <c:y val="0.11107307559262672"/>
          <c:w val="0.46360410773895983"/>
          <c:h val="0.8242118458887465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'TEA Outputs'!$B$11</c:f>
              <c:strCache>
                <c:ptCount val="1"/>
                <c:pt idx="0">
                  <c:v>Total ORP Capital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 &amp; DW Capital</c:v>
              </c:pt>
            </c:strLit>
          </c:cat>
          <c:val>
            <c:numRef>
              <c:f>'TEA Outputs'!$C$11</c:f>
              <c:numCache>
                <c:formatCode>"$"#,##0</c:formatCode>
                <c:ptCount val="1"/>
                <c:pt idx="0">
                  <c:v>186575107.9023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DB-4215-B9FC-AD8607470848}"/>
            </c:ext>
          </c:extLst>
        </c:ser>
        <c:ser>
          <c:idx val="1"/>
          <c:order val="1"/>
          <c:tx>
            <c:strRef>
              <c:f>'TEA Outputs'!$B$18</c:f>
              <c:strCache>
                <c:ptCount val="1"/>
                <c:pt idx="0">
                  <c:v>Total Inoculation System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 &amp; DW Capital</c:v>
              </c:pt>
            </c:strLit>
          </c:cat>
          <c:val>
            <c:numRef>
              <c:f>'TEA Outputs'!$C$18</c:f>
              <c:numCache>
                <c:formatCode>"$"#,##0</c:formatCode>
                <c:ptCount val="1"/>
                <c:pt idx="0">
                  <c:v>16704159.3409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5DB-4215-B9FC-AD8607470848}"/>
            </c:ext>
          </c:extLst>
        </c:ser>
        <c:ser>
          <c:idx val="2"/>
          <c:order val="2"/>
          <c:tx>
            <c:strRef>
              <c:f>'TEA Outputs'!$B$25</c:f>
              <c:strCache>
                <c:ptCount val="1"/>
                <c:pt idx="0">
                  <c:v>Total CO2 Delivery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 &amp; DW Capital</c:v>
              </c:pt>
            </c:strLit>
          </c:cat>
          <c:val>
            <c:numRef>
              <c:f>'TEA Outputs'!$C$25</c:f>
              <c:numCache>
                <c:formatCode>"$"#,##0</c:formatCode>
                <c:ptCount val="1"/>
                <c:pt idx="0">
                  <c:v>8503459.8478999995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5DB-4215-B9FC-AD8607470848}"/>
            </c:ext>
          </c:extLst>
        </c:ser>
        <c:ser>
          <c:idx val="3"/>
          <c:order val="3"/>
          <c:tx>
            <c:strRef>
              <c:f>'TEA Outputs'!$B$36</c:f>
              <c:strCache>
                <c:ptCount val="1"/>
                <c:pt idx="0">
                  <c:v>Total Water Delivery and Circulation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 &amp; DW Capital</c:v>
              </c:pt>
            </c:strLit>
          </c:cat>
          <c:val>
            <c:numRef>
              <c:f>'TEA Outputs'!$C$36</c:f>
              <c:numCache>
                <c:formatCode>"$"#,##0</c:formatCode>
                <c:ptCount val="1"/>
                <c:pt idx="0">
                  <c:v>7805390.4827750009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5DB-4215-B9FC-AD8607470848}"/>
            </c:ext>
          </c:extLst>
        </c:ser>
        <c:ser>
          <c:idx val="4"/>
          <c:order val="4"/>
          <c:tx>
            <c:strRef>
              <c:f>'TEA Outputs'!$B$44</c:f>
              <c:strCache>
                <c:ptCount val="1"/>
                <c:pt idx="0">
                  <c:v>Total Dewatering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 &amp; DW Capital</c:v>
              </c:pt>
            </c:strLit>
          </c:cat>
          <c:val>
            <c:numRef>
              <c:f>'TEA Outputs'!$C$44</c:f>
              <c:numCache>
                <c:formatCode>"$"#,##0</c:formatCode>
                <c:ptCount val="1"/>
                <c:pt idx="0">
                  <c:v>62175782.387724996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5DB-4215-B9FC-AD8607470848}"/>
            </c:ext>
          </c:extLst>
        </c:ser>
        <c:ser>
          <c:idx val="5"/>
          <c:order val="5"/>
          <c:tx>
            <c:strRef>
              <c:f>'TEA Outputs'!$B$49</c:f>
              <c:strCache>
                <c:ptCount val="1"/>
                <c:pt idx="0">
                  <c:v>Total Storage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 &amp; DW Capital</c:v>
              </c:pt>
            </c:strLit>
          </c:cat>
          <c:val>
            <c:numRef>
              <c:f>'TEA Outputs'!$C$49</c:f>
              <c:numCache>
                <c:formatCode>"$"#,##0</c:formatCode>
                <c:ptCount val="1"/>
                <c:pt idx="0">
                  <c:v>5546807.9496749993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5DB-4215-B9FC-AD8607470848}"/>
            </c:ext>
          </c:extLst>
        </c:ser>
        <c:ser>
          <c:idx val="6"/>
          <c:order val="6"/>
          <c:tx>
            <c:strRef>
              <c:f>'TEA Outputs'!$B$53</c:f>
              <c:strCache>
                <c:ptCount val="1"/>
                <c:pt idx="0">
                  <c:v>Total Additional Direct Capital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 &amp; DW Capital</c:v>
              </c:pt>
            </c:strLit>
          </c:cat>
          <c:val>
            <c:numRef>
              <c:f>'TEA Outputs'!$C$53</c:f>
              <c:numCache>
                <c:formatCode>"$"#,##0</c:formatCode>
                <c:ptCount val="1"/>
                <c:pt idx="0">
                  <c:v>24978513.124775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5DB-4215-B9FC-AD8607470848}"/>
            </c:ext>
          </c:extLst>
        </c:ser>
        <c:ser>
          <c:idx val="7"/>
          <c:order val="7"/>
          <c:tx>
            <c:strRef>
              <c:f>'TEA Outputs'!$B$59</c:f>
              <c:strCache>
                <c:ptCount val="1"/>
                <c:pt idx="0">
                  <c:v>Total Additional Indirect Capital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 &amp; DW Capital</c:v>
              </c:pt>
            </c:strLit>
          </c:cat>
          <c:val>
            <c:numRef>
              <c:f>'TEA Outputs'!$C$59</c:f>
              <c:numCache>
                <c:formatCode>"$"#,##0</c:formatCode>
                <c:ptCount val="1"/>
                <c:pt idx="0">
                  <c:v>104194951.50624999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5DB-4215-B9FC-AD8607470848}"/>
            </c:ext>
          </c:extLst>
        </c:ser>
        <c:ser>
          <c:idx val="8"/>
          <c:order val="8"/>
          <c:tx>
            <c:strRef>
              <c:f>'TEA Outputs'!$B$61</c:f>
              <c:strCache>
                <c:ptCount val="1"/>
                <c:pt idx="0">
                  <c:v>Land Capital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 &amp; DW Capital</c:v>
              </c:pt>
            </c:strLit>
          </c:cat>
          <c:val>
            <c:numRef>
              <c:f>'TEA Outputs'!$C$61</c:f>
              <c:numCache>
                <c:formatCode>"$"#,##0</c:formatCode>
                <c:ptCount val="1"/>
                <c:pt idx="0">
                  <c:v>24042700.920000002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5DB-4215-B9FC-AD86074708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1"/>
        <c:overlap val="100"/>
        <c:axId val="1535503968"/>
        <c:axId val="1535493152"/>
      </c:barChart>
      <c:catAx>
        <c:axId val="1535503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5493152"/>
        <c:crosses val="autoZero"/>
        <c:auto val="1"/>
        <c:lblAlgn val="ctr"/>
        <c:lblOffset val="100"/>
        <c:noMultiLvlLbl val="0"/>
      </c:catAx>
      <c:valAx>
        <c:axId val="153549315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>
                    <a:solidFill>
                      <a:sysClr val="windowText" lastClr="000000"/>
                    </a:solidFill>
                  </a:rPr>
                  <a:t>Capital Investment</a:t>
                </a:r>
                <a:r>
                  <a:rPr lang="en-US" sz="1200" baseline="0">
                    <a:solidFill>
                      <a:sysClr val="windowText" lastClr="000000"/>
                    </a:solidFill>
                  </a:rPr>
                  <a:t> (MM USD)</a:t>
                </a:r>
                <a:endParaRPr lang="en-US" sz="120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4.8470504293759403E-2"/>
              <c:y val="0.1938252575491615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5503968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9428545218255491"/>
          <c:y val="0.33930013425822753"/>
          <c:w val="0.38241357694365868"/>
          <c:h val="0.3624938063428729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6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Cultivation &amp; Dewatering OPEX</a:t>
            </a:r>
          </a:p>
        </c:rich>
      </c:tx>
      <c:layout>
        <c:manualLayout>
          <c:xMode val="edge"/>
          <c:yMode val="edge"/>
          <c:x val="0.27515738829479247"/>
          <c:y val="1.80790939004885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39403257516529"/>
          <c:y val="0.11175893212818694"/>
          <c:w val="0.4726670221431305"/>
          <c:h val="0.7821609118113085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'TEA Outputs'!$G$3</c:f>
              <c:strCache>
                <c:ptCount val="1"/>
                <c:pt idx="0">
                  <c:v>Electricity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 &amp; DW OPEX</c:v>
              </c:pt>
            </c:strLit>
          </c:cat>
          <c:val>
            <c:numRef>
              <c:f>'TEA Outputs'!$H$3</c:f>
              <c:numCache>
                <c:formatCode>"$"#,##0</c:formatCode>
                <c:ptCount val="1"/>
                <c:pt idx="0">
                  <c:v>5475816.7106250003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A8-4172-9E97-B3F46EE2874A}"/>
            </c:ext>
          </c:extLst>
        </c:ser>
        <c:ser>
          <c:idx val="1"/>
          <c:order val="1"/>
          <c:tx>
            <c:strRef>
              <c:f>'TEA Outputs'!$G$4</c:f>
              <c:strCache>
                <c:ptCount val="1"/>
                <c:pt idx="0">
                  <c:v>Ammonia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 &amp; DW OPEX</c:v>
              </c:pt>
            </c:strLit>
          </c:cat>
          <c:val>
            <c:numRef>
              <c:f>'TEA Outputs'!$H$4</c:f>
              <c:numCache>
                <c:formatCode>"$"#,##0</c:formatCode>
                <c:ptCount val="1"/>
                <c:pt idx="0">
                  <c:v>3241555.284825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FA8-4172-9E97-B3F46EE2874A}"/>
            </c:ext>
          </c:extLst>
        </c:ser>
        <c:ser>
          <c:idx val="2"/>
          <c:order val="2"/>
          <c:tx>
            <c:strRef>
              <c:f>'TEA Outputs'!$G$5</c:f>
              <c:strCache>
                <c:ptCount val="1"/>
                <c:pt idx="0">
                  <c:v>DAP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 &amp; DW OPEX</c:v>
              </c:pt>
            </c:strLit>
          </c:cat>
          <c:val>
            <c:numRef>
              <c:f>'TEA Outputs'!$H$5</c:f>
              <c:numCache>
                <c:formatCode>"$"#,##0</c:formatCode>
                <c:ptCount val="1"/>
                <c:pt idx="0">
                  <c:v>1502773.1460250001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FA8-4172-9E97-B3F46EE2874A}"/>
            </c:ext>
          </c:extLst>
        </c:ser>
        <c:ser>
          <c:idx val="3"/>
          <c:order val="3"/>
          <c:tx>
            <c:strRef>
              <c:f>'TEA Outputs'!$G$6</c:f>
              <c:strCache>
                <c:ptCount val="1"/>
                <c:pt idx="0">
                  <c:v>Cultivation CO2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 &amp; DW OPEX</c:v>
              </c:pt>
            </c:strLit>
          </c:cat>
          <c:val>
            <c:numRef>
              <c:f>'TEA Outputs'!$H$6</c:f>
              <c:numCache>
                <c:formatCode>"$"#,##0</c:formatCode>
                <c:ptCount val="1"/>
                <c:pt idx="0">
                  <c:v>14669326.040625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FA8-4172-9E97-B3F46EE2874A}"/>
            </c:ext>
          </c:extLst>
        </c:ser>
        <c:ser>
          <c:idx val="4"/>
          <c:order val="4"/>
          <c:tx>
            <c:strRef>
              <c:f>'TEA Outputs'!$G$7</c:f>
              <c:strCache>
                <c:ptCount val="1"/>
                <c:pt idx="0">
                  <c:v>Labor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 &amp; DW OPEX</c:v>
              </c:pt>
            </c:strLit>
          </c:cat>
          <c:val>
            <c:numRef>
              <c:f>'TEA Outputs'!$H$7</c:f>
              <c:numCache>
                <c:formatCode>"$"#,##0</c:formatCode>
                <c:ptCount val="1"/>
                <c:pt idx="0">
                  <c:v>4361224.4435999999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FA8-4172-9E97-B3F46EE2874A}"/>
            </c:ext>
          </c:extLst>
        </c:ser>
        <c:ser>
          <c:idx val="5"/>
          <c:order val="5"/>
          <c:tx>
            <c:strRef>
              <c:f>'TEA Outputs'!$G$8</c:f>
              <c:strCache>
                <c:ptCount val="1"/>
                <c:pt idx="0">
                  <c:v>Labor Burdens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 &amp; DW OPEX</c:v>
              </c:pt>
            </c:strLit>
          </c:cat>
          <c:val>
            <c:numRef>
              <c:f>'TEA Outputs'!$H$8</c:f>
              <c:numCache>
                <c:formatCode>"$"#,##0</c:formatCode>
                <c:ptCount val="1"/>
                <c:pt idx="0">
                  <c:v>3925101.9992999998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FA8-4172-9E97-B3F46EE2874A}"/>
            </c:ext>
          </c:extLst>
        </c:ser>
        <c:ser>
          <c:idx val="6"/>
          <c:order val="6"/>
          <c:tx>
            <c:strRef>
              <c:f>'TEA Outputs'!$G$9</c:f>
              <c:strCache>
                <c:ptCount val="1"/>
                <c:pt idx="0">
                  <c:v>Maintenance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 &amp; DW OPEX</c:v>
              </c:pt>
            </c:strLit>
          </c:cat>
          <c:val>
            <c:numRef>
              <c:f>'TEA Outputs'!$H$9</c:f>
              <c:numCache>
                <c:formatCode>"$"#,##0</c:formatCode>
                <c:ptCount val="1"/>
                <c:pt idx="0">
                  <c:v>2963214.0595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FA8-4172-9E97-B3F46EE2874A}"/>
            </c:ext>
          </c:extLst>
        </c:ser>
        <c:ser>
          <c:idx val="7"/>
          <c:order val="7"/>
          <c:tx>
            <c:strRef>
              <c:f>'TEA Outputs'!$G$10</c:f>
              <c:strCache>
                <c:ptCount val="1"/>
                <c:pt idx="0">
                  <c:v>Property Tax and Insurance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 &amp; DW OPEX</c:v>
              </c:pt>
            </c:strLit>
          </c:cat>
          <c:val>
            <c:numRef>
              <c:f>'TEA Outputs'!$H$10</c:f>
              <c:numCache>
                <c:formatCode>"$"#,##0</c:formatCode>
                <c:ptCount val="1"/>
                <c:pt idx="0">
                  <c:v>2915389.207775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FA8-4172-9E97-B3F46EE287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1657272448"/>
        <c:axId val="1657270784"/>
      </c:barChart>
      <c:catAx>
        <c:axId val="1657272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270784"/>
        <c:crosses val="autoZero"/>
        <c:auto val="1"/>
        <c:lblAlgn val="ctr"/>
        <c:lblOffset val="100"/>
        <c:noMultiLvlLbl val="0"/>
      </c:catAx>
      <c:valAx>
        <c:axId val="165727078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>
                    <a:solidFill>
                      <a:sysClr val="windowText" lastClr="000000"/>
                    </a:solidFill>
                  </a:rPr>
                  <a:t>Operational</a:t>
                </a:r>
                <a:r>
                  <a:rPr lang="en-US" sz="1200" baseline="0">
                    <a:solidFill>
                      <a:sysClr val="windowText" lastClr="000000"/>
                    </a:solidFill>
                  </a:rPr>
                  <a:t> Expenses (MM USD/yr)</a:t>
                </a:r>
                <a:endParaRPr lang="en-US" sz="120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2.9029532897383976E-2"/>
              <c:y val="0.1429503515339826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272448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0520133761649764"/>
          <c:y val="0.34495528034102579"/>
          <c:w val="0.33300893379959634"/>
          <c:h val="0.37363745437816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6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MBSP -</a:t>
            </a:r>
            <a:r>
              <a:rPr lang="en-US" b="1" baseline="0">
                <a:solidFill>
                  <a:sysClr val="windowText" lastClr="000000"/>
                </a:solidFill>
              </a:rPr>
              <a:t> Broken Out by Net Present Value (NPV)</a:t>
            </a:r>
            <a:endParaRPr lang="en-US" b="1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24857607799025119"/>
          <c:y val="2.988791639123413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286755501716131"/>
          <c:y val="0.1235118798584207"/>
          <c:w val="0.525918433272764"/>
          <c:h val="0.78095713502748743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'TEA Outputs'!$K$6</c:f>
              <c:strCache>
                <c:ptCount val="1"/>
                <c:pt idx="0">
                  <c:v>Land Capital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'TEA Outputs'!$K$8</c:f>
              <c:strCache>
                <c:ptCount val="1"/>
                <c:pt idx="0">
                  <c:v>Minimum Biomass Selling Price</c:v>
                </c:pt>
              </c:strCache>
            </c:strRef>
          </c:cat>
          <c:val>
            <c:numRef>
              <c:f>'TEA Outputs'!$N$6</c:f>
              <c:numCache>
                <c:formatCode>"$"#,##0.00</c:formatCode>
                <c:ptCount val="1"/>
                <c:pt idx="0">
                  <c:v>29.686158991410355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69-4358-913D-1724B6BE6B94}"/>
            </c:ext>
          </c:extLst>
        </c:ser>
        <c:ser>
          <c:idx val="2"/>
          <c:order val="1"/>
          <c:tx>
            <c:strRef>
              <c:f>'TEA Outputs'!$K$5</c:f>
              <c:strCache>
                <c:ptCount val="1"/>
                <c:pt idx="0">
                  <c:v>Equipment and Facility Capital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'TEA Outputs'!$K$8</c:f>
              <c:strCache>
                <c:ptCount val="1"/>
                <c:pt idx="0">
                  <c:v>Minimum Biomass Selling Price</c:v>
                </c:pt>
              </c:strCache>
            </c:strRef>
          </c:cat>
          <c:val>
            <c:numRef>
              <c:f>'TEA Outputs'!$N$5</c:f>
              <c:numCache>
                <c:formatCode>"$"#,##0.00</c:formatCode>
                <c:ptCount val="1"/>
                <c:pt idx="0">
                  <c:v>183.05387414167109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269-4358-913D-1724B6BE6B94}"/>
            </c:ext>
          </c:extLst>
        </c:ser>
        <c:ser>
          <c:idx val="1"/>
          <c:order val="2"/>
          <c:tx>
            <c:strRef>
              <c:f>'TEA Outputs'!$K$4</c:f>
              <c:strCache>
                <c:ptCount val="1"/>
                <c:pt idx="0">
                  <c:v>Operational Expenses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'TEA Outputs'!$K$8</c:f>
              <c:strCache>
                <c:ptCount val="1"/>
                <c:pt idx="0">
                  <c:v>Minimum Biomass Selling Price</c:v>
                </c:pt>
              </c:strCache>
            </c:strRef>
          </c:cat>
          <c:val>
            <c:numRef>
              <c:f>'TEA Outputs'!$N$4</c:f>
              <c:numCache>
                <c:formatCode>"$"#,##0.00</c:formatCode>
                <c:ptCount val="1"/>
                <c:pt idx="0">
                  <c:v>366.62854873384413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269-4358-913D-1724B6BE6B94}"/>
            </c:ext>
          </c:extLst>
        </c:ser>
        <c:ser>
          <c:idx val="0"/>
          <c:order val="3"/>
          <c:tx>
            <c:strRef>
              <c:f>'TEA Outputs'!$K$3</c:f>
              <c:strCache>
                <c:ptCount val="1"/>
                <c:pt idx="0">
                  <c:v>Income Tax</c:v>
                </c:pt>
              </c:strCache>
            </c:strRef>
          </c:tx>
          <c:spPr>
            <a:solidFill>
              <a:srgbClr val="BD92DE"/>
            </a:solidFill>
            <a:ln>
              <a:noFill/>
            </a:ln>
            <a:effectLst/>
          </c:spPr>
          <c:invertIfNegative val="0"/>
          <c:cat>
            <c:strRef>
              <c:f>'TEA Outputs'!$K$8</c:f>
              <c:strCache>
                <c:ptCount val="1"/>
                <c:pt idx="0">
                  <c:v>Minimum Biomass Selling Price</c:v>
                </c:pt>
              </c:strCache>
            </c:strRef>
          </c:cat>
          <c:val>
            <c:numRef>
              <c:f>'TEA Outputs'!$N$3</c:f>
              <c:numCache>
                <c:formatCode>"$"#,##0.00</c:formatCode>
                <c:ptCount val="1"/>
                <c:pt idx="0">
                  <c:v>44.626225214172749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269-4358-913D-1724B6BE6B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7"/>
        <c:overlap val="100"/>
        <c:axId val="1151105023"/>
        <c:axId val="1151106271"/>
      </c:barChart>
      <c:scatterChart>
        <c:scatterStyle val="lineMarker"/>
        <c:varyColors val="0"/>
        <c:ser>
          <c:idx val="4"/>
          <c:order val="4"/>
          <c:tx>
            <c:strRef>
              <c:f>'TEA Outputs'!$K$7</c:f>
              <c:strCache>
                <c:ptCount val="1"/>
                <c:pt idx="0">
                  <c:v>Total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11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strRef>
              <c:f>'TEA Outputs'!$K$8</c:f>
              <c:strCache>
                <c:ptCount val="1"/>
                <c:pt idx="0">
                  <c:v>Minimum Biomass Selling Price</c:v>
                </c:pt>
              </c:strCache>
            </c:strRef>
          </c:xVal>
          <c:yVal>
            <c:numRef>
              <c:f>'TEA Outputs'!$N$7</c:f>
              <c:numCache>
                <c:formatCode>"$"#,##0.00</c:formatCode>
                <c:ptCount val="1"/>
                <c:pt idx="0">
                  <c:v>623.99480708109832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269-4358-913D-1724B6BE6B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1106687"/>
        <c:axId val="1151100447"/>
      </c:scatterChart>
      <c:catAx>
        <c:axId val="11511050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1106271"/>
        <c:crosses val="autoZero"/>
        <c:auto val="1"/>
        <c:lblAlgn val="ctr"/>
        <c:lblOffset val="100"/>
        <c:noMultiLvlLbl val="0"/>
      </c:catAx>
      <c:valAx>
        <c:axId val="1151106271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50">
                    <a:solidFill>
                      <a:sysClr val="windowText" lastClr="000000"/>
                    </a:solidFill>
                  </a:rPr>
                  <a:t>Minimum Biomass Selling Price ($/tonne AFDW)</a:t>
                </a:r>
              </a:p>
            </c:rich>
          </c:tx>
          <c:layout>
            <c:manualLayout>
              <c:xMode val="edge"/>
              <c:yMode val="edge"/>
              <c:x val="1.8657067866516684E-2"/>
              <c:y val="0.1194201378138885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0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1105023"/>
        <c:crosses val="autoZero"/>
        <c:crossBetween val="between"/>
      </c:valAx>
      <c:valAx>
        <c:axId val="1151100447"/>
        <c:scaling>
          <c:orientation val="minMax"/>
        </c:scaling>
        <c:delete val="1"/>
        <c:axPos val="r"/>
        <c:numFmt formatCode="&quot;$&quot;#,##0.00" sourceLinked="1"/>
        <c:majorTickMark val="out"/>
        <c:minorTickMark val="none"/>
        <c:tickLblPos val="nextTo"/>
        <c:crossAx val="1151106687"/>
        <c:crosses val="max"/>
        <c:crossBetween val="midCat"/>
      </c:valAx>
      <c:valAx>
        <c:axId val="115110668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511004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578903694730466"/>
          <c:y val="0.38661575697227824"/>
          <c:w val="0.41570724813244497"/>
          <c:h val="0.3167308529064756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6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HTL &amp; Upgrading CAPEX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992585301837271"/>
          <c:y val="0.12483037570481512"/>
          <c:w val="0.42451859142607179"/>
          <c:h val="0.7669348651253589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'TEA Outputs'!$B$74</c:f>
              <c:strCache>
                <c:ptCount val="1"/>
                <c:pt idx="0">
                  <c:v>HTL Total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HTL &amp; UG Capital</c:v>
              </c:pt>
            </c:strLit>
          </c:cat>
          <c:val>
            <c:numRef>
              <c:f>'TEA Outputs'!$C$74</c:f>
              <c:numCache>
                <c:formatCode>"$"#,##0</c:formatCode>
                <c:ptCount val="1"/>
                <c:pt idx="0">
                  <c:v>40686513.832850002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A-4081-A86D-01BA91F13EE1}"/>
            </c:ext>
          </c:extLst>
        </c:ser>
        <c:ser>
          <c:idx val="1"/>
          <c:order val="1"/>
          <c:tx>
            <c:strRef>
              <c:f>'TEA Outputs'!$B$79</c:f>
              <c:strCache>
                <c:ptCount val="1"/>
                <c:pt idx="0">
                  <c:v>Upgrading Total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HTL &amp; UG Capital</c:v>
              </c:pt>
            </c:strLit>
          </c:cat>
          <c:val>
            <c:numRef>
              <c:f>'TEA Outputs'!$C$79</c:f>
              <c:numCache>
                <c:formatCode>"$"#,##0</c:formatCode>
                <c:ptCount val="1"/>
                <c:pt idx="0">
                  <c:v>38644330.663125001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82A-4081-A86D-01BA91F13EE1}"/>
            </c:ext>
          </c:extLst>
        </c:ser>
        <c:ser>
          <c:idx val="2"/>
          <c:order val="2"/>
          <c:tx>
            <c:strRef>
              <c:f>'TEA Outputs'!$B$84</c:f>
              <c:strCache>
                <c:ptCount val="1"/>
                <c:pt idx="0">
                  <c:v>Heating Utility Total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HTL &amp; UG Capital</c:v>
              </c:pt>
            </c:strLit>
          </c:cat>
          <c:val>
            <c:numRef>
              <c:f>'TEA Outputs'!$C$84</c:f>
              <c:numCache>
                <c:formatCode>"$"#,##0</c:formatCode>
                <c:ptCount val="1"/>
                <c:pt idx="0">
                  <c:v>5288383.8731500003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2A-4081-A86D-01BA91F13EE1}"/>
            </c:ext>
          </c:extLst>
        </c:ser>
        <c:ser>
          <c:idx val="3"/>
          <c:order val="3"/>
          <c:tx>
            <c:strRef>
              <c:f>'TEA Outputs'!$B$96</c:f>
              <c:strCache>
                <c:ptCount val="1"/>
                <c:pt idx="0">
                  <c:v>Other Utilities Total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HTL &amp; UG Capital</c:v>
              </c:pt>
            </c:strLit>
          </c:cat>
          <c:val>
            <c:numRef>
              <c:f>'TEA Outputs'!$C$96</c:f>
              <c:numCache>
                <c:formatCode>"$"#,##0</c:formatCode>
                <c:ptCount val="1"/>
                <c:pt idx="0">
                  <c:v>3849692.1501249997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82A-4081-A86D-01BA91F13EE1}"/>
            </c:ext>
          </c:extLst>
        </c:ser>
        <c:ser>
          <c:idx val="4"/>
          <c:order val="4"/>
          <c:tx>
            <c:strRef>
              <c:f>'TEA Outputs'!$B$101</c:f>
              <c:strCache>
                <c:ptCount val="1"/>
                <c:pt idx="0">
                  <c:v>Total Direct Costs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HTL &amp; UG Capital</c:v>
              </c:pt>
            </c:strLit>
          </c:cat>
          <c:val>
            <c:numRef>
              <c:f>'TEA Outputs'!$C$101</c:f>
              <c:numCache>
                <c:formatCode>"$"#,##0</c:formatCode>
                <c:ptCount val="1"/>
                <c:pt idx="0">
                  <c:v>103950981.61012499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82A-4081-A86D-01BA91F13EE1}"/>
            </c:ext>
          </c:extLst>
        </c:ser>
        <c:ser>
          <c:idx val="5"/>
          <c:order val="5"/>
          <c:tx>
            <c:strRef>
              <c:f>'TEA Outputs'!$B$107</c:f>
              <c:strCache>
                <c:ptCount val="1"/>
                <c:pt idx="0">
                  <c:v>Total Indirect Costs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HTL &amp; UG Capital</c:v>
              </c:pt>
            </c:strLit>
          </c:cat>
          <c:val>
            <c:numRef>
              <c:f>'TEA Outputs'!$C$107</c:f>
              <c:numCache>
                <c:formatCode>"$"#,##0</c:formatCode>
                <c:ptCount val="1"/>
                <c:pt idx="0">
                  <c:v>62370588.966075003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82A-4081-A86D-01BA91F13E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1666169232"/>
        <c:axId val="1666180880"/>
      </c:barChart>
      <c:catAx>
        <c:axId val="1666169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6180880"/>
        <c:crosses val="autoZero"/>
        <c:auto val="1"/>
        <c:lblAlgn val="ctr"/>
        <c:lblOffset val="100"/>
        <c:noMultiLvlLbl val="0"/>
      </c:catAx>
      <c:valAx>
        <c:axId val="166618088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>
                    <a:solidFill>
                      <a:sysClr val="windowText" lastClr="000000"/>
                    </a:solidFill>
                  </a:rPr>
                  <a:t>Capital Investment (MM USD)</a:t>
                </a:r>
              </a:p>
            </c:rich>
          </c:tx>
          <c:layout>
            <c:manualLayout>
              <c:xMode val="edge"/>
              <c:yMode val="edge"/>
              <c:x val="2.2222222222222223E-2"/>
              <c:y val="0.1303874143402651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6169232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2892454068241468"/>
          <c:y val="0.24959493875006655"/>
          <c:w val="0.42385323709536316"/>
          <c:h val="0.403442429450110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6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HTL</a:t>
            </a:r>
            <a:r>
              <a:rPr lang="en-US" b="1" baseline="0">
                <a:solidFill>
                  <a:sysClr val="windowText" lastClr="000000"/>
                </a:solidFill>
              </a:rPr>
              <a:t> and Upgrading OPEX</a:t>
            </a:r>
            <a:endParaRPr lang="en-US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872862649490988"/>
          <c:y val="0.12828359688530805"/>
          <c:w val="0.42643385058039296"/>
          <c:h val="0.77222044898972952"/>
        </c:manualLayout>
      </c:layout>
      <c:barChart>
        <c:barDir val="col"/>
        <c:grouping val="stacked"/>
        <c:varyColors val="0"/>
        <c:ser>
          <c:idx val="4"/>
          <c:order val="0"/>
          <c:tx>
            <c:strRef>
              <c:f>'TEA Outputs'!$G$73</c:f>
              <c:strCache>
                <c:ptCount val="1"/>
                <c:pt idx="0">
                  <c:v>Char Revenue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HTL &amp; UG OPEX</c:v>
              </c:pt>
            </c:strLit>
          </c:cat>
          <c:val>
            <c:numRef>
              <c:f>'TEA Outputs'!$H$73</c:f>
              <c:numCache>
                <c:formatCode>"$"#,##0</c:formatCode>
                <c:ptCount val="1"/>
                <c:pt idx="0">
                  <c:v>-2709257.5098999999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E6-44C0-AC8D-52B515CFA5C2}"/>
            </c:ext>
          </c:extLst>
        </c:ser>
        <c:ser>
          <c:idx val="5"/>
          <c:order val="1"/>
          <c:tx>
            <c:strRef>
              <c:f>'TEA Outputs'!$G$74</c:f>
              <c:strCache>
                <c:ptCount val="1"/>
                <c:pt idx="0">
                  <c:v>NH3 Revenue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HTL &amp; UG OPEX</c:v>
              </c:pt>
            </c:strLit>
          </c:cat>
          <c:val>
            <c:numRef>
              <c:f>'TEA Outputs'!$H$74</c:f>
              <c:numCache>
                <c:formatCode>"$"#,##0</c:formatCode>
                <c:ptCount val="1"/>
                <c:pt idx="0">
                  <c:v>-2625659.780725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5E6-44C0-AC8D-52B515CFA5C2}"/>
            </c:ext>
          </c:extLst>
        </c:ser>
        <c:ser>
          <c:idx val="6"/>
          <c:order val="2"/>
          <c:tx>
            <c:strRef>
              <c:f>'TEA Outputs'!$G$75</c:f>
              <c:strCache>
                <c:ptCount val="1"/>
                <c:pt idx="0">
                  <c:v>DAP Revenue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HTL &amp; UG OPEX</c:v>
              </c:pt>
            </c:strLit>
          </c:cat>
          <c:val>
            <c:numRef>
              <c:f>'TEA Outputs'!$H$75</c:f>
              <c:numCache>
                <c:formatCode>"$"#,##0</c:formatCode>
                <c:ptCount val="1"/>
                <c:pt idx="0">
                  <c:v>-1217246.2482749999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5E6-44C0-AC8D-52B515CFA5C2}"/>
            </c:ext>
          </c:extLst>
        </c:ser>
        <c:ser>
          <c:idx val="0"/>
          <c:order val="3"/>
          <c:tx>
            <c:strRef>
              <c:f>'TEA Outputs'!$G$68</c:f>
              <c:strCache>
                <c:ptCount val="1"/>
                <c:pt idx="0">
                  <c:v>H2 OPEX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HTL &amp; UG OPEX</c:v>
              </c:pt>
            </c:strLit>
          </c:cat>
          <c:val>
            <c:numRef>
              <c:f>'TEA Outputs'!$H$68</c:f>
              <c:numCache>
                <c:formatCode>"$"#,##0</c:formatCode>
                <c:ptCount val="1"/>
                <c:pt idx="0">
                  <c:v>4296846.1041000001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5E6-44C0-AC8D-52B515CFA5C2}"/>
            </c:ext>
          </c:extLst>
        </c:ser>
        <c:ser>
          <c:idx val="1"/>
          <c:order val="4"/>
          <c:tx>
            <c:strRef>
              <c:f>'TEA Outputs'!$G$69</c:f>
              <c:strCache>
                <c:ptCount val="1"/>
                <c:pt idx="0">
                  <c:v>Natural Gas OPEX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HTL &amp; UG OPEX</c:v>
              </c:pt>
            </c:strLit>
          </c:cat>
          <c:val>
            <c:numRef>
              <c:f>'TEA Outputs'!$H$69</c:f>
              <c:numCache>
                <c:formatCode>"$"#,##0</c:formatCode>
                <c:ptCount val="1"/>
                <c:pt idx="0">
                  <c:v>125172.70384999999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5E6-44C0-AC8D-52B515CFA5C2}"/>
            </c:ext>
          </c:extLst>
        </c:ser>
        <c:ser>
          <c:idx val="2"/>
          <c:order val="5"/>
          <c:tx>
            <c:strRef>
              <c:f>'TEA Outputs'!$G$70</c:f>
              <c:strCache>
                <c:ptCount val="1"/>
                <c:pt idx="0">
                  <c:v>Grid Electricity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HTL &amp; UG OPEX</c:v>
              </c:pt>
            </c:strLit>
          </c:cat>
          <c:val>
            <c:numRef>
              <c:f>'TEA Outputs'!$H$70</c:f>
              <c:numCache>
                <c:formatCode>"$"#,##0</c:formatCode>
                <c:ptCount val="1"/>
                <c:pt idx="0">
                  <c:v>1056777.7412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5E6-44C0-AC8D-52B515CFA5C2}"/>
            </c:ext>
          </c:extLst>
        </c:ser>
        <c:ser>
          <c:idx val="3"/>
          <c:order val="6"/>
          <c:tx>
            <c:strRef>
              <c:f>'TEA Outputs'!$G$71</c:f>
              <c:strCache>
                <c:ptCount val="1"/>
                <c:pt idx="0">
                  <c:v>Process Water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HTL &amp; UG OPEX</c:v>
              </c:pt>
            </c:strLit>
          </c:cat>
          <c:val>
            <c:numRef>
              <c:f>'TEA Outputs'!$H$71</c:f>
              <c:numCache>
                <c:formatCode>"$"#,##0</c:formatCode>
                <c:ptCount val="1"/>
                <c:pt idx="0">
                  <c:v>14481.238150000001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5E6-44C0-AC8D-52B515CFA5C2}"/>
            </c:ext>
          </c:extLst>
        </c:ser>
        <c:ser>
          <c:idx val="7"/>
          <c:order val="7"/>
          <c:tx>
            <c:strRef>
              <c:f>'TEA Outputs'!$G$77</c:f>
              <c:strCache>
                <c:ptCount val="1"/>
                <c:pt idx="0">
                  <c:v>Total Labor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HTL &amp; UG OPEX</c:v>
              </c:pt>
            </c:strLit>
          </c:cat>
          <c:val>
            <c:numRef>
              <c:f>'TEA Outputs'!$H$77</c:f>
              <c:numCache>
                <c:formatCode>"$"#,##0</c:formatCode>
                <c:ptCount val="1"/>
                <c:pt idx="0">
                  <c:v>1585292.6107999999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5E6-44C0-AC8D-52B515CFA5C2}"/>
            </c:ext>
          </c:extLst>
        </c:ser>
        <c:ser>
          <c:idx val="8"/>
          <c:order val="8"/>
          <c:tx>
            <c:strRef>
              <c:f>'TEA Outputs'!$G$78</c:f>
              <c:strCache>
                <c:ptCount val="1"/>
                <c:pt idx="0">
                  <c:v>Labor Burden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HTL &amp; UG OPEX</c:v>
              </c:pt>
            </c:strLit>
          </c:cat>
          <c:val>
            <c:numRef>
              <c:f>'TEA Outputs'!$H$78</c:f>
              <c:numCache>
                <c:formatCode>"$"#,##0</c:formatCode>
                <c:ptCount val="1"/>
                <c:pt idx="0">
                  <c:v>1426763.3498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5E6-44C0-AC8D-52B515CFA5C2}"/>
            </c:ext>
          </c:extLst>
        </c:ser>
        <c:ser>
          <c:idx val="9"/>
          <c:order val="9"/>
          <c:tx>
            <c:strRef>
              <c:f>'TEA Outputs'!$G$79</c:f>
              <c:strCache>
                <c:ptCount val="1"/>
                <c:pt idx="0">
                  <c:v>Maintenance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HTL &amp; UG OPEX</c:v>
              </c:pt>
            </c:strLit>
          </c:cat>
          <c:val>
            <c:numRef>
              <c:f>'TEA Outputs'!$H$79</c:f>
              <c:numCache>
                <c:formatCode>"$"#,##0</c:formatCode>
                <c:ptCount val="1"/>
                <c:pt idx="0">
                  <c:v>2654067.6155750002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5E6-44C0-AC8D-52B515CFA5C2}"/>
            </c:ext>
          </c:extLst>
        </c:ser>
        <c:ser>
          <c:idx val="10"/>
          <c:order val="10"/>
          <c:tx>
            <c:strRef>
              <c:f>'TEA Outputs'!$G$80</c:f>
              <c:strCache>
                <c:ptCount val="1"/>
                <c:pt idx="0">
                  <c:v>Property Tax &amp; Insurance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HTL &amp; UG OPEX</c:v>
              </c:pt>
            </c:strLit>
          </c:cat>
          <c:val>
            <c:numRef>
              <c:f>'TEA Outputs'!$H$80</c:f>
              <c:numCache>
                <c:formatCode>"$"#,##0</c:formatCode>
                <c:ptCount val="1"/>
                <c:pt idx="0">
                  <c:v>1663215.7057500002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5E6-44C0-AC8D-52B515CFA5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466238976"/>
        <c:axId val="466233568"/>
      </c:barChart>
      <c:barChart>
        <c:barDir val="col"/>
        <c:grouping val="stacked"/>
        <c:varyColors val="0"/>
        <c:ser>
          <c:idx val="11"/>
          <c:order val="11"/>
          <c:tx>
            <c:strRef>
              <c:f>'TEA Outputs'!$G$82</c:f>
              <c:strCache>
                <c:ptCount val="1"/>
                <c:pt idx="0">
                  <c:v>Net OPEX (w/ Co-Products)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5875">
              <a:solidFill>
                <a:srgbClr val="FF000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HTL &amp; UG OPEX</c:v>
              </c:pt>
            </c:strLit>
          </c:cat>
          <c:val>
            <c:numRef>
              <c:f>'TEA Outputs'!$H$82</c:f>
              <c:numCache>
                <c:formatCode>"$"#,##0</c:formatCode>
                <c:ptCount val="1"/>
                <c:pt idx="0">
                  <c:v>6270453.5303249992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5E6-44C0-AC8D-52B515CFA5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6"/>
        <c:overlap val="100"/>
        <c:axId val="466180736"/>
        <c:axId val="466193216"/>
      </c:barChart>
      <c:catAx>
        <c:axId val="466238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233568"/>
        <c:crosses val="autoZero"/>
        <c:auto val="1"/>
        <c:lblAlgn val="ctr"/>
        <c:lblOffset val="100"/>
        <c:noMultiLvlLbl val="0"/>
      </c:catAx>
      <c:valAx>
        <c:axId val="46623356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>
                    <a:solidFill>
                      <a:sysClr val="windowText" lastClr="000000"/>
                    </a:solidFill>
                  </a:rPr>
                  <a:t>Operational Expenses</a:t>
                </a:r>
                <a:r>
                  <a:rPr lang="en-US" sz="1200" baseline="0">
                    <a:solidFill>
                      <a:sysClr val="windowText" lastClr="000000"/>
                    </a:solidFill>
                  </a:rPr>
                  <a:t> (MM USD/yr)</a:t>
                </a:r>
                <a:endParaRPr lang="en-US" sz="120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3.0309140227764417E-2"/>
              <c:y val="0.122089508176719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238976"/>
        <c:crosses val="autoZero"/>
        <c:crossBetween val="between"/>
        <c:dispUnits>
          <c:builtInUnit val="millions"/>
        </c:dispUnits>
      </c:valAx>
      <c:valAx>
        <c:axId val="466193216"/>
        <c:scaling>
          <c:orientation val="minMax"/>
          <c:max val="15000000"/>
          <c:min val="-15000000"/>
        </c:scaling>
        <c:delete val="1"/>
        <c:axPos val="r"/>
        <c:numFmt formatCode="&quot;$&quot;#,##0" sourceLinked="1"/>
        <c:majorTickMark val="out"/>
        <c:minorTickMark val="none"/>
        <c:tickLblPos val="nextTo"/>
        <c:crossAx val="466180736"/>
        <c:crosses val="max"/>
        <c:crossBetween val="between"/>
      </c:valAx>
      <c:catAx>
        <c:axId val="4661807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61932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1214267672607869"/>
          <c:y val="0.16379342946959244"/>
          <c:w val="0.35717392020558097"/>
          <c:h val="0.5589574908765835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6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MFSP -</a:t>
            </a:r>
            <a:r>
              <a:rPr lang="en-US" b="1" baseline="0">
                <a:solidFill>
                  <a:sysClr val="windowText" lastClr="000000"/>
                </a:solidFill>
              </a:rPr>
              <a:t> Broken Out by Net Present Value (NPV)</a:t>
            </a:r>
            <a:endParaRPr lang="en-US" b="1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24857607799025119"/>
          <c:y val="2.988791639123413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276995375578053"/>
          <c:y val="0.1235118798584207"/>
          <c:w val="0.49807954005749283"/>
          <c:h val="0.7809571350274874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'TEA Outputs'!$K$71</c:f>
              <c:strCache>
                <c:ptCount val="1"/>
                <c:pt idx="0">
                  <c:v>Land Capital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'TEA Outputs'!$K$73</c:f>
              <c:strCache>
                <c:ptCount val="1"/>
                <c:pt idx="0">
                  <c:v>Minimum Fuel Selling Price</c:v>
                </c:pt>
              </c:strCache>
            </c:strRef>
          </c:cat>
          <c:val>
            <c:numRef>
              <c:f>'TEA Outputs'!$N$71</c:f>
              <c:numCache>
                <c:formatCode>"$"#,##0.00</c:formatCode>
                <c:ptCount val="1"/>
                <c:pt idx="0">
                  <c:v>0.2331601340603526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B9-4AAF-BD1B-6CA3CD99D21E}"/>
            </c:ext>
          </c:extLst>
        </c:ser>
        <c:ser>
          <c:idx val="1"/>
          <c:order val="1"/>
          <c:tx>
            <c:strRef>
              <c:f>'TEA Outputs'!$K$70</c:f>
              <c:strCache>
                <c:ptCount val="1"/>
                <c:pt idx="0">
                  <c:v>Equipment and Facility Capital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'TEA Outputs'!$K$73</c:f>
              <c:strCache>
                <c:ptCount val="1"/>
                <c:pt idx="0">
                  <c:v>Minimum Fuel Selling Price</c:v>
                </c:pt>
              </c:strCache>
            </c:strRef>
          </c:cat>
          <c:val>
            <c:numRef>
              <c:f>'TEA Outputs'!$N$70</c:f>
              <c:numCache>
                <c:formatCode>"$"#,##0.00</c:formatCode>
                <c:ptCount val="1"/>
                <c:pt idx="0">
                  <c:v>2.0118913942558634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B9-4AAF-BD1B-6CA3CD99D21E}"/>
            </c:ext>
          </c:extLst>
        </c:ser>
        <c:ser>
          <c:idx val="2"/>
          <c:order val="2"/>
          <c:tx>
            <c:strRef>
              <c:f>'TEA Outputs'!$K$69</c:f>
              <c:strCache>
                <c:ptCount val="1"/>
                <c:pt idx="0">
                  <c:v>Operational Expenses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'TEA Outputs'!$K$73</c:f>
              <c:strCache>
                <c:ptCount val="1"/>
                <c:pt idx="0">
                  <c:v>Minimum Fuel Selling Price</c:v>
                </c:pt>
              </c:strCache>
            </c:strRef>
          </c:cat>
          <c:val>
            <c:numRef>
              <c:f>'TEA Outputs'!$N$69</c:f>
              <c:numCache>
                <c:formatCode>"$"#,##0.00</c:formatCode>
                <c:ptCount val="1"/>
                <c:pt idx="0">
                  <c:v>3.8250013313322175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B9-4AAF-BD1B-6CA3CD99D21E}"/>
            </c:ext>
          </c:extLst>
        </c:ser>
        <c:ser>
          <c:idx val="3"/>
          <c:order val="3"/>
          <c:tx>
            <c:strRef>
              <c:f>'TEA Outputs'!$K$68</c:f>
              <c:strCache>
                <c:ptCount val="1"/>
                <c:pt idx="0">
                  <c:v>Income Tax</c:v>
                </c:pt>
              </c:strCache>
            </c:strRef>
          </c:tx>
          <c:spPr>
            <a:solidFill>
              <a:srgbClr val="BD92DE"/>
            </a:solidFill>
            <a:ln>
              <a:noFill/>
            </a:ln>
            <a:effectLst/>
          </c:spPr>
          <c:invertIfNegative val="0"/>
          <c:cat>
            <c:strRef>
              <c:f>'TEA Outputs'!$K$73</c:f>
              <c:strCache>
                <c:ptCount val="1"/>
                <c:pt idx="0">
                  <c:v>Minimum Fuel Selling Price</c:v>
                </c:pt>
              </c:strCache>
            </c:strRef>
          </c:cat>
          <c:val>
            <c:numRef>
              <c:f>'TEA Outputs'!$N$68</c:f>
              <c:numCache>
                <c:formatCode>"$"#,##0.00</c:formatCode>
                <c:ptCount val="1"/>
                <c:pt idx="0">
                  <c:v>0.46488018843414192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4B9-4AAF-BD1B-6CA3CD99D2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7"/>
        <c:overlap val="100"/>
        <c:axId val="1151105023"/>
        <c:axId val="1151106271"/>
      </c:barChart>
      <c:scatterChart>
        <c:scatterStyle val="lineMarker"/>
        <c:varyColors val="0"/>
        <c:ser>
          <c:idx val="4"/>
          <c:order val="4"/>
          <c:tx>
            <c:strRef>
              <c:f>'TEA Outputs'!$K$72</c:f>
              <c:strCache>
                <c:ptCount val="1"/>
                <c:pt idx="0">
                  <c:v>Total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11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yVal>
            <c:numRef>
              <c:f>'TEA Outputs'!$N$72</c:f>
              <c:numCache>
                <c:formatCode>"$"#,##0.00</c:formatCode>
                <c:ptCount val="1"/>
                <c:pt idx="0">
                  <c:v>6.5349330480825749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4B9-4AAF-BD1B-6CA3CD99D2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1106687"/>
        <c:axId val="1151100447"/>
      </c:scatterChart>
      <c:catAx>
        <c:axId val="11511050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1106271"/>
        <c:crosses val="autoZero"/>
        <c:auto val="1"/>
        <c:lblAlgn val="ctr"/>
        <c:lblOffset val="100"/>
        <c:noMultiLvlLbl val="0"/>
      </c:catAx>
      <c:valAx>
        <c:axId val="1151106271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50">
                    <a:solidFill>
                      <a:sysClr val="windowText" lastClr="000000"/>
                    </a:solidFill>
                  </a:rPr>
                  <a:t>Minimum Fuel Selling Price ($/GGE)</a:t>
                </a:r>
              </a:p>
            </c:rich>
          </c:tx>
          <c:layout>
            <c:manualLayout>
              <c:xMode val="edge"/>
              <c:yMode val="edge"/>
              <c:x val="3.2308905072872714E-2"/>
              <c:y val="0.152628933804148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0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1105023"/>
        <c:crosses val="autoZero"/>
        <c:crossBetween val="between"/>
      </c:valAx>
      <c:valAx>
        <c:axId val="1151100447"/>
        <c:scaling>
          <c:orientation val="minMax"/>
        </c:scaling>
        <c:delete val="1"/>
        <c:axPos val="r"/>
        <c:numFmt formatCode="&quot;$&quot;#,##0.00" sourceLinked="1"/>
        <c:majorTickMark val="out"/>
        <c:minorTickMark val="none"/>
        <c:tickLblPos val="nextTo"/>
        <c:crossAx val="1151106687"/>
        <c:crosses val="max"/>
        <c:crossBetween val="midCat"/>
      </c:valAx>
      <c:valAx>
        <c:axId val="115110668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511004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4550941132358455"/>
          <c:y val="0.42314543256156439"/>
          <c:w val="0.39988301462317211"/>
          <c:h val="0.3167308529064756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6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System Global</a:t>
            </a:r>
            <a:r>
              <a:rPr lang="en-US" b="1" baseline="0">
                <a:solidFill>
                  <a:sysClr val="windowText" lastClr="000000"/>
                </a:solidFill>
              </a:rPr>
              <a:t> Warming Potential (g CO2-eq/MJ Fuel)</a:t>
            </a:r>
            <a:endParaRPr lang="en-US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'LCA Outputs'!$A$72</c:f>
              <c:strCache>
                <c:ptCount val="1"/>
                <c:pt idx="0">
                  <c:v>CO2 Uptake (Biomass Growth)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'LCA Outputs'!$H$72</c:f>
              <c:numCache>
                <c:formatCode>0.00E+00</c:formatCode>
                <c:ptCount val="1"/>
                <c:pt idx="0">
                  <c:v>-96.260348727409422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75-4C0B-8F1D-BC540555A219}"/>
            </c:ext>
          </c:extLst>
        </c:ser>
        <c:ser>
          <c:idx val="1"/>
          <c:order val="1"/>
          <c:tx>
            <c:strRef>
              <c:f>'LCA Outputs'!$A$73</c:f>
              <c:strCache>
                <c:ptCount val="1"/>
                <c:pt idx="0">
                  <c:v>Cultivation Consumables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val>
            <c:numRef>
              <c:f>'LCA Outputs'!$H$73</c:f>
              <c:numCache>
                <c:formatCode>0.00E+00</c:formatCode>
                <c:ptCount val="1"/>
                <c:pt idx="0">
                  <c:v>6.0844617101169138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75-4C0B-8F1D-BC540555A219}"/>
            </c:ext>
          </c:extLst>
        </c:ser>
        <c:ser>
          <c:idx val="2"/>
          <c:order val="2"/>
          <c:tx>
            <c:strRef>
              <c:f>'LCA Outputs'!$A$74</c:f>
              <c:strCache>
                <c:ptCount val="1"/>
                <c:pt idx="0">
                  <c:v>Cultivation Electricity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val>
            <c:numRef>
              <c:f>'LCA Outputs'!$H$74</c:f>
              <c:numCache>
                <c:formatCode>0.00E+00</c:formatCode>
                <c:ptCount val="1"/>
                <c:pt idx="0">
                  <c:v>16.662441772655676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B75-4C0B-8F1D-BC540555A219}"/>
            </c:ext>
          </c:extLst>
        </c:ser>
        <c:ser>
          <c:idx val="3"/>
          <c:order val="3"/>
          <c:tx>
            <c:strRef>
              <c:f>'LCA Outputs'!$A$75</c:f>
              <c:strCache>
                <c:ptCount val="1"/>
                <c:pt idx="0">
                  <c:v>Conversion Consumables 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val>
            <c:numRef>
              <c:f>'LCA Outputs'!$H$75</c:f>
              <c:numCache>
                <c:formatCode>0.00E+00</c:formatCode>
                <c:ptCount val="1"/>
                <c:pt idx="0">
                  <c:v>17.209372500060031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B75-4C0B-8F1D-BC540555A219}"/>
            </c:ext>
          </c:extLst>
        </c:ser>
        <c:ser>
          <c:idx val="4"/>
          <c:order val="4"/>
          <c:tx>
            <c:strRef>
              <c:f>'LCA Outputs'!$A$76</c:f>
              <c:strCache>
                <c:ptCount val="1"/>
                <c:pt idx="0">
                  <c:v>Conversion Electricity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val>
            <c:numRef>
              <c:f>'LCA Outputs'!$H$76</c:f>
              <c:numCache>
                <c:formatCode>0.00E+00</c:formatCode>
                <c:ptCount val="1"/>
                <c:pt idx="0">
                  <c:v>3.2152974208048897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B75-4C0B-8F1D-BC540555A219}"/>
            </c:ext>
          </c:extLst>
        </c:ser>
        <c:ser>
          <c:idx val="5"/>
          <c:order val="5"/>
          <c:tx>
            <c:strRef>
              <c:f>'LCA Outputs'!$A$77</c:f>
              <c:strCache>
                <c:ptCount val="1"/>
                <c:pt idx="0">
                  <c:v>Conversion Direct Emissions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val>
            <c:numRef>
              <c:f>'LCA Outputs'!$H$77</c:f>
              <c:numCache>
                <c:formatCode>0.00E+00</c:formatCode>
                <c:ptCount val="1"/>
                <c:pt idx="0">
                  <c:v>111.92187701440064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B75-4C0B-8F1D-BC540555A219}"/>
            </c:ext>
          </c:extLst>
        </c:ser>
        <c:ser>
          <c:idx val="6"/>
          <c:order val="6"/>
          <c:tx>
            <c:strRef>
              <c:f>'LCA Outputs'!$A$78</c:f>
              <c:strCache>
                <c:ptCount val="1"/>
                <c:pt idx="0">
                  <c:v>Biogenic Carbon Stored in Char</c:v>
                </c:pt>
              </c:strCache>
            </c:strRef>
          </c:tx>
          <c:spPr>
            <a:solidFill>
              <a:schemeClr val="tx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val>
            <c:numRef>
              <c:f>'LCA Outputs'!$H$78</c:f>
              <c:numCache>
                <c:formatCode>0.00E+00</c:formatCode>
                <c:ptCount val="1"/>
                <c:pt idx="0">
                  <c:v>-28.115482848820388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B75-4C0B-8F1D-BC540555A2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2"/>
        <c:overlap val="100"/>
        <c:axId val="954137824"/>
        <c:axId val="954136160"/>
      </c:barChart>
      <c:barChart>
        <c:barDir val="col"/>
        <c:grouping val="stacked"/>
        <c:varyColors val="0"/>
        <c:ser>
          <c:idx val="7"/>
          <c:order val="7"/>
          <c:tx>
            <c:strRef>
              <c:f>'LCA Outputs'!$A$79</c:f>
              <c:strCache>
                <c:ptCount val="1"/>
                <c:pt idx="0">
                  <c:v>Net Emissions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FF0000"/>
              </a:solidFill>
            </a:ln>
            <a:effectLst/>
          </c:spPr>
          <c:invertIfNegative val="0"/>
          <c:dLbls>
            <c:dLbl>
              <c:idx val="0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8CC-41EB-A5C2-3F76F9D9B7A9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'LCA Outputs'!$H$79</c:f>
              <c:numCache>
                <c:formatCode>0.00E+00</c:formatCode>
                <c:ptCount val="1"/>
                <c:pt idx="0">
                  <c:v>30.717618841808321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B75-4C0B-8F1D-BC540555A2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2"/>
        <c:overlap val="100"/>
        <c:axId val="1497994352"/>
        <c:axId val="1257887248"/>
      </c:barChart>
      <c:catAx>
        <c:axId val="95413782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54136160"/>
        <c:crosses val="autoZero"/>
        <c:auto val="1"/>
        <c:lblAlgn val="ctr"/>
        <c:lblOffset val="100"/>
        <c:noMultiLvlLbl val="0"/>
      </c:catAx>
      <c:valAx>
        <c:axId val="9541361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ysClr val="windowText" lastClr="000000"/>
                    </a:solidFill>
                  </a:rPr>
                  <a:t>W2W Global Warming Potential (g CO2-eq/MJ</a:t>
                </a:r>
                <a:r>
                  <a:rPr lang="en-US" sz="1400" baseline="0">
                    <a:solidFill>
                      <a:sysClr val="windowText" lastClr="000000"/>
                    </a:solidFill>
                  </a:rPr>
                  <a:t> Fuel)</a:t>
                </a:r>
                <a:endParaRPr lang="en-US" sz="140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1.1482602952385172E-2"/>
              <c:y val="8.588333025892970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out"/>
        <c:minorTickMark val="out"/>
        <c:tickLblPos val="nextTo"/>
        <c:spPr>
          <a:noFill/>
          <a:ln w="635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4137824"/>
        <c:crosses val="autoZero"/>
        <c:crossBetween val="between"/>
        <c:minorUnit val="25"/>
      </c:valAx>
      <c:valAx>
        <c:axId val="1257887248"/>
        <c:scaling>
          <c:orientation val="minMax"/>
          <c:max val="200"/>
          <c:min val="-200"/>
        </c:scaling>
        <c:delete val="1"/>
        <c:axPos val="r"/>
        <c:numFmt formatCode="0.00E+00" sourceLinked="1"/>
        <c:majorTickMark val="out"/>
        <c:minorTickMark val="none"/>
        <c:tickLblPos val="nextTo"/>
        <c:crossAx val="1497994352"/>
        <c:crosses val="max"/>
        <c:crossBetween val="between"/>
      </c:valAx>
      <c:catAx>
        <c:axId val="1497994352"/>
        <c:scaling>
          <c:orientation val="minMax"/>
        </c:scaling>
        <c:delete val="1"/>
        <c:axPos val="b"/>
        <c:majorTickMark val="out"/>
        <c:minorTickMark val="none"/>
        <c:tickLblPos val="nextTo"/>
        <c:crossAx val="125788724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5046278506465973"/>
          <c:y val="0.1394230327107531"/>
          <c:w val="0.41477422218927129"/>
          <c:h val="0.382589246511453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accent2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TRACI Impacts for System Burdens (Emissions)</a:t>
            </a:r>
          </a:p>
        </c:rich>
      </c:tx>
      <c:layout>
        <c:manualLayout>
          <c:xMode val="edge"/>
          <c:yMode val="edge"/>
          <c:x val="0.30259486567989063"/>
          <c:y val="1.34952268343943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6744799485584405E-2"/>
          <c:y val="7.8017922940980824E-2"/>
          <c:w val="0.66584043188836239"/>
          <c:h val="0.6355508819779294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'LCA Outputs'!$B$100</c:f>
              <c:strCache>
                <c:ptCount val="1"/>
                <c:pt idx="0">
                  <c:v>Ammonia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'LCA Outputs'!$C$98:$L$99</c:f>
              <c:multiLvlStrCache>
                <c:ptCount val="10"/>
                <c:lvl>
                  <c:pt idx="0">
                    <c:v>kg PM2.5/MJ Fuel</c:v>
                  </c:pt>
                  <c:pt idx="1">
                    <c:v>kg SO2-eq/MJ Fuel</c:v>
                  </c:pt>
                  <c:pt idx="2">
                    <c:v>CTUe/MJ Fuel</c:v>
                  </c:pt>
                  <c:pt idx="3">
                    <c:v>CTUh/MJ Fuel</c:v>
                  </c:pt>
                  <c:pt idx="4">
                    <c:v>CTUh/MJ Fuel</c:v>
                  </c:pt>
                  <c:pt idx="5">
                    <c:v>g CO2-eq/MJ Fuel</c:v>
                  </c:pt>
                  <c:pt idx="6">
                    <c:v>kg O3-eq/MJ Fuel</c:v>
                  </c:pt>
                  <c:pt idx="7">
                    <c:v>kg CFC-11/MJ Fuel</c:v>
                  </c:pt>
                  <c:pt idx="8">
                    <c:v>kg N-eq/MJ Fuel</c:v>
                  </c:pt>
                  <c:pt idx="9">
                    <c:v>MJ Surplus/MJ Fuel</c:v>
                  </c:pt>
                </c:lvl>
                <c:lvl>
                  <c:pt idx="0">
                    <c:v>Respiratory Effects</c:v>
                  </c:pt>
                  <c:pt idx="1">
                    <c:v>Acidification</c:v>
                  </c:pt>
                  <c:pt idx="2">
                    <c:v>Ecotoxicity</c:v>
                  </c:pt>
                  <c:pt idx="3">
                    <c:v>Non-Carcinogenics</c:v>
                  </c:pt>
                  <c:pt idx="4">
                    <c:v>Carcinogenics</c:v>
                  </c:pt>
                  <c:pt idx="5">
                    <c:v>Global Warming Potential</c:v>
                  </c:pt>
                  <c:pt idx="6">
                    <c:v>Smog Formation</c:v>
                  </c:pt>
                  <c:pt idx="7">
                    <c:v>Ozone Depletion</c:v>
                  </c:pt>
                  <c:pt idx="8">
                    <c:v>Eutrophication</c:v>
                  </c:pt>
                  <c:pt idx="9">
                    <c:v>Fossil Fuel Depletion</c:v>
                  </c:pt>
                </c:lvl>
              </c:multiLvlStrCache>
            </c:multiLvlStrRef>
          </c:cat>
          <c:val>
            <c:numRef>
              <c:f>'LCA Outputs'!$C$100:$L$100</c:f>
              <c:numCache>
                <c:formatCode>0.00%</c:formatCode>
                <c:ptCount val="10"/>
                <c:pt idx="0">
                  <c:v>1.8947433797530708E-2</c:v>
                </c:pt>
                <c:pt idx="1">
                  <c:v>4.3600242480163198E-2</c:v>
                </c:pt>
                <c:pt idx="2">
                  <c:v>8.9316102432421024E-2</c:v>
                </c:pt>
                <c:pt idx="3">
                  <c:v>4.9603753315713109E-2</c:v>
                </c:pt>
                <c:pt idx="4">
                  <c:v>7.6931489739609463E-2</c:v>
                </c:pt>
                <c:pt idx="5">
                  <c:v>2.971074647107029E-2</c:v>
                </c:pt>
                <c:pt idx="6">
                  <c:v>9.078808738187398E-2</c:v>
                </c:pt>
                <c:pt idx="7">
                  <c:v>5.9320950898763374E-2</c:v>
                </c:pt>
                <c:pt idx="8">
                  <c:v>1.9947910394969997E-2</c:v>
                </c:pt>
                <c:pt idx="9">
                  <c:v>0.12337970830339287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0E-4D12-A7B8-E86340FAE3D4}"/>
            </c:ext>
          </c:extLst>
        </c:ser>
        <c:ser>
          <c:idx val="1"/>
          <c:order val="1"/>
          <c:tx>
            <c:strRef>
              <c:f>'LCA Outputs'!$B$101</c:f>
              <c:strCache>
                <c:ptCount val="1"/>
                <c:pt idx="0">
                  <c:v>Diammonium Phosphate (DAP)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'LCA Outputs'!$C$98:$L$99</c:f>
              <c:multiLvlStrCache>
                <c:ptCount val="10"/>
                <c:lvl>
                  <c:pt idx="0">
                    <c:v>kg PM2.5/MJ Fuel</c:v>
                  </c:pt>
                  <c:pt idx="1">
                    <c:v>kg SO2-eq/MJ Fuel</c:v>
                  </c:pt>
                  <c:pt idx="2">
                    <c:v>CTUe/MJ Fuel</c:v>
                  </c:pt>
                  <c:pt idx="3">
                    <c:v>CTUh/MJ Fuel</c:v>
                  </c:pt>
                  <c:pt idx="4">
                    <c:v>CTUh/MJ Fuel</c:v>
                  </c:pt>
                  <c:pt idx="5">
                    <c:v>g CO2-eq/MJ Fuel</c:v>
                  </c:pt>
                  <c:pt idx="6">
                    <c:v>kg O3-eq/MJ Fuel</c:v>
                  </c:pt>
                  <c:pt idx="7">
                    <c:v>kg CFC-11/MJ Fuel</c:v>
                  </c:pt>
                  <c:pt idx="8">
                    <c:v>kg N-eq/MJ Fuel</c:v>
                  </c:pt>
                  <c:pt idx="9">
                    <c:v>MJ Surplus/MJ Fuel</c:v>
                  </c:pt>
                </c:lvl>
                <c:lvl>
                  <c:pt idx="0">
                    <c:v>Respiratory Effects</c:v>
                  </c:pt>
                  <c:pt idx="1">
                    <c:v>Acidification</c:v>
                  </c:pt>
                  <c:pt idx="2">
                    <c:v>Ecotoxicity</c:v>
                  </c:pt>
                  <c:pt idx="3">
                    <c:v>Non-Carcinogenics</c:v>
                  </c:pt>
                  <c:pt idx="4">
                    <c:v>Carcinogenics</c:v>
                  </c:pt>
                  <c:pt idx="5">
                    <c:v>Global Warming Potential</c:v>
                  </c:pt>
                  <c:pt idx="6">
                    <c:v>Smog Formation</c:v>
                  </c:pt>
                  <c:pt idx="7">
                    <c:v>Ozone Depletion</c:v>
                  </c:pt>
                  <c:pt idx="8">
                    <c:v>Eutrophication</c:v>
                  </c:pt>
                  <c:pt idx="9">
                    <c:v>Fossil Fuel Depletion</c:v>
                  </c:pt>
                </c:lvl>
              </c:multiLvlStrCache>
            </c:multiLvlStrRef>
          </c:cat>
          <c:val>
            <c:numRef>
              <c:f>'LCA Outputs'!$C$101:$L$101</c:f>
              <c:numCache>
                <c:formatCode>0.00%</c:formatCode>
                <c:ptCount val="10"/>
                <c:pt idx="0">
                  <c:v>7.3343634833251639E-2</c:v>
                </c:pt>
                <c:pt idx="1">
                  <c:v>0.14490128440726385</c:v>
                </c:pt>
                <c:pt idx="2">
                  <c:v>0.36664684029843719</c:v>
                </c:pt>
                <c:pt idx="3">
                  <c:v>0.25897105666086118</c:v>
                </c:pt>
                <c:pt idx="4">
                  <c:v>9.0501272658968165E-2</c:v>
                </c:pt>
                <c:pt idx="5">
                  <c:v>9.497635214926298E-3</c:v>
                </c:pt>
                <c:pt idx="6">
                  <c:v>8.9470041721050414E-2</c:v>
                </c:pt>
                <c:pt idx="7">
                  <c:v>2.77594442842076E-2</c:v>
                </c:pt>
                <c:pt idx="8">
                  <c:v>0.11701697652024606</c:v>
                </c:pt>
                <c:pt idx="9">
                  <c:v>2.9275320965343743E-2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0E-4D12-A7B8-E86340FAE3D4}"/>
            </c:ext>
          </c:extLst>
        </c:ser>
        <c:ser>
          <c:idx val="2"/>
          <c:order val="2"/>
          <c:tx>
            <c:strRef>
              <c:f>'LCA Outputs'!$B$102</c:f>
              <c:strCache>
                <c:ptCount val="1"/>
                <c:pt idx="0">
                  <c:v>Process Water (Cultivation &amp; Dewatering)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'LCA Outputs'!$C$98:$L$99</c:f>
              <c:multiLvlStrCache>
                <c:ptCount val="10"/>
                <c:lvl>
                  <c:pt idx="0">
                    <c:v>kg PM2.5/MJ Fuel</c:v>
                  </c:pt>
                  <c:pt idx="1">
                    <c:v>kg SO2-eq/MJ Fuel</c:v>
                  </c:pt>
                  <c:pt idx="2">
                    <c:v>CTUe/MJ Fuel</c:v>
                  </c:pt>
                  <c:pt idx="3">
                    <c:v>CTUh/MJ Fuel</c:v>
                  </c:pt>
                  <c:pt idx="4">
                    <c:v>CTUh/MJ Fuel</c:v>
                  </c:pt>
                  <c:pt idx="5">
                    <c:v>g CO2-eq/MJ Fuel</c:v>
                  </c:pt>
                  <c:pt idx="6">
                    <c:v>kg O3-eq/MJ Fuel</c:v>
                  </c:pt>
                  <c:pt idx="7">
                    <c:v>kg CFC-11/MJ Fuel</c:v>
                  </c:pt>
                  <c:pt idx="8">
                    <c:v>kg N-eq/MJ Fuel</c:v>
                  </c:pt>
                  <c:pt idx="9">
                    <c:v>MJ Surplus/MJ Fuel</c:v>
                  </c:pt>
                </c:lvl>
                <c:lvl>
                  <c:pt idx="0">
                    <c:v>Respiratory Effects</c:v>
                  </c:pt>
                  <c:pt idx="1">
                    <c:v>Acidification</c:v>
                  </c:pt>
                  <c:pt idx="2">
                    <c:v>Ecotoxicity</c:v>
                  </c:pt>
                  <c:pt idx="3">
                    <c:v>Non-Carcinogenics</c:v>
                  </c:pt>
                  <c:pt idx="4">
                    <c:v>Carcinogenics</c:v>
                  </c:pt>
                  <c:pt idx="5">
                    <c:v>Global Warming Potential</c:v>
                  </c:pt>
                  <c:pt idx="6">
                    <c:v>Smog Formation</c:v>
                  </c:pt>
                  <c:pt idx="7">
                    <c:v>Ozone Depletion</c:v>
                  </c:pt>
                  <c:pt idx="8">
                    <c:v>Eutrophication</c:v>
                  </c:pt>
                  <c:pt idx="9">
                    <c:v>Fossil Fuel Depletion</c:v>
                  </c:pt>
                </c:lvl>
              </c:multiLvlStrCache>
            </c:multiLvlStrRef>
          </c:cat>
          <c:val>
            <c:numRef>
              <c:f>'LCA Outputs'!$C$102:$L$102</c:f>
              <c:numCache>
                <c:formatCode>0.00%</c:formatCode>
                <c:ptCount val="10"/>
                <c:pt idx="0">
                  <c:v>2.3746204841069478E-4</c:v>
                </c:pt>
                <c:pt idx="1">
                  <c:v>1.3293703621085456E-4</c:v>
                </c:pt>
                <c:pt idx="2">
                  <c:v>1.4291143838695219E-4</c:v>
                </c:pt>
                <c:pt idx="3">
                  <c:v>1.4930867978615162E-4</c:v>
                </c:pt>
                <c:pt idx="4">
                  <c:v>1.702125761367631E-4</c:v>
                </c:pt>
                <c:pt idx="5">
                  <c:v>2.2557426627989888E-5</c:v>
                </c:pt>
                <c:pt idx="6">
                  <c:v>1.3704345413481734E-4</c:v>
                </c:pt>
                <c:pt idx="7">
                  <c:v>2.9172643036579998E-4</c:v>
                </c:pt>
                <c:pt idx="8">
                  <c:v>2.1478973640638924E-4</c:v>
                </c:pt>
                <c:pt idx="9">
                  <c:v>4.3424747871572562E-5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B0E-4D12-A7B8-E86340FAE3D4}"/>
            </c:ext>
          </c:extLst>
        </c:ser>
        <c:ser>
          <c:idx val="3"/>
          <c:order val="3"/>
          <c:tx>
            <c:strRef>
              <c:f>'LCA Outputs'!$B$103</c:f>
              <c:strCache>
                <c:ptCount val="1"/>
                <c:pt idx="0">
                  <c:v>Electricity (Cultivation)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'LCA Outputs'!$C$98:$L$99</c:f>
              <c:multiLvlStrCache>
                <c:ptCount val="10"/>
                <c:lvl>
                  <c:pt idx="0">
                    <c:v>kg PM2.5/MJ Fuel</c:v>
                  </c:pt>
                  <c:pt idx="1">
                    <c:v>kg SO2-eq/MJ Fuel</c:v>
                  </c:pt>
                  <c:pt idx="2">
                    <c:v>CTUe/MJ Fuel</c:v>
                  </c:pt>
                  <c:pt idx="3">
                    <c:v>CTUh/MJ Fuel</c:v>
                  </c:pt>
                  <c:pt idx="4">
                    <c:v>CTUh/MJ Fuel</c:v>
                  </c:pt>
                  <c:pt idx="5">
                    <c:v>g CO2-eq/MJ Fuel</c:v>
                  </c:pt>
                  <c:pt idx="6">
                    <c:v>kg O3-eq/MJ Fuel</c:v>
                  </c:pt>
                  <c:pt idx="7">
                    <c:v>kg CFC-11/MJ Fuel</c:v>
                  </c:pt>
                  <c:pt idx="8">
                    <c:v>kg N-eq/MJ Fuel</c:v>
                  </c:pt>
                  <c:pt idx="9">
                    <c:v>MJ Surplus/MJ Fuel</c:v>
                  </c:pt>
                </c:lvl>
                <c:lvl>
                  <c:pt idx="0">
                    <c:v>Respiratory Effects</c:v>
                  </c:pt>
                  <c:pt idx="1">
                    <c:v>Acidification</c:v>
                  </c:pt>
                  <c:pt idx="2">
                    <c:v>Ecotoxicity</c:v>
                  </c:pt>
                  <c:pt idx="3">
                    <c:v>Non-Carcinogenics</c:v>
                  </c:pt>
                  <c:pt idx="4">
                    <c:v>Carcinogenics</c:v>
                  </c:pt>
                  <c:pt idx="5">
                    <c:v>Global Warming Potential</c:v>
                  </c:pt>
                  <c:pt idx="6">
                    <c:v>Smog Formation</c:v>
                  </c:pt>
                  <c:pt idx="7">
                    <c:v>Ozone Depletion</c:v>
                  </c:pt>
                  <c:pt idx="8">
                    <c:v>Eutrophication</c:v>
                  </c:pt>
                  <c:pt idx="9">
                    <c:v>Fossil Fuel Depletion</c:v>
                  </c:pt>
                </c:lvl>
              </c:multiLvlStrCache>
            </c:multiLvlStrRef>
          </c:cat>
          <c:val>
            <c:numRef>
              <c:f>'LCA Outputs'!$C$103:$L$103</c:f>
              <c:numCache>
                <c:formatCode>0.00%</c:formatCode>
                <c:ptCount val="10"/>
                <c:pt idx="0">
                  <c:v>0.40592964422205785</c:v>
                </c:pt>
                <c:pt idx="1">
                  <c:v>0.25027500248715112</c:v>
                </c:pt>
                <c:pt idx="2">
                  <c:v>0.20163883768015381</c:v>
                </c:pt>
                <c:pt idx="3">
                  <c:v>0.3338089639247051</c:v>
                </c:pt>
                <c:pt idx="4">
                  <c:v>0.3370994074970135</c:v>
                </c:pt>
                <c:pt idx="5">
                  <c:v>8.1176560531777964E-2</c:v>
                </c:pt>
                <c:pt idx="6">
                  <c:v>0.29485444980574516</c:v>
                </c:pt>
                <c:pt idx="7">
                  <c:v>0.17309596443166456</c:v>
                </c:pt>
                <c:pt idx="8">
                  <c:v>0.4377793821292279</c:v>
                </c:pt>
                <c:pt idx="9">
                  <c:v>0.2113340870748725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B0E-4D12-A7B8-E86340FAE3D4}"/>
            </c:ext>
          </c:extLst>
        </c:ser>
        <c:ser>
          <c:idx val="4"/>
          <c:order val="4"/>
          <c:tx>
            <c:strRef>
              <c:f>'LCA Outputs'!$B$104</c:f>
              <c:strCache>
                <c:ptCount val="1"/>
                <c:pt idx="0">
                  <c:v>Electricity (Dewatering)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'LCA Outputs'!$C$98:$L$99</c:f>
              <c:multiLvlStrCache>
                <c:ptCount val="10"/>
                <c:lvl>
                  <c:pt idx="0">
                    <c:v>kg PM2.5/MJ Fuel</c:v>
                  </c:pt>
                  <c:pt idx="1">
                    <c:v>kg SO2-eq/MJ Fuel</c:v>
                  </c:pt>
                  <c:pt idx="2">
                    <c:v>CTUe/MJ Fuel</c:v>
                  </c:pt>
                  <c:pt idx="3">
                    <c:v>CTUh/MJ Fuel</c:v>
                  </c:pt>
                  <c:pt idx="4">
                    <c:v>CTUh/MJ Fuel</c:v>
                  </c:pt>
                  <c:pt idx="5">
                    <c:v>g CO2-eq/MJ Fuel</c:v>
                  </c:pt>
                  <c:pt idx="6">
                    <c:v>kg O3-eq/MJ Fuel</c:v>
                  </c:pt>
                  <c:pt idx="7">
                    <c:v>kg CFC-11/MJ Fuel</c:v>
                  </c:pt>
                  <c:pt idx="8">
                    <c:v>kg N-eq/MJ Fuel</c:v>
                  </c:pt>
                  <c:pt idx="9">
                    <c:v>MJ Surplus/MJ Fuel</c:v>
                  </c:pt>
                </c:lvl>
                <c:lvl>
                  <c:pt idx="0">
                    <c:v>Respiratory Effects</c:v>
                  </c:pt>
                  <c:pt idx="1">
                    <c:v>Acidification</c:v>
                  </c:pt>
                  <c:pt idx="2">
                    <c:v>Ecotoxicity</c:v>
                  </c:pt>
                  <c:pt idx="3">
                    <c:v>Non-Carcinogenics</c:v>
                  </c:pt>
                  <c:pt idx="4">
                    <c:v>Carcinogenics</c:v>
                  </c:pt>
                  <c:pt idx="5">
                    <c:v>Global Warming Potential</c:v>
                  </c:pt>
                  <c:pt idx="6">
                    <c:v>Smog Formation</c:v>
                  </c:pt>
                  <c:pt idx="7">
                    <c:v>Ozone Depletion</c:v>
                  </c:pt>
                  <c:pt idx="8">
                    <c:v>Eutrophication</c:v>
                  </c:pt>
                  <c:pt idx="9">
                    <c:v>Fossil Fuel Depletion</c:v>
                  </c:pt>
                </c:lvl>
              </c:multiLvlStrCache>
            </c:multiLvlStrRef>
          </c:cat>
          <c:val>
            <c:numRef>
              <c:f>'LCA Outputs'!$C$104:$L$104</c:f>
              <c:numCache>
                <c:formatCode>0.00%</c:formatCode>
                <c:ptCount val="10"/>
                <c:pt idx="0">
                  <c:v>0.13094266614053174</c:v>
                </c:pt>
                <c:pt idx="1">
                  <c:v>8.0732404150480108E-2</c:v>
                </c:pt>
                <c:pt idx="2">
                  <c:v>6.5043603932689889E-2</c:v>
                </c:pt>
                <c:pt idx="3">
                  <c:v>0.10767835347841372</c:v>
                </c:pt>
                <c:pt idx="4">
                  <c:v>0.10873976759358324</c:v>
                </c:pt>
                <c:pt idx="5">
                  <c:v>2.6185511246708974E-2</c:v>
                </c:pt>
                <c:pt idx="6">
                  <c:v>9.5112609612328189E-2</c:v>
                </c:pt>
                <c:pt idx="7">
                  <c:v>5.5836392841637106E-2</c:v>
                </c:pt>
                <c:pt idx="8">
                  <c:v>0.1412165883750966</c:v>
                </c:pt>
                <c:pt idx="9">
                  <c:v>6.8171046884226011E-2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B0E-4D12-A7B8-E86340FAE3D4}"/>
            </c:ext>
          </c:extLst>
        </c:ser>
        <c:ser>
          <c:idx val="5"/>
          <c:order val="5"/>
          <c:tx>
            <c:strRef>
              <c:f>'LCA Outputs'!$B$105</c:f>
              <c:strCache>
                <c:ptCount val="1"/>
                <c:pt idx="0">
                  <c:v>Electricity (Storage)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'LCA Outputs'!$C$98:$L$99</c:f>
              <c:multiLvlStrCache>
                <c:ptCount val="10"/>
                <c:lvl>
                  <c:pt idx="0">
                    <c:v>kg PM2.5/MJ Fuel</c:v>
                  </c:pt>
                  <c:pt idx="1">
                    <c:v>kg SO2-eq/MJ Fuel</c:v>
                  </c:pt>
                  <c:pt idx="2">
                    <c:v>CTUe/MJ Fuel</c:v>
                  </c:pt>
                  <c:pt idx="3">
                    <c:v>CTUh/MJ Fuel</c:v>
                  </c:pt>
                  <c:pt idx="4">
                    <c:v>CTUh/MJ Fuel</c:v>
                  </c:pt>
                  <c:pt idx="5">
                    <c:v>g CO2-eq/MJ Fuel</c:v>
                  </c:pt>
                  <c:pt idx="6">
                    <c:v>kg O3-eq/MJ Fuel</c:v>
                  </c:pt>
                  <c:pt idx="7">
                    <c:v>kg CFC-11/MJ Fuel</c:v>
                  </c:pt>
                  <c:pt idx="8">
                    <c:v>kg N-eq/MJ Fuel</c:v>
                  </c:pt>
                  <c:pt idx="9">
                    <c:v>MJ Surplus/MJ Fuel</c:v>
                  </c:pt>
                </c:lvl>
                <c:lvl>
                  <c:pt idx="0">
                    <c:v>Respiratory Effects</c:v>
                  </c:pt>
                  <c:pt idx="1">
                    <c:v>Acidification</c:v>
                  </c:pt>
                  <c:pt idx="2">
                    <c:v>Ecotoxicity</c:v>
                  </c:pt>
                  <c:pt idx="3">
                    <c:v>Non-Carcinogenics</c:v>
                  </c:pt>
                  <c:pt idx="4">
                    <c:v>Carcinogenics</c:v>
                  </c:pt>
                  <c:pt idx="5">
                    <c:v>Global Warming Potential</c:v>
                  </c:pt>
                  <c:pt idx="6">
                    <c:v>Smog Formation</c:v>
                  </c:pt>
                  <c:pt idx="7">
                    <c:v>Ozone Depletion</c:v>
                  </c:pt>
                  <c:pt idx="8">
                    <c:v>Eutrophication</c:v>
                  </c:pt>
                  <c:pt idx="9">
                    <c:v>Fossil Fuel Depletion</c:v>
                  </c:pt>
                </c:lvl>
              </c:multiLvlStrCache>
            </c:multiLvlStrRef>
          </c:cat>
          <c:val>
            <c:numRef>
              <c:f>'LCA Outputs'!$C$105:$L$105</c:f>
              <c:numCache>
                <c:formatCode>0.00%</c:formatCode>
                <c:ptCount val="10"/>
                <c:pt idx="0">
                  <c:v>3.6393926166193124E-4</c:v>
                </c:pt>
                <c:pt idx="1">
                  <c:v>2.2438592725143559E-4</c:v>
                </c:pt>
                <c:pt idx="2">
                  <c:v>1.807808095620171E-4</c:v>
                </c:pt>
                <c:pt idx="3">
                  <c:v>2.9927892578457318E-4</c:v>
                </c:pt>
                <c:pt idx="4">
                  <c:v>3.0222899760438607E-4</c:v>
                </c:pt>
                <c:pt idx="5">
                  <c:v>7.277945310155545E-5</c:v>
                </c:pt>
                <c:pt idx="6">
                  <c:v>2.643539645045879E-4</c:v>
                </c:pt>
                <c:pt idx="7">
                  <c:v>1.5519048285485317E-4</c:v>
                </c:pt>
                <c:pt idx="8">
                  <c:v>3.9249438263683754E-4</c:v>
                </c:pt>
                <c:pt idx="9">
                  <c:v>1.8947315799373692E-4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B0E-4D12-A7B8-E86340FAE3D4}"/>
            </c:ext>
          </c:extLst>
        </c:ser>
        <c:ser>
          <c:idx val="6"/>
          <c:order val="6"/>
          <c:tx>
            <c:strRef>
              <c:f>'LCA Outputs'!$B$106</c:f>
              <c:strCache>
                <c:ptCount val="1"/>
                <c:pt idx="0">
                  <c:v>Natural Gas Transport (HTL &amp; UG)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'LCA Outputs'!$C$98:$L$99</c:f>
              <c:multiLvlStrCache>
                <c:ptCount val="10"/>
                <c:lvl>
                  <c:pt idx="0">
                    <c:v>kg PM2.5/MJ Fuel</c:v>
                  </c:pt>
                  <c:pt idx="1">
                    <c:v>kg SO2-eq/MJ Fuel</c:v>
                  </c:pt>
                  <c:pt idx="2">
                    <c:v>CTUe/MJ Fuel</c:v>
                  </c:pt>
                  <c:pt idx="3">
                    <c:v>CTUh/MJ Fuel</c:v>
                  </c:pt>
                  <c:pt idx="4">
                    <c:v>CTUh/MJ Fuel</c:v>
                  </c:pt>
                  <c:pt idx="5">
                    <c:v>g CO2-eq/MJ Fuel</c:v>
                  </c:pt>
                  <c:pt idx="6">
                    <c:v>kg O3-eq/MJ Fuel</c:v>
                  </c:pt>
                  <c:pt idx="7">
                    <c:v>kg CFC-11/MJ Fuel</c:v>
                  </c:pt>
                  <c:pt idx="8">
                    <c:v>kg N-eq/MJ Fuel</c:v>
                  </c:pt>
                  <c:pt idx="9">
                    <c:v>MJ Surplus/MJ Fuel</c:v>
                  </c:pt>
                </c:lvl>
                <c:lvl>
                  <c:pt idx="0">
                    <c:v>Respiratory Effects</c:v>
                  </c:pt>
                  <c:pt idx="1">
                    <c:v>Acidification</c:v>
                  </c:pt>
                  <c:pt idx="2">
                    <c:v>Ecotoxicity</c:v>
                  </c:pt>
                  <c:pt idx="3">
                    <c:v>Non-Carcinogenics</c:v>
                  </c:pt>
                  <c:pt idx="4">
                    <c:v>Carcinogenics</c:v>
                  </c:pt>
                  <c:pt idx="5">
                    <c:v>Global Warming Potential</c:v>
                  </c:pt>
                  <c:pt idx="6">
                    <c:v>Smog Formation</c:v>
                  </c:pt>
                  <c:pt idx="7">
                    <c:v>Ozone Depletion</c:v>
                  </c:pt>
                  <c:pt idx="8">
                    <c:v>Eutrophication</c:v>
                  </c:pt>
                  <c:pt idx="9">
                    <c:v>Fossil Fuel Depletion</c:v>
                  </c:pt>
                </c:lvl>
              </c:multiLvlStrCache>
            </c:multiLvlStrRef>
          </c:cat>
          <c:val>
            <c:numRef>
              <c:f>'LCA Outputs'!$C$106:$L$106</c:f>
              <c:numCache>
                <c:formatCode>0.00%</c:formatCode>
                <c:ptCount val="10"/>
                <c:pt idx="0">
                  <c:v>1.6291263547389436E-3</c:v>
                </c:pt>
                <c:pt idx="1">
                  <c:v>2.762442045845229E-3</c:v>
                </c:pt>
                <c:pt idx="2">
                  <c:v>2.6492782415634729E-3</c:v>
                </c:pt>
                <c:pt idx="3">
                  <c:v>1.9950935129872073E-3</c:v>
                </c:pt>
                <c:pt idx="4">
                  <c:v>8.0249324178041943E-3</c:v>
                </c:pt>
                <c:pt idx="5">
                  <c:v>1.2606777588929836E-3</c:v>
                </c:pt>
                <c:pt idx="6">
                  <c:v>6.1931748504342882E-3</c:v>
                </c:pt>
                <c:pt idx="7">
                  <c:v>4.3573336949122047E-3</c:v>
                </c:pt>
                <c:pt idx="8">
                  <c:v>1.3408555146180408E-3</c:v>
                </c:pt>
                <c:pt idx="9">
                  <c:v>2.9520471261577717E-2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B0E-4D12-A7B8-E86340FAE3D4}"/>
            </c:ext>
          </c:extLst>
        </c:ser>
        <c:ser>
          <c:idx val="7"/>
          <c:order val="7"/>
          <c:tx>
            <c:strRef>
              <c:f>'LCA Outputs'!$B$107</c:f>
              <c:strCache>
                <c:ptCount val="1"/>
                <c:pt idx="0">
                  <c:v>Hydrogen (HTL &amp; UG)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'LCA Outputs'!$C$98:$L$99</c:f>
              <c:multiLvlStrCache>
                <c:ptCount val="10"/>
                <c:lvl>
                  <c:pt idx="0">
                    <c:v>kg PM2.5/MJ Fuel</c:v>
                  </c:pt>
                  <c:pt idx="1">
                    <c:v>kg SO2-eq/MJ Fuel</c:v>
                  </c:pt>
                  <c:pt idx="2">
                    <c:v>CTUe/MJ Fuel</c:v>
                  </c:pt>
                  <c:pt idx="3">
                    <c:v>CTUh/MJ Fuel</c:v>
                  </c:pt>
                  <c:pt idx="4">
                    <c:v>CTUh/MJ Fuel</c:v>
                  </c:pt>
                  <c:pt idx="5">
                    <c:v>g CO2-eq/MJ Fuel</c:v>
                  </c:pt>
                  <c:pt idx="6">
                    <c:v>kg O3-eq/MJ Fuel</c:v>
                  </c:pt>
                  <c:pt idx="7">
                    <c:v>kg CFC-11/MJ Fuel</c:v>
                  </c:pt>
                  <c:pt idx="8">
                    <c:v>kg N-eq/MJ Fuel</c:v>
                  </c:pt>
                  <c:pt idx="9">
                    <c:v>MJ Surplus/MJ Fuel</c:v>
                  </c:pt>
                </c:lvl>
                <c:lvl>
                  <c:pt idx="0">
                    <c:v>Respiratory Effects</c:v>
                  </c:pt>
                  <c:pt idx="1">
                    <c:v>Acidification</c:v>
                  </c:pt>
                  <c:pt idx="2">
                    <c:v>Ecotoxicity</c:v>
                  </c:pt>
                  <c:pt idx="3">
                    <c:v>Non-Carcinogenics</c:v>
                  </c:pt>
                  <c:pt idx="4">
                    <c:v>Carcinogenics</c:v>
                  </c:pt>
                  <c:pt idx="5">
                    <c:v>Global Warming Potential</c:v>
                  </c:pt>
                  <c:pt idx="6">
                    <c:v>Smog Formation</c:v>
                  </c:pt>
                  <c:pt idx="7">
                    <c:v>Ozone Depletion</c:v>
                  </c:pt>
                  <c:pt idx="8">
                    <c:v>Eutrophication</c:v>
                  </c:pt>
                  <c:pt idx="9">
                    <c:v>Fossil Fuel Depletion</c:v>
                  </c:pt>
                </c:lvl>
              </c:multiLvlStrCache>
            </c:multiLvlStrRef>
          </c:cat>
          <c:val>
            <c:numRef>
              <c:f>'LCA Outputs'!$C$107:$L$107</c:f>
              <c:numCache>
                <c:formatCode>0.00%</c:formatCode>
                <c:ptCount val="10"/>
                <c:pt idx="0">
                  <c:v>4.7689681221453228E-2</c:v>
                </c:pt>
                <c:pt idx="1">
                  <c:v>8.2160221875268211E-2</c:v>
                </c:pt>
                <c:pt idx="2">
                  <c:v>0.14400987016748878</c:v>
                </c:pt>
                <c:pt idx="3">
                  <c:v>7.9837237911716069E-2</c:v>
                </c:pt>
                <c:pt idx="4">
                  <c:v>0.19819607032167716</c:v>
                </c:pt>
                <c:pt idx="5">
                  <c:v>9.7250680606669776E-2</c:v>
                </c:pt>
                <c:pt idx="6">
                  <c:v>0.14011260733891975</c:v>
                </c:pt>
                <c:pt idx="7">
                  <c:v>0.47396632394956567</c:v>
                </c:pt>
                <c:pt idx="8">
                  <c:v>3.4228492844892065E-2</c:v>
                </c:pt>
                <c:pt idx="9">
                  <c:v>0.46014760825931356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B0E-4D12-A7B8-E86340FAE3D4}"/>
            </c:ext>
          </c:extLst>
        </c:ser>
        <c:ser>
          <c:idx val="8"/>
          <c:order val="8"/>
          <c:tx>
            <c:strRef>
              <c:f>'LCA Outputs'!$B$108</c:f>
              <c:strCache>
                <c:ptCount val="1"/>
                <c:pt idx="0">
                  <c:v>Process Water (HTL &amp; UG)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'LCA Outputs'!$C$98:$L$99</c:f>
              <c:multiLvlStrCache>
                <c:ptCount val="10"/>
                <c:lvl>
                  <c:pt idx="0">
                    <c:v>kg PM2.5/MJ Fuel</c:v>
                  </c:pt>
                  <c:pt idx="1">
                    <c:v>kg SO2-eq/MJ Fuel</c:v>
                  </c:pt>
                  <c:pt idx="2">
                    <c:v>CTUe/MJ Fuel</c:v>
                  </c:pt>
                  <c:pt idx="3">
                    <c:v>CTUh/MJ Fuel</c:v>
                  </c:pt>
                  <c:pt idx="4">
                    <c:v>CTUh/MJ Fuel</c:v>
                  </c:pt>
                  <c:pt idx="5">
                    <c:v>g CO2-eq/MJ Fuel</c:v>
                  </c:pt>
                  <c:pt idx="6">
                    <c:v>kg O3-eq/MJ Fuel</c:v>
                  </c:pt>
                  <c:pt idx="7">
                    <c:v>kg CFC-11/MJ Fuel</c:v>
                  </c:pt>
                  <c:pt idx="8">
                    <c:v>kg N-eq/MJ Fuel</c:v>
                  </c:pt>
                  <c:pt idx="9">
                    <c:v>MJ Surplus/MJ Fuel</c:v>
                  </c:pt>
                </c:lvl>
                <c:lvl>
                  <c:pt idx="0">
                    <c:v>Respiratory Effects</c:v>
                  </c:pt>
                  <c:pt idx="1">
                    <c:v>Acidification</c:v>
                  </c:pt>
                  <c:pt idx="2">
                    <c:v>Ecotoxicity</c:v>
                  </c:pt>
                  <c:pt idx="3">
                    <c:v>Non-Carcinogenics</c:v>
                  </c:pt>
                  <c:pt idx="4">
                    <c:v>Carcinogenics</c:v>
                  </c:pt>
                  <c:pt idx="5">
                    <c:v>Global Warming Potential</c:v>
                  </c:pt>
                  <c:pt idx="6">
                    <c:v>Smog Formation</c:v>
                  </c:pt>
                  <c:pt idx="7">
                    <c:v>Ozone Depletion</c:v>
                  </c:pt>
                  <c:pt idx="8">
                    <c:v>Eutrophication</c:v>
                  </c:pt>
                  <c:pt idx="9">
                    <c:v>Fossil Fuel Depletion</c:v>
                  </c:pt>
                </c:lvl>
              </c:multiLvlStrCache>
            </c:multiLvlStrRef>
          </c:cat>
          <c:val>
            <c:numRef>
              <c:f>'LCA Outputs'!$C$108:$L$108</c:f>
              <c:numCache>
                <c:formatCode>0.00%</c:formatCode>
                <c:ptCount val="10"/>
                <c:pt idx="0">
                  <c:v>0.13106065565537539</c:v>
                </c:pt>
                <c:pt idx="1">
                  <c:v>7.3370945981835023E-2</c:v>
                </c:pt>
                <c:pt idx="2">
                  <c:v>7.8876043313046623E-2</c:v>
                </c:pt>
                <c:pt idx="3">
                  <c:v>8.2406825001220693E-2</c:v>
                </c:pt>
                <c:pt idx="4">
                  <c:v>9.394415646028749E-2</c:v>
                </c:pt>
                <c:pt idx="5">
                  <c:v>1.2449952080971051E-2</c:v>
                </c:pt>
                <c:pt idx="6">
                  <c:v>7.5637370570991846E-2</c:v>
                </c:pt>
                <c:pt idx="7">
                  <c:v>0.16101039088830663</c:v>
                </c:pt>
                <c:pt idx="8">
                  <c:v>0.11854729574630751</c:v>
                </c:pt>
                <c:pt idx="9">
                  <c:v>2.3967096914259342E-2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B0E-4D12-A7B8-E86340FAE3D4}"/>
            </c:ext>
          </c:extLst>
        </c:ser>
        <c:ser>
          <c:idx val="9"/>
          <c:order val="9"/>
          <c:tx>
            <c:strRef>
              <c:f>'LCA Outputs'!$B$109</c:f>
              <c:strCache>
                <c:ptCount val="1"/>
                <c:pt idx="0">
                  <c:v>Electricity (HTL &amp; UG)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'LCA Outputs'!$C$98:$L$99</c:f>
              <c:multiLvlStrCache>
                <c:ptCount val="10"/>
                <c:lvl>
                  <c:pt idx="0">
                    <c:v>kg PM2.5/MJ Fuel</c:v>
                  </c:pt>
                  <c:pt idx="1">
                    <c:v>kg SO2-eq/MJ Fuel</c:v>
                  </c:pt>
                  <c:pt idx="2">
                    <c:v>CTUe/MJ Fuel</c:v>
                  </c:pt>
                  <c:pt idx="3">
                    <c:v>CTUh/MJ Fuel</c:v>
                  </c:pt>
                  <c:pt idx="4">
                    <c:v>CTUh/MJ Fuel</c:v>
                  </c:pt>
                  <c:pt idx="5">
                    <c:v>g CO2-eq/MJ Fuel</c:v>
                  </c:pt>
                  <c:pt idx="6">
                    <c:v>kg O3-eq/MJ Fuel</c:v>
                  </c:pt>
                  <c:pt idx="7">
                    <c:v>kg CFC-11/MJ Fuel</c:v>
                  </c:pt>
                  <c:pt idx="8">
                    <c:v>kg N-eq/MJ Fuel</c:v>
                  </c:pt>
                  <c:pt idx="9">
                    <c:v>MJ Surplus/MJ Fuel</c:v>
                  </c:pt>
                </c:lvl>
                <c:lvl>
                  <c:pt idx="0">
                    <c:v>Respiratory Effects</c:v>
                  </c:pt>
                  <c:pt idx="1">
                    <c:v>Acidification</c:v>
                  </c:pt>
                  <c:pt idx="2">
                    <c:v>Ecotoxicity</c:v>
                  </c:pt>
                  <c:pt idx="3">
                    <c:v>Non-Carcinogenics</c:v>
                  </c:pt>
                  <c:pt idx="4">
                    <c:v>Carcinogenics</c:v>
                  </c:pt>
                  <c:pt idx="5">
                    <c:v>Global Warming Potential</c:v>
                  </c:pt>
                  <c:pt idx="6">
                    <c:v>Smog Formation</c:v>
                  </c:pt>
                  <c:pt idx="7">
                    <c:v>Ozone Depletion</c:v>
                  </c:pt>
                  <c:pt idx="8">
                    <c:v>Eutrophication</c:v>
                  </c:pt>
                  <c:pt idx="9">
                    <c:v>Fossil Fuel Depletion</c:v>
                  </c:pt>
                </c:lvl>
              </c:multiLvlStrCache>
            </c:multiLvlStrRef>
          </c:cat>
          <c:val>
            <c:numRef>
              <c:f>'LCA Outputs'!$C$109:$L$109</c:f>
              <c:numCache>
                <c:formatCode>0.00%</c:formatCode>
                <c:ptCount val="10"/>
                <c:pt idx="0">
                  <c:v>0.10366873903286487</c:v>
                </c:pt>
                <c:pt idx="1">
                  <c:v>6.3916726182965997E-2</c:v>
                </c:pt>
                <c:pt idx="2">
                  <c:v>5.1495731686250136E-2</c:v>
                </c:pt>
                <c:pt idx="3">
                  <c:v>8.5250128588812299E-2</c:v>
                </c:pt>
                <c:pt idx="4">
                  <c:v>8.6090461737315743E-2</c:v>
                </c:pt>
                <c:pt idx="5">
                  <c:v>2.0731355270892437E-2</c:v>
                </c:pt>
                <c:pt idx="6">
                  <c:v>7.5301691917995087E-2</c:v>
                </c:pt>
                <c:pt idx="7">
                  <c:v>4.4206282097722191E-2</c:v>
                </c:pt>
                <c:pt idx="8">
                  <c:v>0.111802715485093</c:v>
                </c:pt>
                <c:pt idx="9">
                  <c:v>5.3971762431148887E-2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B0E-4D12-A7B8-E86340FAE3D4}"/>
            </c:ext>
          </c:extLst>
        </c:ser>
        <c:ser>
          <c:idx val="10"/>
          <c:order val="10"/>
          <c:tx>
            <c:strRef>
              <c:f>'LCA Outputs'!$B$110</c:f>
              <c:strCache>
                <c:ptCount val="1"/>
                <c:pt idx="0">
                  <c:v>Direct CO2 Emissions (Biorefinery &amp; Fuel End Use)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'LCA Outputs'!$C$98:$L$99</c:f>
              <c:multiLvlStrCache>
                <c:ptCount val="10"/>
                <c:lvl>
                  <c:pt idx="0">
                    <c:v>kg PM2.5/MJ Fuel</c:v>
                  </c:pt>
                  <c:pt idx="1">
                    <c:v>kg SO2-eq/MJ Fuel</c:v>
                  </c:pt>
                  <c:pt idx="2">
                    <c:v>CTUe/MJ Fuel</c:v>
                  </c:pt>
                  <c:pt idx="3">
                    <c:v>CTUh/MJ Fuel</c:v>
                  </c:pt>
                  <c:pt idx="4">
                    <c:v>CTUh/MJ Fuel</c:v>
                  </c:pt>
                  <c:pt idx="5">
                    <c:v>g CO2-eq/MJ Fuel</c:v>
                  </c:pt>
                  <c:pt idx="6">
                    <c:v>kg O3-eq/MJ Fuel</c:v>
                  </c:pt>
                  <c:pt idx="7">
                    <c:v>kg CFC-11/MJ Fuel</c:v>
                  </c:pt>
                  <c:pt idx="8">
                    <c:v>kg N-eq/MJ Fuel</c:v>
                  </c:pt>
                  <c:pt idx="9">
                    <c:v>MJ Surplus/MJ Fuel</c:v>
                  </c:pt>
                </c:lvl>
                <c:lvl>
                  <c:pt idx="0">
                    <c:v>Respiratory Effects</c:v>
                  </c:pt>
                  <c:pt idx="1">
                    <c:v>Acidification</c:v>
                  </c:pt>
                  <c:pt idx="2">
                    <c:v>Ecotoxicity</c:v>
                  </c:pt>
                  <c:pt idx="3">
                    <c:v>Non-Carcinogenics</c:v>
                  </c:pt>
                  <c:pt idx="4">
                    <c:v>Carcinogenics</c:v>
                  </c:pt>
                  <c:pt idx="5">
                    <c:v>Global Warming Potential</c:v>
                  </c:pt>
                  <c:pt idx="6">
                    <c:v>Smog Formation</c:v>
                  </c:pt>
                  <c:pt idx="7">
                    <c:v>Ozone Depletion</c:v>
                  </c:pt>
                  <c:pt idx="8">
                    <c:v>Eutrophication</c:v>
                  </c:pt>
                  <c:pt idx="9">
                    <c:v>Fossil Fuel Depletion</c:v>
                  </c:pt>
                </c:lvl>
              </c:multiLvlStrCache>
            </c:multiLvlStrRef>
          </c:cat>
          <c:val>
            <c:numRef>
              <c:f>'LCA Outputs'!$C$110:$L$110</c:f>
              <c:numCache>
                <c:formatCode>0.00%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0.7208299811906197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B0E-4D12-A7B8-E86340FAE3D4}"/>
            </c:ext>
          </c:extLst>
        </c:ser>
        <c:ser>
          <c:idx val="11"/>
          <c:order val="11"/>
          <c:tx>
            <c:strRef>
              <c:f>'LCA Outputs'!$B$111</c:f>
              <c:strCache>
                <c:ptCount val="1"/>
                <c:pt idx="0">
                  <c:v>Non-CO2 GHG Emissions (Biorefinery &amp; Fuel End Use)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'LCA Outputs'!$C$98:$L$99</c:f>
              <c:multiLvlStrCache>
                <c:ptCount val="10"/>
                <c:lvl>
                  <c:pt idx="0">
                    <c:v>kg PM2.5/MJ Fuel</c:v>
                  </c:pt>
                  <c:pt idx="1">
                    <c:v>kg SO2-eq/MJ Fuel</c:v>
                  </c:pt>
                  <c:pt idx="2">
                    <c:v>CTUe/MJ Fuel</c:v>
                  </c:pt>
                  <c:pt idx="3">
                    <c:v>CTUh/MJ Fuel</c:v>
                  </c:pt>
                  <c:pt idx="4">
                    <c:v>CTUh/MJ Fuel</c:v>
                  </c:pt>
                  <c:pt idx="5">
                    <c:v>g CO2-eq/MJ Fuel</c:v>
                  </c:pt>
                  <c:pt idx="6">
                    <c:v>kg O3-eq/MJ Fuel</c:v>
                  </c:pt>
                  <c:pt idx="7">
                    <c:v>kg CFC-11/MJ Fuel</c:v>
                  </c:pt>
                  <c:pt idx="8">
                    <c:v>kg N-eq/MJ Fuel</c:v>
                  </c:pt>
                  <c:pt idx="9">
                    <c:v>MJ Surplus/MJ Fuel</c:v>
                  </c:pt>
                </c:lvl>
                <c:lvl>
                  <c:pt idx="0">
                    <c:v>Respiratory Effects</c:v>
                  </c:pt>
                  <c:pt idx="1">
                    <c:v>Acidification</c:v>
                  </c:pt>
                  <c:pt idx="2">
                    <c:v>Ecotoxicity</c:v>
                  </c:pt>
                  <c:pt idx="3">
                    <c:v>Non-Carcinogenics</c:v>
                  </c:pt>
                  <c:pt idx="4">
                    <c:v>Carcinogenics</c:v>
                  </c:pt>
                  <c:pt idx="5">
                    <c:v>Global Warming Potential</c:v>
                  </c:pt>
                  <c:pt idx="6">
                    <c:v>Smog Formation</c:v>
                  </c:pt>
                  <c:pt idx="7">
                    <c:v>Ozone Depletion</c:v>
                  </c:pt>
                  <c:pt idx="8">
                    <c:v>Eutrophication</c:v>
                  </c:pt>
                  <c:pt idx="9">
                    <c:v>Fossil Fuel Depletion</c:v>
                  </c:pt>
                </c:lvl>
              </c:multiLvlStrCache>
            </c:multiLvlStrRef>
          </c:cat>
          <c:val>
            <c:numRef>
              <c:f>'LCA Outputs'!$C$111:$L$111</c:f>
              <c:numCache>
                <c:formatCode>0.00%</c:formatCode>
                <c:ptCount val="10"/>
                <c:pt idx="0">
                  <c:v>8.6187017432123023E-2</c:v>
                </c:pt>
                <c:pt idx="1">
                  <c:v>0.25792340742556502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8.1156274774102561E-4</c:v>
                </c:pt>
                <c:pt idx="6">
                  <c:v>0.13212856938202183</c:v>
                </c:pt>
                <c:pt idx="7">
                  <c:v>0</c:v>
                </c:pt>
                <c:pt idx="8">
                  <c:v>1.7512498870505634E-2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B0E-4D12-A7B8-E86340FAE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2"/>
        <c:overlap val="100"/>
        <c:axId val="954137824"/>
        <c:axId val="954136160"/>
      </c:barChart>
      <c:catAx>
        <c:axId val="954137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4136160"/>
        <c:crosses val="autoZero"/>
        <c:auto val="1"/>
        <c:lblAlgn val="ctr"/>
        <c:lblOffset val="100"/>
        <c:noMultiLvlLbl val="0"/>
      </c:catAx>
      <c:valAx>
        <c:axId val="954136160"/>
        <c:scaling>
          <c:orientation val="minMax"/>
          <c:max val="1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>
                    <a:solidFill>
                      <a:sysClr val="windowText" lastClr="000000"/>
                    </a:solidFill>
                  </a:rPr>
                  <a:t>%</a:t>
                </a:r>
                <a:r>
                  <a:rPr lang="en-US" sz="1600" baseline="0">
                    <a:solidFill>
                      <a:sysClr val="windowText" lastClr="000000"/>
                    </a:solidFill>
                  </a:rPr>
                  <a:t> of Impact Category by Process</a:t>
                </a:r>
                <a:endParaRPr lang="en-US" sz="160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5.1096136493442119E-3"/>
              <c:y val="0.1079723062580642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out"/>
        <c:minorTickMark val="out"/>
        <c:tickLblPos val="nextTo"/>
        <c:spPr>
          <a:noFill/>
          <a:ln w="635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4137824"/>
        <c:crosses val="autoZero"/>
        <c:crossBetween val="between"/>
        <c:majorUnit val="0.1"/>
        <c:minorUnit val="5.000000000000001E-2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531873982970296"/>
          <c:y val="0.18938883140412538"/>
          <c:w val="0.25842443013268163"/>
          <c:h val="0.4507528091229587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accent2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System Global Warming Potential (kg CO2-eq/kg AFDW)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081668235654073"/>
          <c:y val="8.5313135828209874E-2"/>
          <c:w val="0.43721344967014258"/>
          <c:h val="0.8893850444330382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'LCA Outputs'!$A$81</c:f>
              <c:strCache>
                <c:ptCount val="1"/>
                <c:pt idx="0">
                  <c:v>CO2 Uptake (from Biomass Growth)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'LCA Outputs'!$H$81</c:f>
              <c:numCache>
                <c:formatCode>0.00E+00</c:formatCode>
                <c:ptCount val="1"/>
                <c:pt idx="0">
                  <c:v>-1.449242304299911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84-4556-A58D-D47627F677FD}"/>
            </c:ext>
          </c:extLst>
        </c:ser>
        <c:ser>
          <c:idx val="1"/>
          <c:order val="1"/>
          <c:tx>
            <c:strRef>
              <c:f>'LCA Outputs'!$A$82</c:f>
              <c:strCache>
                <c:ptCount val="1"/>
                <c:pt idx="0">
                  <c:v>Ammonia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val>
            <c:numRef>
              <c:f>'LCA Outputs'!$H$82</c:f>
              <c:numCache>
                <c:formatCode>0.00E+00</c:formatCode>
                <c:ptCount val="1"/>
                <c:pt idx="0">
                  <c:v>6.937461621645831E-2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84-4556-A58D-D47627F677FD}"/>
            </c:ext>
          </c:extLst>
        </c:ser>
        <c:ser>
          <c:idx val="2"/>
          <c:order val="2"/>
          <c:tx>
            <c:strRef>
              <c:f>'LCA Outputs'!$A$83</c:f>
              <c:strCache>
                <c:ptCount val="1"/>
                <c:pt idx="0">
                  <c:v>Diammonium Phosphate (DAP)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val>
            <c:numRef>
              <c:f>'LCA Outputs'!$H$83</c:f>
              <c:numCache>
                <c:formatCode>0.00E+00</c:formatCode>
                <c:ptCount val="1"/>
                <c:pt idx="0">
                  <c:v>2.2176985645278386E-2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84-4556-A58D-D47627F677FD}"/>
            </c:ext>
          </c:extLst>
        </c:ser>
        <c:ser>
          <c:idx val="3"/>
          <c:order val="3"/>
          <c:tx>
            <c:strRef>
              <c:f>'LCA Outputs'!$A$84</c:f>
              <c:strCache>
                <c:ptCount val="1"/>
                <c:pt idx="0">
                  <c:v>Process Water (Cultivation &amp; Dewatering)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val>
            <c:numRef>
              <c:f>'LCA Outputs'!$H$84</c:f>
              <c:numCache>
                <c:formatCode>0.00E+00</c:formatCode>
                <c:ptCount val="1"/>
                <c:pt idx="0">
                  <c:v>5.2671608795541029E-5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84-4556-A58D-D47627F677FD}"/>
            </c:ext>
          </c:extLst>
        </c:ser>
        <c:ser>
          <c:idx val="4"/>
          <c:order val="4"/>
          <c:tx>
            <c:strRef>
              <c:f>'LCA Outputs'!$A$85</c:f>
              <c:strCache>
                <c:ptCount val="1"/>
                <c:pt idx="0">
                  <c:v>Electricity (Cultivation)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val>
            <c:numRef>
              <c:f>'LCA Outputs'!$H$85</c:f>
              <c:numCache>
                <c:formatCode>0.00E+00</c:formatCode>
                <c:ptCount val="1"/>
                <c:pt idx="0">
                  <c:v>0.18954733224719689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84-4556-A58D-D47627F677FD}"/>
            </c:ext>
          </c:extLst>
        </c:ser>
        <c:ser>
          <c:idx val="5"/>
          <c:order val="5"/>
          <c:tx>
            <c:strRef>
              <c:f>'LCA Outputs'!$A$86</c:f>
              <c:strCache>
                <c:ptCount val="1"/>
                <c:pt idx="0">
                  <c:v>Electricity (Dewatering)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val>
            <c:numRef>
              <c:f>'LCA Outputs'!$H$86</c:f>
              <c:numCache>
                <c:formatCode>0.00E+00</c:formatCode>
                <c:ptCount val="1"/>
                <c:pt idx="0">
                  <c:v>6.1143189214079241E-2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84-4556-A58D-D47627F677FD}"/>
            </c:ext>
          </c:extLst>
        </c:ser>
        <c:ser>
          <c:idx val="6"/>
          <c:order val="6"/>
          <c:tx>
            <c:strRef>
              <c:f>'LCA Outputs'!$A$87</c:f>
              <c:strCache>
                <c:ptCount val="1"/>
                <c:pt idx="0">
                  <c:v>Electricity (Storage)</c:v>
                </c:pt>
              </c:strCache>
            </c:strRef>
          </c:tx>
          <c:spPr>
            <a:solidFill>
              <a:schemeClr val="tx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val>
            <c:numRef>
              <c:f>'LCA Outputs'!$H$87</c:f>
              <c:numCache>
                <c:formatCode>0.00E+00</c:formatCode>
                <c:ptCount val="1"/>
                <c:pt idx="0">
                  <c:v>1.6994007983880353E-4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84-4556-A58D-D47627F677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2"/>
        <c:overlap val="100"/>
        <c:axId val="954137824"/>
        <c:axId val="954136160"/>
      </c:barChart>
      <c:barChart>
        <c:barDir val="col"/>
        <c:grouping val="stacked"/>
        <c:varyColors val="0"/>
        <c:ser>
          <c:idx val="7"/>
          <c:order val="7"/>
          <c:tx>
            <c:strRef>
              <c:f>'LCA Outputs'!$A$88</c:f>
              <c:strCache>
                <c:ptCount val="1"/>
                <c:pt idx="0">
                  <c:v>Net Emissions</c:v>
                </c:pt>
              </c:strCache>
            </c:strRef>
          </c:tx>
          <c:spPr>
            <a:solidFill>
              <a:schemeClr val="bg1"/>
            </a:solidFill>
            <a:ln w="15875">
              <a:solidFill>
                <a:srgbClr val="FF0000"/>
              </a:solidFill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'LCA Outputs'!$H$88</c:f>
              <c:numCache>
                <c:formatCode>0.00E+00</c:formatCode>
                <c:ptCount val="1"/>
                <c:pt idx="0">
                  <c:v>-1.1067775692882638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684-4556-A58D-D47627F677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2"/>
        <c:overlap val="100"/>
        <c:axId val="1497994352"/>
        <c:axId val="1257887248"/>
      </c:barChart>
      <c:catAx>
        <c:axId val="954137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4136160"/>
        <c:crosses val="autoZero"/>
        <c:auto val="1"/>
        <c:lblAlgn val="ctr"/>
        <c:lblOffset val="100"/>
        <c:noMultiLvlLbl val="0"/>
      </c:catAx>
      <c:valAx>
        <c:axId val="954136160"/>
        <c:scaling>
          <c:orientation val="minMax"/>
          <c:max val="1"/>
          <c:min val="-2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C2G Global Warming</a:t>
                </a:r>
                <a:r>
                  <a:rPr lang="en-US" baseline="0"/>
                  <a:t> Potential (kg CO2-eq/kg AFDW)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1.1482602952385172E-2"/>
              <c:y val="8.588333025892970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out"/>
        <c:minorTickMark val="out"/>
        <c:tickLblPos val="nextTo"/>
        <c:spPr>
          <a:noFill/>
          <a:ln w="635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4137824"/>
        <c:crosses val="autoZero"/>
        <c:crossBetween val="between"/>
        <c:majorUnit val="0.5"/>
        <c:minorUnit val="0.25"/>
      </c:valAx>
      <c:valAx>
        <c:axId val="1257887248"/>
        <c:scaling>
          <c:orientation val="minMax"/>
          <c:max val="200"/>
          <c:min val="-200"/>
        </c:scaling>
        <c:delete val="1"/>
        <c:axPos val="r"/>
        <c:numFmt formatCode="0.00E+00" sourceLinked="1"/>
        <c:majorTickMark val="out"/>
        <c:minorTickMark val="none"/>
        <c:tickLblPos val="nextTo"/>
        <c:crossAx val="1497994352"/>
        <c:crosses val="max"/>
        <c:crossBetween val="between"/>
      </c:valAx>
      <c:catAx>
        <c:axId val="1497994352"/>
        <c:scaling>
          <c:orientation val="minMax"/>
        </c:scaling>
        <c:delete val="1"/>
        <c:axPos val="b"/>
        <c:majorTickMark val="out"/>
        <c:minorTickMark val="none"/>
        <c:tickLblPos val="nextTo"/>
        <c:crossAx val="125788724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2060810407612435"/>
          <c:y val="0.10507264357107385"/>
          <c:w val="0.45872321434706675"/>
          <c:h val="0.34348642051153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12700" cap="flat" cmpd="sng" algn="ctr">
      <a:solidFill>
        <a:srgbClr val="ED7D31">
          <a:lumMod val="60000"/>
          <a:lumOff val="40000"/>
        </a:srgb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TRACI</a:t>
            </a:r>
            <a:r>
              <a:rPr lang="en-US" b="1" baseline="0">
                <a:solidFill>
                  <a:sysClr val="windowText" lastClr="000000"/>
                </a:solidFill>
              </a:rPr>
              <a:t> Impacts for System Credits</a:t>
            </a:r>
            <a:endParaRPr lang="en-US" b="1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37919322718144666"/>
          <c:y val="2.219446534499406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292175833094411E-2"/>
          <c:y val="9.1807101998614804E-2"/>
          <c:w val="0.74137614903485194"/>
          <c:h val="0.592928378807728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'LCA Outputs'!$B$118</c:f>
              <c:strCache>
                <c:ptCount val="1"/>
                <c:pt idx="0">
                  <c:v>CO2 Uptake (from biomass growth)</c:v>
                </c:pt>
              </c:strCache>
            </c:strRef>
          </c:tx>
          <c:spPr>
            <a:solidFill>
              <a:srgbClr val="BD92DE"/>
            </a:solidFill>
            <a:ln>
              <a:noFill/>
            </a:ln>
            <a:effectLst/>
          </c:spPr>
          <c:invertIfNegative val="0"/>
          <c:cat>
            <c:multiLvlStrRef>
              <c:f>'LCA Outputs'!$C$98:$L$99</c:f>
              <c:multiLvlStrCache>
                <c:ptCount val="10"/>
                <c:lvl>
                  <c:pt idx="0">
                    <c:v>kg PM2.5/MJ Fuel</c:v>
                  </c:pt>
                  <c:pt idx="1">
                    <c:v>kg SO2-eq/MJ Fuel</c:v>
                  </c:pt>
                  <c:pt idx="2">
                    <c:v>CTUe/MJ Fuel</c:v>
                  </c:pt>
                  <c:pt idx="3">
                    <c:v>CTUh/MJ Fuel</c:v>
                  </c:pt>
                  <c:pt idx="4">
                    <c:v>CTUh/MJ Fuel</c:v>
                  </c:pt>
                  <c:pt idx="5">
                    <c:v>g CO2-eq/MJ Fuel</c:v>
                  </c:pt>
                  <c:pt idx="6">
                    <c:v>kg O3-eq/MJ Fuel</c:v>
                  </c:pt>
                  <c:pt idx="7">
                    <c:v>kg CFC-11/MJ Fuel</c:v>
                  </c:pt>
                  <c:pt idx="8">
                    <c:v>kg N-eq/MJ Fuel</c:v>
                  </c:pt>
                  <c:pt idx="9">
                    <c:v>MJ Surplus/MJ Fuel</c:v>
                  </c:pt>
                </c:lvl>
                <c:lvl>
                  <c:pt idx="0">
                    <c:v>Respiratory Effects</c:v>
                  </c:pt>
                  <c:pt idx="1">
                    <c:v>Acidification</c:v>
                  </c:pt>
                  <c:pt idx="2">
                    <c:v>Ecotoxicity</c:v>
                  </c:pt>
                  <c:pt idx="3">
                    <c:v>Non-Carcinogenics</c:v>
                  </c:pt>
                  <c:pt idx="4">
                    <c:v>Carcinogenics</c:v>
                  </c:pt>
                  <c:pt idx="5">
                    <c:v>Global Warming Potential</c:v>
                  </c:pt>
                  <c:pt idx="6">
                    <c:v>Smog Formation</c:v>
                  </c:pt>
                  <c:pt idx="7">
                    <c:v>Ozone Depletion</c:v>
                  </c:pt>
                  <c:pt idx="8">
                    <c:v>Eutrophication</c:v>
                  </c:pt>
                  <c:pt idx="9">
                    <c:v>Fossil Fuel Depletion</c:v>
                  </c:pt>
                </c:lvl>
              </c:multiLvlStrCache>
            </c:multiLvlStrRef>
          </c:cat>
          <c:val>
            <c:numRef>
              <c:f>'LCA Outputs'!$C$118:$L$118</c:f>
              <c:numCache>
                <c:formatCode>0.00%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0.77394737793902957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14-4909-99C8-CA1A247A556B}"/>
            </c:ext>
          </c:extLst>
        </c:ser>
        <c:ser>
          <c:idx val="1"/>
          <c:order val="1"/>
          <c:tx>
            <c:strRef>
              <c:f>'LCA Outputs'!$B$119</c:f>
              <c:strCache>
                <c:ptCount val="1"/>
                <c:pt idx="0">
                  <c:v>Ammonia Recovery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'LCA Outputs'!$C$98:$L$99</c:f>
              <c:multiLvlStrCache>
                <c:ptCount val="10"/>
                <c:lvl>
                  <c:pt idx="0">
                    <c:v>kg PM2.5/MJ Fuel</c:v>
                  </c:pt>
                  <c:pt idx="1">
                    <c:v>kg SO2-eq/MJ Fuel</c:v>
                  </c:pt>
                  <c:pt idx="2">
                    <c:v>CTUe/MJ Fuel</c:v>
                  </c:pt>
                  <c:pt idx="3">
                    <c:v>CTUh/MJ Fuel</c:v>
                  </c:pt>
                  <c:pt idx="4">
                    <c:v>CTUh/MJ Fuel</c:v>
                  </c:pt>
                  <c:pt idx="5">
                    <c:v>g CO2-eq/MJ Fuel</c:v>
                  </c:pt>
                  <c:pt idx="6">
                    <c:v>kg O3-eq/MJ Fuel</c:v>
                  </c:pt>
                  <c:pt idx="7">
                    <c:v>kg CFC-11/MJ Fuel</c:v>
                  </c:pt>
                  <c:pt idx="8">
                    <c:v>kg N-eq/MJ Fuel</c:v>
                  </c:pt>
                  <c:pt idx="9">
                    <c:v>MJ Surplus/MJ Fuel</c:v>
                  </c:pt>
                </c:lvl>
                <c:lvl>
                  <c:pt idx="0">
                    <c:v>Respiratory Effects</c:v>
                  </c:pt>
                  <c:pt idx="1">
                    <c:v>Acidification</c:v>
                  </c:pt>
                  <c:pt idx="2">
                    <c:v>Ecotoxicity</c:v>
                  </c:pt>
                  <c:pt idx="3">
                    <c:v>Non-Carcinogenics</c:v>
                  </c:pt>
                  <c:pt idx="4">
                    <c:v>Carcinogenics</c:v>
                  </c:pt>
                  <c:pt idx="5">
                    <c:v>Global Warming Potential</c:v>
                  </c:pt>
                  <c:pt idx="6">
                    <c:v>Smog Formation</c:v>
                  </c:pt>
                  <c:pt idx="7">
                    <c:v>Ozone Depletion</c:v>
                  </c:pt>
                  <c:pt idx="8">
                    <c:v>Eutrophication</c:v>
                  </c:pt>
                  <c:pt idx="9">
                    <c:v>Fossil Fuel Depletion</c:v>
                  </c:pt>
                </c:lvl>
              </c:multiLvlStrCache>
            </c:multiLvlStrRef>
          </c:cat>
          <c:val>
            <c:numRef>
              <c:f>'LCA Outputs'!$C$119:$L$119</c:f>
              <c:numCache>
                <c:formatCode>0.00%</c:formatCode>
                <c:ptCount val="10"/>
                <c:pt idx="0">
                  <c:v>0.20530083873202665</c:v>
                </c:pt>
                <c:pt idx="1">
                  <c:v>0.23129914754406133</c:v>
                </c:pt>
                <c:pt idx="2">
                  <c:v>0.19588456442697669</c:v>
                </c:pt>
                <c:pt idx="3">
                  <c:v>0.16075114271008498</c:v>
                </c:pt>
                <c:pt idx="4">
                  <c:v>0.45947691859757561</c:v>
                </c:pt>
                <c:pt idx="5">
                  <c:v>3.3343680308661347E-2</c:v>
                </c:pt>
                <c:pt idx="6">
                  <c:v>0.50365599506232794</c:v>
                </c:pt>
                <c:pt idx="7">
                  <c:v>0.68122050633697517</c:v>
                </c:pt>
                <c:pt idx="8">
                  <c:v>0.14564251352349536</c:v>
                </c:pt>
                <c:pt idx="9">
                  <c:v>0.80822563720418161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514-4909-99C8-CA1A247A556B}"/>
            </c:ext>
          </c:extLst>
        </c:ser>
        <c:ser>
          <c:idx val="2"/>
          <c:order val="2"/>
          <c:tx>
            <c:strRef>
              <c:f>'LCA Outputs'!$B$120</c:f>
              <c:strCache>
                <c:ptCount val="1"/>
                <c:pt idx="0">
                  <c:v>DAP Recovery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'LCA Outputs'!$C$98:$L$99</c:f>
              <c:multiLvlStrCache>
                <c:ptCount val="10"/>
                <c:lvl>
                  <c:pt idx="0">
                    <c:v>kg PM2.5/MJ Fuel</c:v>
                  </c:pt>
                  <c:pt idx="1">
                    <c:v>kg SO2-eq/MJ Fuel</c:v>
                  </c:pt>
                  <c:pt idx="2">
                    <c:v>CTUe/MJ Fuel</c:v>
                  </c:pt>
                  <c:pt idx="3">
                    <c:v>CTUh/MJ Fuel</c:v>
                  </c:pt>
                  <c:pt idx="4">
                    <c:v>CTUh/MJ Fuel</c:v>
                  </c:pt>
                  <c:pt idx="5">
                    <c:v>g CO2-eq/MJ Fuel</c:v>
                  </c:pt>
                  <c:pt idx="6">
                    <c:v>kg O3-eq/MJ Fuel</c:v>
                  </c:pt>
                  <c:pt idx="7">
                    <c:v>kg CFC-11/MJ Fuel</c:v>
                  </c:pt>
                  <c:pt idx="8">
                    <c:v>kg N-eq/MJ Fuel</c:v>
                  </c:pt>
                  <c:pt idx="9">
                    <c:v>MJ Surplus/MJ Fuel</c:v>
                  </c:pt>
                </c:lvl>
                <c:lvl>
                  <c:pt idx="0">
                    <c:v>Respiratory Effects</c:v>
                  </c:pt>
                  <c:pt idx="1">
                    <c:v>Acidification</c:v>
                  </c:pt>
                  <c:pt idx="2">
                    <c:v>Ecotoxicity</c:v>
                  </c:pt>
                  <c:pt idx="3">
                    <c:v>Non-Carcinogenics</c:v>
                  </c:pt>
                  <c:pt idx="4">
                    <c:v>Carcinogenics</c:v>
                  </c:pt>
                  <c:pt idx="5">
                    <c:v>Global Warming Potential</c:v>
                  </c:pt>
                  <c:pt idx="6">
                    <c:v>Smog Formation</c:v>
                  </c:pt>
                  <c:pt idx="7">
                    <c:v>Ozone Depletion</c:v>
                  </c:pt>
                  <c:pt idx="8">
                    <c:v>Eutrophication</c:v>
                  </c:pt>
                  <c:pt idx="9">
                    <c:v>Fossil Fuel Depletion</c:v>
                  </c:pt>
                </c:lvl>
              </c:multiLvlStrCache>
            </c:multiLvlStrRef>
          </c:cat>
          <c:val>
            <c:numRef>
              <c:f>'LCA Outputs'!$C$120:$L$120</c:f>
              <c:numCache>
                <c:formatCode>0.00%</c:formatCode>
                <c:ptCount val="10"/>
                <c:pt idx="0">
                  <c:v>0.79469916126797335</c:v>
                </c:pt>
                <c:pt idx="1">
                  <c:v>0.76870085245593855</c:v>
                </c:pt>
                <c:pt idx="2">
                  <c:v>0.80411543557302334</c:v>
                </c:pt>
                <c:pt idx="3">
                  <c:v>0.83924885728991505</c:v>
                </c:pt>
                <c:pt idx="4">
                  <c:v>0.54052308140242433</c:v>
                </c:pt>
                <c:pt idx="5">
                  <c:v>1.0658975283789313E-2</c:v>
                </c:pt>
                <c:pt idx="6">
                  <c:v>0.49634400493767206</c:v>
                </c:pt>
                <c:pt idx="7">
                  <c:v>0.31877949366302488</c:v>
                </c:pt>
                <c:pt idx="8">
                  <c:v>0.85435748647650456</c:v>
                </c:pt>
                <c:pt idx="9">
                  <c:v>0.19177436279581833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514-4909-99C8-CA1A247A55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2"/>
        <c:overlap val="100"/>
        <c:axId val="954137824"/>
        <c:axId val="954136160"/>
      </c:barChart>
      <c:catAx>
        <c:axId val="954137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4136160"/>
        <c:crosses val="autoZero"/>
        <c:auto val="1"/>
        <c:lblAlgn val="ctr"/>
        <c:lblOffset val="100"/>
        <c:noMultiLvlLbl val="0"/>
      </c:catAx>
      <c:valAx>
        <c:axId val="954136160"/>
        <c:scaling>
          <c:orientation val="minMax"/>
          <c:max val="1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>
                    <a:solidFill>
                      <a:sysClr val="windowText" lastClr="000000"/>
                    </a:solidFill>
                  </a:rPr>
                  <a:t>%</a:t>
                </a:r>
                <a:r>
                  <a:rPr lang="en-US" sz="1600" baseline="0">
                    <a:solidFill>
                      <a:sysClr val="windowText" lastClr="000000"/>
                    </a:solidFill>
                  </a:rPr>
                  <a:t> of Impact Category by Process</a:t>
                </a:r>
                <a:endParaRPr lang="en-US" sz="160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5.1096136493442119E-3"/>
              <c:y val="0.1079723062580642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out"/>
        <c:minorTickMark val="out"/>
        <c:tickLblPos val="nextTo"/>
        <c:spPr>
          <a:noFill/>
          <a:ln w="635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4137824"/>
        <c:crosses val="autoZero"/>
        <c:crossBetween val="between"/>
        <c:majorUnit val="0.1"/>
        <c:minorUnit val="5.000000000000001E-2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914475865343758"/>
          <c:y val="0.23537190239497693"/>
          <c:w val="0.20940047134321146"/>
          <c:h val="0.119651087527238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accent2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Annual Cultivation Energy</a:t>
            </a:r>
          </a:p>
        </c:rich>
      </c:tx>
      <c:layout>
        <c:manualLayout>
          <c:xMode val="edge"/>
          <c:yMode val="edge"/>
          <c:x val="0.31108900861076577"/>
          <c:y val="2.815484722590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4871091771423304"/>
          <c:y val="0.1491804690869912"/>
          <c:w val="0.41129737072339639"/>
          <c:h val="0.7575132904180409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'Process Model Outputs'!$B$13</c:f>
              <c:strCache>
                <c:ptCount val="1"/>
                <c:pt idx="0">
                  <c:v>Pumping Energy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Cultivation Energy</c:v>
              </c:pt>
            </c:strLit>
          </c:cat>
          <c:val>
            <c:numRef>
              <c:f>'Process Model Outputs'!$C$13</c:f>
              <c:numCache>
                <c:formatCode>0</c:formatCode>
                <c:ptCount val="1"/>
                <c:pt idx="0">
                  <c:v>16645553.797225002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43-47E0-8E62-94521B4C7073}"/>
            </c:ext>
          </c:extLst>
        </c:ser>
        <c:ser>
          <c:idx val="1"/>
          <c:order val="1"/>
          <c:tx>
            <c:strRef>
              <c:f>'Process Model Outputs'!$B$14</c:f>
              <c:strCache>
                <c:ptCount val="1"/>
                <c:pt idx="0">
                  <c:v>Paddlewheel Energy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Cultivation Energy</c:v>
              </c:pt>
            </c:strLit>
          </c:cat>
          <c:val>
            <c:numRef>
              <c:f>'Process Model Outputs'!$C$14</c:f>
              <c:numCache>
                <c:formatCode>0</c:formatCode>
                <c:ptCount val="1"/>
                <c:pt idx="0">
                  <c:v>40658691.375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43-47E0-8E62-94521B4C7073}"/>
            </c:ext>
          </c:extLst>
        </c:ser>
        <c:ser>
          <c:idx val="2"/>
          <c:order val="2"/>
          <c:tx>
            <c:strRef>
              <c:f>'Process Model Outputs'!$B$15</c:f>
              <c:strCache>
                <c:ptCount val="1"/>
                <c:pt idx="0">
                  <c:v>Sparging Energy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Cultivation Energy</c:v>
              </c:pt>
            </c:strLit>
          </c:cat>
          <c:val>
            <c:numRef>
              <c:f>'Process Model Outputs'!$C$15</c:f>
              <c:numCache>
                <c:formatCode>0</c:formatCode>
                <c:ptCount val="1"/>
                <c:pt idx="0">
                  <c:v>12746014.4036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A43-47E0-8E62-94521B4C7073}"/>
            </c:ext>
          </c:extLst>
        </c:ser>
        <c:ser>
          <c:idx val="3"/>
          <c:order val="3"/>
          <c:tx>
            <c:strRef>
              <c:f>'Process Model Outputs'!$B$16</c:f>
              <c:strCache>
                <c:ptCount val="1"/>
                <c:pt idx="0">
                  <c:v>Membrane Energy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Cultivation Energy</c:v>
              </c:pt>
            </c:strLit>
          </c:cat>
          <c:val>
            <c:numRef>
              <c:f>'Process Model Outputs'!$C$16</c:f>
              <c:numCache>
                <c:formatCode>0</c:formatCode>
                <c:ptCount val="1"/>
                <c:pt idx="0">
                  <c:v>676231.28877500002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A43-47E0-8E62-94521B4C7073}"/>
            </c:ext>
          </c:extLst>
        </c:ser>
        <c:ser>
          <c:idx val="4"/>
          <c:order val="4"/>
          <c:tx>
            <c:strRef>
              <c:f>'Process Model Outputs'!$B$17</c:f>
              <c:strCache>
                <c:ptCount val="1"/>
                <c:pt idx="0">
                  <c:v>Centrifuge Energy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Cultivation Energy</c:v>
              </c:pt>
            </c:strLit>
          </c:cat>
          <c:val>
            <c:numRef>
              <c:f>'Process Model Outputs'!$C$17</c:f>
              <c:numCache>
                <c:formatCode>0</c:formatCode>
                <c:ptCount val="1"/>
                <c:pt idx="0">
                  <c:v>1746822.4589499999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A43-47E0-8E62-94521B4C7073}"/>
            </c:ext>
          </c:extLst>
        </c:ser>
        <c:ser>
          <c:idx val="5"/>
          <c:order val="5"/>
          <c:tx>
            <c:strRef>
              <c:f>'Process Model Outputs'!$B$18</c:f>
              <c:strCache>
                <c:ptCount val="1"/>
                <c:pt idx="0">
                  <c:v>UV Sterilization Energy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Cultivation Energy</c:v>
              </c:pt>
            </c:strLit>
          </c:cat>
          <c:val>
            <c:numRef>
              <c:f>'Process Model Outputs'!$C$18</c:f>
              <c:numCache>
                <c:formatCode>0</c:formatCode>
                <c:ptCount val="1"/>
                <c:pt idx="0">
                  <c:v>43587.476125000001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A43-47E0-8E62-94521B4C7073}"/>
            </c:ext>
          </c:extLst>
        </c:ser>
        <c:ser>
          <c:idx val="6"/>
          <c:order val="6"/>
          <c:tx>
            <c:strRef>
              <c:f>'Process Model Outputs'!$B$19</c:f>
              <c:strCache>
                <c:ptCount val="1"/>
                <c:pt idx="0">
                  <c:v>Makeup Water Pumping Energy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Cultivation Energy</c:v>
              </c:pt>
            </c:strLit>
          </c:cat>
          <c:val>
            <c:numRef>
              <c:f>'Process Model Outputs'!$C$19</c:f>
              <c:numCache>
                <c:formatCode>0</c:formatCode>
                <c:ptCount val="1"/>
                <c:pt idx="0">
                  <c:v>5709052.2093749996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A43-47E0-8E62-94521B4C70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17939872"/>
        <c:axId val="917924064"/>
      </c:barChart>
      <c:catAx>
        <c:axId val="91793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7924064"/>
        <c:crosses val="autoZero"/>
        <c:auto val="1"/>
        <c:lblAlgn val="ctr"/>
        <c:lblOffset val="100"/>
        <c:noMultiLvlLbl val="0"/>
      </c:catAx>
      <c:valAx>
        <c:axId val="91792406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>
                    <a:solidFill>
                      <a:sysClr val="windowText" lastClr="000000"/>
                    </a:solidFill>
                  </a:rPr>
                  <a:t>Cultivation Energy by Equipment </a:t>
                </a:r>
              </a:p>
              <a:p>
                <a:pPr>
                  <a:defRPr sz="1200">
                    <a:solidFill>
                      <a:sysClr val="windowText" lastClr="000000"/>
                    </a:solidFill>
                  </a:defRPr>
                </a:pPr>
                <a:r>
                  <a:rPr lang="en-US" sz="1200">
                    <a:solidFill>
                      <a:sysClr val="windowText" lastClr="000000"/>
                    </a:solidFill>
                  </a:rPr>
                  <a:t>(MWh/yr)</a:t>
                </a:r>
              </a:p>
            </c:rich>
          </c:tx>
          <c:layout>
            <c:manualLayout>
              <c:xMode val="edge"/>
              <c:yMode val="edge"/>
              <c:x val="2.3391812865497075E-2"/>
              <c:y val="0.1600940352895198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7939872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5182115393470554"/>
          <c:y val="0.28256825916258882"/>
          <c:w val="0.43063498641617165"/>
          <c:h val="0.4037838300078869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4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10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11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12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21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22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23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?><Relationships xmlns="http://schemas.openxmlformats.org/package/2006/relationships"><Relationship Target="../charts/chart2.xml" Type="http://schemas.openxmlformats.org/officeDocument/2006/relationships/chart" Id="rId2"/><Relationship Target="../charts/chart1.xml" Type="http://schemas.openxmlformats.org/officeDocument/2006/relationships/chart" Id="rId1"/></Relationships>
</file>

<file path=xl/drawings/_rels/drawing2.xml.rels><?xml version="1.0" encoding="UTF-8"?><Relationships xmlns="http://schemas.openxmlformats.org/package/2006/relationships"><Relationship Target="../charts/chart5.xml" Type="http://schemas.openxmlformats.org/officeDocument/2006/relationships/chart" Id="rId3"/><Relationship Target="../charts/chart4.xml" Type="http://schemas.openxmlformats.org/officeDocument/2006/relationships/chart" Id="rId2"/><Relationship Target="../charts/chart3.xml" Type="http://schemas.openxmlformats.org/officeDocument/2006/relationships/chart" Id="rId1"/><Relationship Target="../charts/chart8.xml" Type="http://schemas.openxmlformats.org/officeDocument/2006/relationships/chart" Id="rId6"/><Relationship Target="../charts/chart7.xml" Type="http://schemas.openxmlformats.org/officeDocument/2006/relationships/chart" Id="rId5"/><Relationship Target="../charts/chart6.xml" Type="http://schemas.openxmlformats.org/officeDocument/2006/relationships/chart" Id="rId4"/></Relationships>
</file>

<file path=xl/drawings/_rels/drawing3.xml.rels><?xml version="1.0" encoding="UTF-8"?><Relationships xmlns="http://schemas.openxmlformats.org/package/2006/relationships"><Relationship Target="../charts/chart11.xml" Type="http://schemas.openxmlformats.org/officeDocument/2006/relationships/chart" Id="rId3"/><Relationship Target="../charts/chart10.xml" Type="http://schemas.openxmlformats.org/officeDocument/2006/relationships/chart" Id="rId2"/><Relationship Target="../charts/chart9.xml" Type="http://schemas.openxmlformats.org/officeDocument/2006/relationships/chart" Id="rId1"/><Relationship Target="../charts/chart12.xml" Type="http://schemas.openxmlformats.org/officeDocument/2006/relationships/chart" Id="rId4"/></Relationships>
</file>

<file path=xl/drawings/_rels/drawing4.xml.rels><?xml version="1.0" encoding="UTF-8"?><Relationships xmlns="http://schemas.openxmlformats.org/package/2006/relationships"><Relationship Target="../charts/chart20.xml" Type="http://schemas.openxmlformats.org/officeDocument/2006/relationships/chart" Id="rId8"/><Relationship Target="../charts/chart15.xml" Type="http://schemas.openxmlformats.org/officeDocument/2006/relationships/chart" Id="rId3"/><Relationship Target="../charts/chart19.xml" Type="http://schemas.openxmlformats.org/officeDocument/2006/relationships/chart" Id="rId7"/><Relationship Target="../charts/chart24.xml" Type="http://schemas.openxmlformats.org/officeDocument/2006/relationships/chart" Id="rId12"/><Relationship Target="../charts/chart14.xml" Type="http://schemas.openxmlformats.org/officeDocument/2006/relationships/chart" Id="rId2"/><Relationship Target="../charts/chart13.xml" Type="http://schemas.openxmlformats.org/officeDocument/2006/relationships/chart" Id="rId1"/><Relationship Target="../charts/chart18.xml" Type="http://schemas.openxmlformats.org/officeDocument/2006/relationships/chart" Id="rId6"/><Relationship Target="../charts/chart23.xml" Type="http://schemas.openxmlformats.org/officeDocument/2006/relationships/chart" Id="rId11"/><Relationship Target="../charts/chart17.xml" Type="http://schemas.openxmlformats.org/officeDocument/2006/relationships/chart" Id="rId5"/><Relationship Target="../charts/chart22.xml" Type="http://schemas.openxmlformats.org/officeDocument/2006/relationships/chart" Id="rId10"/><Relationship Target="../charts/chart16.xml" Type="http://schemas.openxmlformats.org/officeDocument/2006/relationships/chart" Id="rId4"/><Relationship Target="../charts/chart21.xml" Type="http://schemas.openxmlformats.org/officeDocument/2006/relationships/chart" Id="rId9"/></Relationships>
</file>

<file path=xl/drawings/drawing1.xml><?xml version="1.0" encoding="utf-8"?>
<xdr:wsDr xmlns:a="http://schemas.openxmlformats.org/drawingml/2006/main" xmlns:xdr="http://schemas.openxmlformats.org/drawingml/2006/spreadsheetDrawing" xmlns:r="http://schemas.openxmlformats.org/officeDocument/2006/relationships">
  <xdr:twoCellAnchor>
    <xdr:from>
      <xdr:col>4</xdr:col>
      <xdr:colOff>209550</xdr:colOff>
      <xdr:row>2</xdr:row>
      <xdr:rowOff>61911</xdr:rowOff>
    </xdr:from>
    <xdr:to>
      <xdr:col>11</xdr:col>
      <xdr:colOff>285750</xdr:colOff>
      <xdr:row>20</xdr:row>
      <xdr:rowOff>104774</xdr:rowOff>
    </xdr:to>
    <xdr:graphicFrame macro="">
      <xdr:nvGraphicFramePr>
        <xdr:cNvPr id="2" name="Chart 1">
          <a:extLst>
            <a:ext xmlns:a16="http://schemas.microsoft.com/office/drawing/2014/main" uri="{FF2B5EF4-FFF2-40B4-BE49-F238E27FC236}">
              <a16:creationId xmlns:a16="http://schemas.microsoft.com/office/drawing/2014/main" id="{A370AB3C-645B-4786-258D-5B525D59FB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261937</xdr:colOff>
      <xdr:row>27</xdr:row>
      <xdr:rowOff>23812</xdr:rowOff>
    </xdr:from>
    <xdr:to>
      <xdr:col>11</xdr:col>
      <xdr:colOff>566737</xdr:colOff>
      <xdr:row>41</xdr:row>
      <xdr:rowOff>100012</xdr:rowOff>
    </xdr:to>
    <xdr:graphicFrame macro="">
      <xdr:nvGraphicFramePr>
        <xdr:cNvPr id="3" name="Chart 2">
          <a:extLst>
            <a:ext xmlns:a16="http://schemas.microsoft.com/office/drawing/2014/main" uri="{FF2B5EF4-FFF2-40B4-BE49-F238E27FC236}">
              <a16:creationId xmlns:a16="http://schemas.microsoft.com/office/drawing/2014/main" id="{FD726991-AB8A-47AA-4747-D01F1E708F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 xmlns:r="http://schemas.openxmlformats.org/officeDocument/2006/relationships">
  <xdr:twoCellAnchor>
    <xdr:from>
      <xdr:col>5</xdr:col>
      <xdr:colOff>66675</xdr:colOff>
      <xdr:row>11</xdr:row>
      <xdr:rowOff>147636</xdr:rowOff>
    </xdr:from>
    <xdr:to>
      <xdr:col>7</xdr:col>
      <xdr:colOff>219075</xdr:colOff>
      <xdr:row>39</xdr:row>
      <xdr:rowOff>95249</xdr:rowOff>
    </xdr:to>
    <xdr:graphicFrame macro="">
      <xdr:nvGraphicFramePr>
        <xdr:cNvPr id="2" name="Chart 1">
          <a:extLst>
            <a:ext xmlns:a16="http://schemas.microsoft.com/office/drawing/2014/main" uri="{FF2B5EF4-FFF2-40B4-BE49-F238E27FC236}">
              <a16:creationId xmlns:a16="http://schemas.microsoft.com/office/drawing/2014/main" id="{AB998BD5-BBD7-DB12-56B2-676CFE2FC3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71437</xdr:colOff>
      <xdr:row>40</xdr:row>
      <xdr:rowOff>4761</xdr:rowOff>
    </xdr:from>
    <xdr:to>
      <xdr:col>7</xdr:col>
      <xdr:colOff>209550</xdr:colOff>
      <xdr:row>62</xdr:row>
      <xdr:rowOff>28574</xdr:rowOff>
    </xdr:to>
    <xdr:graphicFrame macro="">
      <xdr:nvGraphicFramePr>
        <xdr:cNvPr id="3" name="Chart 2">
          <a:extLst>
            <a:ext xmlns:a16="http://schemas.microsoft.com/office/drawing/2014/main" uri="{FF2B5EF4-FFF2-40B4-BE49-F238E27FC236}">
              <a16:creationId xmlns:a16="http://schemas.microsoft.com/office/drawing/2014/main" id="{DF8B5D5F-8A2F-7B9D-B276-AE0B72758E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61912</xdr:colOff>
      <xdr:row>82</xdr:row>
      <xdr:rowOff>90486</xdr:rowOff>
    </xdr:from>
    <xdr:to>
      <xdr:col>6</xdr:col>
      <xdr:colOff>2366962</xdr:colOff>
      <xdr:row>100</xdr:row>
      <xdr:rowOff>171449</xdr:rowOff>
    </xdr:to>
    <xdr:graphicFrame macro="">
      <xdr:nvGraphicFramePr>
        <xdr:cNvPr id="4" name="Chart 3">
          <a:extLst>
            <a:ext xmlns:a16="http://schemas.microsoft.com/office/drawing/2014/main" uri="{FF2B5EF4-FFF2-40B4-BE49-F238E27FC236}">
              <a16:creationId xmlns:a16="http://schemas.microsoft.com/office/drawing/2014/main" id="{89E53C7D-3417-5726-2E80-B3BC157FECB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66675</xdr:colOff>
      <xdr:row>101</xdr:row>
      <xdr:rowOff>80961</xdr:rowOff>
    </xdr:from>
    <xdr:to>
      <xdr:col>6</xdr:col>
      <xdr:colOff>2352675</xdr:colOff>
      <xdr:row>124</xdr:row>
      <xdr:rowOff>9524</xdr:rowOff>
    </xdr:to>
    <xdr:graphicFrame macro="">
      <xdr:nvGraphicFramePr>
        <xdr:cNvPr id="5" name="Chart 4">
          <a:extLst>
            <a:ext xmlns:a16="http://schemas.microsoft.com/office/drawing/2014/main" uri="{FF2B5EF4-FFF2-40B4-BE49-F238E27FC236}">
              <a16:creationId xmlns:a16="http://schemas.microsoft.com/office/drawing/2014/main" id="{206F867B-445F-8D08-4B11-CA868B707B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15128</xdr:colOff>
      <xdr:row>10</xdr:row>
      <xdr:rowOff>59110</xdr:rowOff>
    </xdr:from>
    <xdr:to>
      <xdr:col>12</xdr:col>
      <xdr:colOff>1262903</xdr:colOff>
      <xdr:row>30</xdr:row>
      <xdr:rowOff>73398</xdr:rowOff>
    </xdr:to>
    <xdr:graphicFrame macro="">
      <xdr:nvGraphicFramePr>
        <xdr:cNvPr id="6" name="Chart 5">
          <a:extLst>
            <a:ext xmlns:a16="http://schemas.microsoft.com/office/drawing/2014/main" uri="{FF2B5EF4-FFF2-40B4-BE49-F238E27FC236}">
              <a16:creationId xmlns:a16="http://schemas.microsoft.com/office/drawing/2014/main" id="{DCA21BA9-E7C1-8FBA-800E-C591DF6B12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76200</xdr:colOff>
      <xdr:row>74</xdr:row>
      <xdr:rowOff>19050</xdr:rowOff>
    </xdr:from>
    <xdr:to>
      <xdr:col>12</xdr:col>
      <xdr:colOff>1323975</xdr:colOff>
      <xdr:row>94</xdr:row>
      <xdr:rowOff>33338</xdr:rowOff>
    </xdr:to>
    <xdr:graphicFrame macro="">
      <xdr:nvGraphicFramePr>
        <xdr:cNvPr id="7" name="Chart 6">
          <a:extLst>
            <a:ext xmlns:a16="http://schemas.microsoft.com/office/drawing/2014/main" uri="{FF2B5EF4-FFF2-40B4-BE49-F238E27FC236}">
              <a16:creationId xmlns:a16="http://schemas.microsoft.com/office/drawing/2014/main" id="{7FD72EA1-E004-4FBE-80BE-C5FE515E2A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a="http://schemas.openxmlformats.org/drawingml/2006/main" xmlns:xdr="http://schemas.openxmlformats.org/drawingml/2006/spreadsheetDrawing" xmlns:r="http://schemas.openxmlformats.org/officeDocument/2006/relationships">
  <xdr:twoCellAnchor>
    <xdr:from>
      <xdr:col>12</xdr:col>
      <xdr:colOff>319365</xdr:colOff>
      <xdr:row>48</xdr:row>
      <xdr:rowOff>22412</xdr:rowOff>
    </xdr:from>
    <xdr:to>
      <xdr:col>21</xdr:col>
      <xdr:colOff>403411</xdr:colOff>
      <xdr:row>78</xdr:row>
      <xdr:rowOff>166968</xdr:rowOff>
    </xdr:to>
    <xdr:graphicFrame macro="">
      <xdr:nvGraphicFramePr>
        <xdr:cNvPr id="4" name="Chart 3">
          <a:extLst>
            <a:ext xmlns:a16="http://schemas.microsoft.com/office/drawing/2014/main" uri="{FF2B5EF4-FFF2-40B4-BE49-F238E27FC236}">
              <a16:creationId xmlns:a16="http://schemas.microsoft.com/office/drawing/2014/main" id="{F6192B9D-3834-F9F4-B214-1FE1AD3647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414617</xdr:colOff>
      <xdr:row>96</xdr:row>
      <xdr:rowOff>33618</xdr:rowOff>
    </xdr:from>
    <xdr:to>
      <xdr:col>32</xdr:col>
      <xdr:colOff>268941</xdr:colOff>
      <xdr:row>134</xdr:row>
      <xdr:rowOff>22413</xdr:rowOff>
    </xdr:to>
    <xdr:graphicFrame macro="">
      <xdr:nvGraphicFramePr>
        <xdr:cNvPr id="2" name="Chart 1">
          <a:extLst>
            <a:ext xmlns:a16="http://schemas.microsoft.com/office/drawing/2014/main" uri="{FF2B5EF4-FFF2-40B4-BE49-F238E27FC236}">
              <a16:creationId xmlns:a16="http://schemas.microsoft.com/office/drawing/2014/main" id="{6EA8D77A-8AF3-4347-986D-C99CDE7D61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82515</xdr:colOff>
      <xdr:row>48</xdr:row>
      <xdr:rowOff>27505</xdr:rowOff>
    </xdr:from>
    <xdr:to>
      <xdr:col>31</xdr:col>
      <xdr:colOff>166562</xdr:colOff>
      <xdr:row>78</xdr:row>
      <xdr:rowOff>147612</xdr:rowOff>
    </xdr:to>
    <xdr:graphicFrame macro="">
      <xdr:nvGraphicFramePr>
        <xdr:cNvPr id="8" name="Chart 7">
          <a:extLst>
            <a:ext xmlns:a16="http://schemas.microsoft.com/office/drawing/2014/main" uri="{FF2B5EF4-FFF2-40B4-BE49-F238E27FC236}">
              <a16:creationId xmlns:a16="http://schemas.microsoft.com/office/drawing/2014/main" id="{610CCA72-9DC9-4F4C-A211-6915E14AFA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432955</xdr:colOff>
      <xdr:row>135</xdr:row>
      <xdr:rowOff>-1</xdr:rowOff>
    </xdr:from>
    <xdr:to>
      <xdr:col>32</xdr:col>
      <xdr:colOff>287279</xdr:colOff>
      <xdr:row>171</xdr:row>
      <xdr:rowOff>179294</xdr:rowOff>
    </xdr:to>
    <xdr:graphicFrame macro="">
      <xdr:nvGraphicFramePr>
        <xdr:cNvPr id="3" name="Chart 2">
          <a:extLst>
            <a:ext xmlns:a16="http://schemas.microsoft.com/office/drawing/2014/main" uri="{FF2B5EF4-FFF2-40B4-BE49-F238E27FC236}">
              <a16:creationId xmlns:a16="http://schemas.microsoft.com/office/drawing/2014/main" id="{E2D475FB-1538-439F-9A72-00211431A2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 xmlns:r="http://schemas.openxmlformats.org/officeDocument/2006/relationships">
  <xdr:twoCellAnchor>
    <xdr:from>
      <xdr:col>0</xdr:col>
      <xdr:colOff>289830</xdr:colOff>
      <xdr:row>25</xdr:row>
      <xdr:rowOff>17287</xdr:rowOff>
    </xdr:from>
    <xdr:to>
      <xdr:col>7</xdr:col>
      <xdr:colOff>375555</xdr:colOff>
      <xdr:row>42</xdr:row>
      <xdr:rowOff>115259</xdr:rowOff>
    </xdr:to>
    <xdr:graphicFrame macro="">
      <xdr:nvGraphicFramePr>
        <xdr:cNvPr id="3" name="Chart 2">
          <a:extLst>
            <a:ext xmlns:a16="http://schemas.microsoft.com/office/drawing/2014/main" uri="{FF2B5EF4-FFF2-40B4-BE49-F238E27FC236}">
              <a16:creationId xmlns:a16="http://schemas.microsoft.com/office/drawing/2014/main" id="{198974A1-B9CC-4ADE-B8E9-E71234581E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155117</xdr:colOff>
      <xdr:row>1</xdr:row>
      <xdr:rowOff>106134</xdr:rowOff>
    </xdr:from>
    <xdr:to>
      <xdr:col>16</xdr:col>
      <xdr:colOff>193216</xdr:colOff>
      <xdr:row>23</xdr:row>
      <xdr:rowOff>122463</xdr:rowOff>
    </xdr:to>
    <xdr:graphicFrame macro="">
      <xdr:nvGraphicFramePr>
        <xdr:cNvPr id="4" name="Chart 3">
          <a:extLst>
            <a:ext xmlns:a16="http://schemas.microsoft.com/office/drawing/2014/main" uri="{FF2B5EF4-FFF2-40B4-BE49-F238E27FC236}">
              <a16:creationId xmlns:a16="http://schemas.microsoft.com/office/drawing/2014/main" id="{EA0128DF-C08A-43DF-9D42-F6D263476D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259891</xdr:colOff>
      <xdr:row>1</xdr:row>
      <xdr:rowOff>106134</xdr:rowOff>
    </xdr:from>
    <xdr:to>
      <xdr:col>24</xdr:col>
      <xdr:colOff>283705</xdr:colOff>
      <xdr:row>18</xdr:row>
      <xdr:rowOff>68033</xdr:rowOff>
    </xdr:to>
    <xdr:graphicFrame macro="">
      <xdr:nvGraphicFramePr>
        <xdr:cNvPr id="5" name="Chart 4">
          <a:extLst>
            <a:ext xmlns:a16="http://schemas.microsoft.com/office/drawing/2014/main" uri="{FF2B5EF4-FFF2-40B4-BE49-F238E27FC236}">
              <a16:creationId xmlns:a16="http://schemas.microsoft.com/office/drawing/2014/main" id="{0CC2C61C-5F6F-4AE8-956F-A27A2F6414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374192</xdr:colOff>
      <xdr:row>1</xdr:row>
      <xdr:rowOff>115659</xdr:rowOff>
    </xdr:from>
    <xdr:to>
      <xdr:col>32</xdr:col>
      <xdr:colOff>450391</xdr:colOff>
      <xdr:row>21</xdr:row>
      <xdr:rowOff>129947</xdr:rowOff>
    </xdr:to>
    <xdr:graphicFrame macro="">
      <xdr:nvGraphicFramePr>
        <xdr:cNvPr id="6" name="Chart 5">
          <a:extLst>
            <a:ext xmlns:a16="http://schemas.microsoft.com/office/drawing/2014/main" uri="{FF2B5EF4-FFF2-40B4-BE49-F238E27FC236}">
              <a16:creationId xmlns:a16="http://schemas.microsoft.com/office/drawing/2014/main" id="{A14CE1FF-1560-41B3-8CAE-6E152CF41E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159199</xdr:colOff>
      <xdr:row>24</xdr:row>
      <xdr:rowOff>27212</xdr:rowOff>
    </xdr:from>
    <xdr:to>
      <xdr:col>16</xdr:col>
      <xdr:colOff>176888</xdr:colOff>
      <xdr:row>42</xdr:row>
      <xdr:rowOff>108175</xdr:rowOff>
    </xdr:to>
    <xdr:graphicFrame macro="">
      <xdr:nvGraphicFramePr>
        <xdr:cNvPr id="7" name="Chart 6">
          <a:extLst>
            <a:ext xmlns:a16="http://schemas.microsoft.com/office/drawing/2014/main" uri="{FF2B5EF4-FFF2-40B4-BE49-F238E27FC236}">
              <a16:creationId xmlns:a16="http://schemas.microsoft.com/office/drawing/2014/main" id="{8C3F8768-D7E4-4DAE-9F1B-C82EEF1D27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255809</xdr:colOff>
      <xdr:row>18</xdr:row>
      <xdr:rowOff>149678</xdr:rowOff>
    </xdr:from>
    <xdr:to>
      <xdr:col>24</xdr:col>
      <xdr:colOff>284385</xdr:colOff>
      <xdr:row>42</xdr:row>
      <xdr:rowOff>108856</xdr:rowOff>
    </xdr:to>
    <xdr:graphicFrame macro="">
      <xdr:nvGraphicFramePr>
        <xdr:cNvPr id="8" name="Chart 7">
          <a:extLst>
            <a:ext xmlns:a16="http://schemas.microsoft.com/office/drawing/2014/main" uri="{FF2B5EF4-FFF2-40B4-BE49-F238E27FC236}">
              <a16:creationId xmlns:a16="http://schemas.microsoft.com/office/drawing/2014/main" id="{68C6A46D-A57F-4330-9B7A-26DD359D20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360585</xdr:colOff>
      <xdr:row>22</xdr:row>
      <xdr:rowOff>39459</xdr:rowOff>
    </xdr:from>
    <xdr:to>
      <xdr:col>32</xdr:col>
      <xdr:colOff>462638</xdr:colOff>
      <xdr:row>42</xdr:row>
      <xdr:rowOff>100853</xdr:rowOff>
    </xdr:to>
    <xdr:graphicFrame macro="">
      <xdr:nvGraphicFramePr>
        <xdr:cNvPr id="9" name="Chart 8">
          <a:extLst>
            <a:ext xmlns:a16="http://schemas.microsoft.com/office/drawing/2014/main" uri="{FF2B5EF4-FFF2-40B4-BE49-F238E27FC236}">
              <a16:creationId xmlns:a16="http://schemas.microsoft.com/office/drawing/2014/main" id="{720F9FA8-EBA4-4E72-AEB4-E4C7EB3FD2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190500</xdr:colOff>
      <xdr:row>45</xdr:row>
      <xdr:rowOff>134471</xdr:rowOff>
    </xdr:from>
    <xdr:to>
      <xdr:col>9</xdr:col>
      <xdr:colOff>274546</xdr:colOff>
      <xdr:row>74</xdr:row>
      <xdr:rowOff>155762</xdr:rowOff>
    </xdr:to>
    <xdr:graphicFrame macro="">
      <xdr:nvGraphicFramePr>
        <xdr:cNvPr id="10" name="Chart 9">
          <a:extLst>
            <a:ext xmlns:a16="http://schemas.microsoft.com/office/drawing/2014/main" uri="{FF2B5EF4-FFF2-40B4-BE49-F238E27FC236}">
              <a16:creationId xmlns:a16="http://schemas.microsoft.com/office/drawing/2014/main" id="{B63711E9-D5A3-4E56-818C-EBEB09C5F3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470646</xdr:colOff>
      <xdr:row>45</xdr:row>
      <xdr:rowOff>134471</xdr:rowOff>
    </xdr:from>
    <xdr:to>
      <xdr:col>32</xdr:col>
      <xdr:colOff>449035</xdr:colOff>
      <xdr:row>74</xdr:row>
      <xdr:rowOff>136073</xdr:rowOff>
    </xdr:to>
    <xdr:graphicFrame macro="">
      <xdr:nvGraphicFramePr>
        <xdr:cNvPr id="11" name="Chart 10">
          <a:extLst>
            <a:ext xmlns:a16="http://schemas.microsoft.com/office/drawing/2014/main" uri="{FF2B5EF4-FFF2-40B4-BE49-F238E27FC236}">
              <a16:creationId xmlns:a16="http://schemas.microsoft.com/office/drawing/2014/main" id="{E9ED55C4-6C6B-48DC-8FEE-B076BDA3CF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258536</xdr:colOff>
      <xdr:row>75</xdr:row>
      <xdr:rowOff>108858</xdr:rowOff>
    </xdr:from>
    <xdr:to>
      <xdr:col>11</xdr:col>
      <xdr:colOff>571500</xdr:colOff>
      <xdr:row>104</xdr:row>
      <xdr:rowOff>92092</xdr:rowOff>
    </xdr:to>
    <xdr:graphicFrame macro="">
      <xdr:nvGraphicFramePr>
        <xdr:cNvPr id="12" name="Chart 11">
          <a:extLst>
            <a:ext xmlns:a16="http://schemas.microsoft.com/office/drawing/2014/main" uri="{FF2B5EF4-FFF2-40B4-BE49-F238E27FC236}">
              <a16:creationId xmlns:a16="http://schemas.microsoft.com/office/drawing/2014/main" id="{359E73EA-8FF1-43B2-B820-1D98CE1297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201706</xdr:colOff>
      <xdr:row>75</xdr:row>
      <xdr:rowOff>112058</xdr:rowOff>
    </xdr:from>
    <xdr:to>
      <xdr:col>32</xdr:col>
      <xdr:colOff>415636</xdr:colOff>
      <xdr:row>104</xdr:row>
      <xdr:rowOff>67235</xdr:rowOff>
    </xdr:to>
    <xdr:graphicFrame macro="">
      <xdr:nvGraphicFramePr>
        <xdr:cNvPr id="13" name="Chart 12">
          <a:extLst>
            <a:ext xmlns:a16="http://schemas.microsoft.com/office/drawing/2014/main" uri="{FF2B5EF4-FFF2-40B4-BE49-F238E27FC236}">
              <a16:creationId xmlns:a16="http://schemas.microsoft.com/office/drawing/2014/main" id="{64042365-FFE8-43AA-907A-63593631C6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280147</xdr:colOff>
      <xdr:row>2</xdr:row>
      <xdr:rowOff>0</xdr:rowOff>
    </xdr:from>
    <xdr:to>
      <xdr:col>7</xdr:col>
      <xdr:colOff>387723</xdr:colOff>
      <xdr:row>24</xdr:row>
      <xdr:rowOff>97211</xdr:rowOff>
    </xdr:to>
    <xdr:graphicFrame macro="">
      <xdr:nvGraphicFramePr>
        <xdr:cNvPr id="14" name="Chart 13">
          <a:extLst>
            <a:ext xmlns:a16="http://schemas.microsoft.com/office/drawing/2014/main" uri="{FF2B5EF4-FFF2-40B4-BE49-F238E27FC236}">
              <a16:creationId xmlns:a16="http://schemas.microsoft.com/office/drawing/2014/main" id="{7A41B288-F321-4706-AADB-810707C4D8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2.xml.rels><?xml version="1.0" encoding="UTF-8"?><Relationships xmlns="http://schemas.openxmlformats.org/package/2006/relationships"><Relationship Target="../drawings/drawing1.xml" Type="http://schemas.openxmlformats.org/officeDocument/2006/relationships/drawing" Id="rId1"/></Relationships>
</file>

<file path=xl/worksheets/_rels/sheet3.xml.rels><?xml version="1.0" encoding="UTF-8"?><Relationships xmlns="http://schemas.openxmlformats.org/package/2006/relationships"><Relationship Target="../drawings/drawing2.xml" Type="http://schemas.openxmlformats.org/officeDocument/2006/relationships/drawing" Id="rId1"/></Relationships>
</file>

<file path=xl/worksheets/_rels/sheet4.xml.rels><?xml version="1.0" encoding="UTF-8"?><Relationships xmlns="http://schemas.openxmlformats.org/package/2006/relationships"><Relationship Target="../drawings/drawing3.xml" Type="http://schemas.openxmlformats.org/officeDocument/2006/relationships/drawing" Id="rId2"/><Relationship Target="../printerSettings/printerSettings1.bin" Type="http://schemas.openxmlformats.org/officeDocument/2006/relationships/printerSettings" Id="rId1"/></Relationships>
</file>

<file path=xl/worksheets/_rels/sheet5.xml.rels><?xml version="1.0" encoding="UTF-8"?><Relationships xmlns="http://schemas.openxmlformats.org/package/2006/relationships"><Relationship Target="../drawings/drawing4.xml" Type="http://schemas.openxmlformats.org/officeDocument/2006/relationships/drawing" Id="rId1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E678CB-4D2F-4464-A66D-B4537623E479}">
  <sheetPr codeName="Sheet1"/>
  <dimension ref="A1:D43"/>
  <sheetViews>
    <sheetView workbookViewId="0">
      <selection activeCell="I1" sqref="I1"/>
    </sheetView>
  </sheetViews>
  <sheetFormatPr defaultRowHeight="15" x14ac:dyDescent="0.25"/>
  <cols>
    <col min="1" max="1" width="30.85546875" customWidth="true"/>
    <col min="2" max="2" width="31.140625" customWidth="true"/>
    <col min="3" max="3" width="28.7109375" customWidth="true"/>
    <col min="4" max="4" width="31.5703125" bestFit="true" customWidth="true"/>
  </cols>
  <sheetData>
    <row r="1" x14ac:dyDescent="0.25">
      <c r="A1" s="182" t="s">
        <v>3</v>
      </c>
      <c r="B1" s="182"/>
      <c r="C1" s="182"/>
      <c r="D1" s="183"/>
    </row>
    <row r="2" x14ac:dyDescent="0.25">
      <c r="A2" s="5" t="s">
        <v>38</v>
      </c>
      <c r="B2" s="1" t="s">
        <v>0</v>
      </c>
      <c r="C2" s="1" t="s">
        <v>1</v>
      </c>
      <c r="D2" s="12" t="s">
        <v>2</v>
      </c>
    </row>
    <row r="3" x14ac:dyDescent="0.25">
      <c r="A3" s="4" t="s">
        <v>39</v>
      </c>
      <c r="B3" s="3" t="s">
        <v>4</v>
      </c>
      <c r="C3" s="126" t="s">
        <v>548</v>
      </c>
      <c r="D3" s="13" t="s">
        <v>373</v>
      </c>
    </row>
    <row r="4" x14ac:dyDescent="0.25">
      <c r="A4" s="184" t="s">
        <v>40</v>
      </c>
      <c r="B4" t="s">
        <v>5</v>
      </c>
      <c r="C4" s="9">
        <v>5000</v>
      </c>
      <c r="D4" s="14" t="s">
        <v>6</v>
      </c>
    </row>
    <row r="5" x14ac:dyDescent="0.25">
      <c r="A5" s="185"/>
      <c r="B5" t="s">
        <v>7</v>
      </c>
      <c r="C5" s="9">
        <v>10</v>
      </c>
      <c r="D5" s="14" t="s">
        <v>8</v>
      </c>
    </row>
    <row r="6" x14ac:dyDescent="0.25">
      <c r="A6" s="185"/>
      <c r="B6" t="s">
        <v>9</v>
      </c>
      <c r="C6" s="9">
        <v>0.20000000000000001</v>
      </c>
      <c r="D6" s="14" t="s">
        <v>12</v>
      </c>
    </row>
    <row r="7" x14ac:dyDescent="0.25">
      <c r="A7" s="185"/>
      <c r="B7" t="s">
        <v>10</v>
      </c>
      <c r="C7" s="9">
        <v>0.25</v>
      </c>
      <c r="D7" s="14" t="s">
        <v>12</v>
      </c>
    </row>
    <row r="8" x14ac:dyDescent="0.25">
      <c r="A8" s="186"/>
      <c r="B8" s="2" t="s">
        <v>11</v>
      </c>
      <c r="C8" s="10">
        <v>0.14999999999999999</v>
      </c>
      <c r="D8" s="15" t="s">
        <v>12</v>
      </c>
    </row>
    <row r="9" x14ac:dyDescent="0.25">
      <c r="A9" s="187" t="s">
        <v>41</v>
      </c>
      <c r="B9" t="s">
        <v>13</v>
      </c>
      <c r="C9" s="9" t="s">
        <v>549</v>
      </c>
      <c r="D9" s="14" t="s">
        <v>14</v>
      </c>
    </row>
    <row r="10" x14ac:dyDescent="0.25">
      <c r="A10" s="187"/>
      <c r="B10" t="s">
        <v>15</v>
      </c>
      <c r="C10" s="9">
        <v>0.10000000000000001</v>
      </c>
      <c r="D10" s="14" t="s">
        <v>18</v>
      </c>
    </row>
    <row r="11" x14ac:dyDescent="0.25">
      <c r="A11" s="187"/>
      <c r="B11" t="s">
        <v>16</v>
      </c>
      <c r="C11" s="9">
        <v>0.59999999999999998</v>
      </c>
      <c r="D11" s="14" t="s">
        <v>18</v>
      </c>
    </row>
    <row r="12" x14ac:dyDescent="0.25">
      <c r="A12" s="187"/>
      <c r="B12" s="2" t="s">
        <v>17</v>
      </c>
      <c r="C12" s="10">
        <v>5</v>
      </c>
      <c r="D12" s="15" t="s">
        <v>19</v>
      </c>
    </row>
    <row r="13" x14ac:dyDescent="0.25">
      <c r="A13" s="187" t="s">
        <v>42</v>
      </c>
      <c r="B13" t="s">
        <v>20</v>
      </c>
      <c r="C13" s="9">
        <v>0.54000000000000004</v>
      </c>
      <c r="D13" s="14" t="s">
        <v>21</v>
      </c>
    </row>
    <row r="14" x14ac:dyDescent="0.25">
      <c r="A14" s="187"/>
      <c r="B14" s="2" t="s">
        <v>22</v>
      </c>
      <c r="C14" s="10">
        <v>0.90000000000000002</v>
      </c>
      <c r="D14" s="15" t="s">
        <v>23</v>
      </c>
    </row>
    <row r="15" x14ac:dyDescent="0.25">
      <c r="A15" s="187" t="s">
        <v>43</v>
      </c>
      <c r="B15" t="s">
        <v>25</v>
      </c>
      <c r="C15" s="9">
        <v>0.0022000000000000001</v>
      </c>
      <c r="D15" s="14" t="s">
        <v>21</v>
      </c>
    </row>
    <row r="16" x14ac:dyDescent="0.25">
      <c r="A16" s="187"/>
      <c r="B16" t="s">
        <v>24</v>
      </c>
      <c r="C16" s="9">
        <v>0.017999999999999999</v>
      </c>
      <c r="D16" s="14" t="s">
        <v>21</v>
      </c>
    </row>
    <row r="17" x14ac:dyDescent="0.25">
      <c r="A17" s="187"/>
      <c r="B17" t="s">
        <v>26</v>
      </c>
      <c r="C17" s="9">
        <v>0.20000000000000001</v>
      </c>
      <c r="D17" s="14" t="s">
        <v>30</v>
      </c>
    </row>
    <row r="18" x14ac:dyDescent="0.25">
      <c r="A18" s="187"/>
      <c r="B18" t="s">
        <v>27</v>
      </c>
      <c r="C18" s="9">
        <v>0.17999999999999999</v>
      </c>
      <c r="D18" s="14" t="s">
        <v>30</v>
      </c>
    </row>
    <row r="19" x14ac:dyDescent="0.25">
      <c r="A19" s="187"/>
      <c r="B19" t="s">
        <v>28</v>
      </c>
      <c r="C19" s="9">
        <v>0.81999999999999995</v>
      </c>
      <c r="D19" s="14" t="s">
        <v>30</v>
      </c>
    </row>
    <row r="20" x14ac:dyDescent="0.25">
      <c r="A20" s="187"/>
      <c r="B20" s="2" t="s">
        <v>29</v>
      </c>
      <c r="C20" s="17">
        <v>0.20000000000000001</v>
      </c>
      <c r="D20" s="15" t="s">
        <v>31</v>
      </c>
    </row>
    <row r="21" x14ac:dyDescent="0.25">
      <c r="A21" s="181" t="s">
        <v>44</v>
      </c>
      <c r="B21" t="s">
        <v>32</v>
      </c>
      <c r="C21" s="9">
        <v>0.089999999999999997</v>
      </c>
      <c r="D21" s="14" t="s">
        <v>30</v>
      </c>
    </row>
    <row r="22" x14ac:dyDescent="0.25">
      <c r="A22" s="181"/>
      <c r="B22" t="s">
        <v>33</v>
      </c>
      <c r="C22" s="18">
        <v>0.42099999999999999</v>
      </c>
      <c r="D22" s="14" t="s">
        <v>30</v>
      </c>
    </row>
    <row r="23" x14ac:dyDescent="0.25">
      <c r="A23" s="181"/>
      <c r="B23" t="s">
        <v>34</v>
      </c>
      <c r="C23" s="9">
        <v>0.41199999999999998</v>
      </c>
      <c r="D23" s="14" t="s">
        <v>30</v>
      </c>
    </row>
    <row r="24" x14ac:dyDescent="0.25">
      <c r="A24" s="181"/>
      <c r="B24" s="2" t="s">
        <v>35</v>
      </c>
      <c r="C24" s="10">
        <v>0.076999999999999999</v>
      </c>
      <c r="D24" s="15" t="s">
        <v>30</v>
      </c>
    </row>
    <row r="25" x14ac:dyDescent="0.25">
      <c r="A25" s="181" t="s">
        <v>45</v>
      </c>
      <c r="B25" t="s">
        <v>36</v>
      </c>
      <c r="C25" s="9">
        <v>0.5</v>
      </c>
      <c r="D25" s="14" t="s">
        <v>46</v>
      </c>
    </row>
    <row r="26" x14ac:dyDescent="0.25">
      <c r="A26" s="181"/>
      <c r="B26" s="2" t="s">
        <v>37</v>
      </c>
      <c r="C26" s="17">
        <v>0.69999999999999996</v>
      </c>
      <c r="D26" s="15" t="s">
        <v>47</v>
      </c>
    </row>
    <row r="27" x14ac:dyDescent="0.25">
      <c r="A27" s="181" t="s">
        <v>56</v>
      </c>
      <c r="B27" t="s">
        <v>48</v>
      </c>
      <c r="C27" s="9">
        <v>330</v>
      </c>
      <c r="D27" s="14" t="s">
        <v>49</v>
      </c>
    </row>
    <row r="28" x14ac:dyDescent="0.25">
      <c r="A28" s="181"/>
      <c r="B28" t="s">
        <v>50</v>
      </c>
      <c r="C28" s="9">
        <v>15</v>
      </c>
      <c r="D28" s="14" t="s">
        <v>51</v>
      </c>
    </row>
    <row r="29" x14ac:dyDescent="0.25">
      <c r="A29" s="181"/>
      <c r="B29" t="s">
        <v>52</v>
      </c>
      <c r="C29" s="18">
        <v>1</v>
      </c>
      <c r="D29" s="14" t="s">
        <v>55</v>
      </c>
    </row>
    <row r="30" x14ac:dyDescent="0.25">
      <c r="A30" s="181"/>
      <c r="B30" t="s">
        <v>53</v>
      </c>
      <c r="C30" s="18">
        <v>1</v>
      </c>
      <c r="D30" s="14" t="s">
        <v>55</v>
      </c>
    </row>
    <row r="31" x14ac:dyDescent="0.25">
      <c r="A31" s="181"/>
      <c r="B31" s="6" t="s">
        <v>54</v>
      </c>
      <c r="C31" s="17">
        <v>1</v>
      </c>
      <c r="D31" s="15" t="s">
        <v>55</v>
      </c>
    </row>
    <row r="32" x14ac:dyDescent="0.25">
      <c r="A32" s="181" t="s">
        <v>61</v>
      </c>
      <c r="B32" t="s">
        <v>57</v>
      </c>
      <c r="C32" s="9">
        <v>2019</v>
      </c>
      <c r="D32" s="14" t="s">
        <v>59</v>
      </c>
    </row>
    <row r="33" x14ac:dyDescent="0.25">
      <c r="A33" s="181"/>
      <c r="B33" s="6" t="s">
        <v>58</v>
      </c>
      <c r="C33" s="17">
        <v>0.10000000000000001</v>
      </c>
      <c r="D33" s="15" t="s">
        <v>60</v>
      </c>
    </row>
    <row r="34" x14ac:dyDescent="0.25">
      <c r="A34" s="184" t="s">
        <v>66</v>
      </c>
      <c r="B34" s="8" t="s">
        <v>62</v>
      </c>
      <c r="C34" s="11">
        <v>0.070000000000000007</v>
      </c>
      <c r="D34" s="16" t="s">
        <v>75</v>
      </c>
    </row>
    <row r="35" x14ac:dyDescent="0.25">
      <c r="A35" s="185"/>
      <c r="B35" s="7" t="s">
        <v>63</v>
      </c>
      <c r="C35" s="9">
        <v>40</v>
      </c>
      <c r="D35" s="14" t="s">
        <v>76</v>
      </c>
    </row>
    <row r="36" x14ac:dyDescent="0.25">
      <c r="A36" s="185"/>
      <c r="B36" s="7" t="s">
        <v>64</v>
      </c>
      <c r="C36" s="18">
        <v>0.80000000000000004</v>
      </c>
      <c r="D36" s="14" t="s">
        <v>77</v>
      </c>
    </row>
    <row r="37" x14ac:dyDescent="0.25">
      <c r="A37" s="186"/>
      <c r="B37" s="6" t="s">
        <v>65</v>
      </c>
      <c r="C37" s="10">
        <v>0.66000000000000003</v>
      </c>
      <c r="D37" s="15" t="s">
        <v>77</v>
      </c>
    </row>
    <row r="38" x14ac:dyDescent="0.25">
      <c r="A38" s="178" t="s">
        <v>74</v>
      </c>
      <c r="B38" s="8" t="s">
        <v>67</v>
      </c>
      <c r="C38" s="19">
        <v>0.21540000000000001</v>
      </c>
      <c r="D38" s="16" t="s">
        <v>77</v>
      </c>
    </row>
    <row r="39" x14ac:dyDescent="0.25">
      <c r="A39" s="179"/>
      <c r="B39" s="7" t="s">
        <v>68</v>
      </c>
      <c r="C39" s="9">
        <v>1.47</v>
      </c>
      <c r="D39" s="14" t="s">
        <v>77</v>
      </c>
    </row>
    <row r="40" x14ac:dyDescent="0.25">
      <c r="A40" s="180"/>
      <c r="B40" s="6" t="s">
        <v>69</v>
      </c>
      <c r="C40" s="17">
        <v>0.20399999999999999</v>
      </c>
      <c r="D40" s="15" t="s">
        <v>78</v>
      </c>
    </row>
    <row r="41" x14ac:dyDescent="0.25">
      <c r="A41" s="178" t="s">
        <v>70</v>
      </c>
      <c r="B41" s="8" t="s">
        <v>73</v>
      </c>
      <c r="C41" s="19">
        <v>0.10000000000000001</v>
      </c>
      <c r="D41" s="16" t="s">
        <v>77</v>
      </c>
    </row>
    <row r="42" x14ac:dyDescent="0.25">
      <c r="A42" s="179"/>
      <c r="B42" s="7" t="s">
        <v>71</v>
      </c>
      <c r="C42" s="18">
        <v>0.80000000000000004</v>
      </c>
      <c r="D42" s="14" t="s">
        <v>77</v>
      </c>
    </row>
    <row r="43" x14ac:dyDescent="0.25">
      <c r="A43" s="180"/>
      <c r="B43" s="6" t="s">
        <v>72</v>
      </c>
      <c r="C43" s="10">
        <v>0.66000000000000003</v>
      </c>
      <c r="D43" s="15" t="s">
        <v>77</v>
      </c>
    </row>
  </sheetData>
  <mergeCells count="12">
    <mergeCell ref="A41:A43"/>
    <mergeCell ref="A25:A26"/>
    <mergeCell ref="A1:D1"/>
    <mergeCell ref="A4:A8"/>
    <mergeCell ref="A27:A31"/>
    <mergeCell ref="A32:A33"/>
    <mergeCell ref="A34:A37"/>
    <mergeCell ref="A9:A12"/>
    <mergeCell ref="A13:A14"/>
    <mergeCell ref="A15:A20"/>
    <mergeCell ref="A21:A24"/>
    <mergeCell ref="A38:A40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A4839C-DC67-4EBE-94FA-FFD7EEB8D0C3}">
  <dimension ref="A1:D47"/>
  <sheetViews>
    <sheetView topLeftCell="A26" workbookViewId="0">
      <selection activeCell="Q6" sqref="Q6"/>
    </sheetView>
  </sheetViews>
  <sheetFormatPr defaultRowHeight="15" x14ac:dyDescent="0.25"/>
  <cols>
    <col min="1" max="1" width="25.5703125" customWidth="true"/>
    <col min="2" max="2" width="38.5703125" customWidth="true"/>
    <col min="3" max="3" width="13.140625" customWidth="true"/>
    <col min="4" max="4" width="34.42578125" customWidth="true"/>
  </cols>
  <sheetData>
    <row r="1" x14ac:dyDescent="0.25">
      <c r="A1" s="188" t="s">
        <v>85</v>
      </c>
      <c r="B1" s="188"/>
      <c r="C1" s="188"/>
      <c r="D1" s="188"/>
    </row>
    <row r="2" x14ac:dyDescent="0.25">
      <c r="A2" s="29" t="s">
        <v>86</v>
      </c>
      <c r="B2" s="30" t="s">
        <v>0</v>
      </c>
      <c r="C2" s="30" t="s">
        <v>1</v>
      </c>
      <c r="D2" s="31" t="s">
        <v>2</v>
      </c>
    </row>
    <row r="3" x14ac:dyDescent="0.25">
      <c r="A3" s="181" t="s">
        <v>109</v>
      </c>
      <c r="B3" s="23" t="s">
        <v>88</v>
      </c>
      <c r="C3" s="27">
        <v>178049.40090000001</v>
      </c>
      <c r="D3" s="16" t="s">
        <v>87</v>
      </c>
    </row>
    <row r="4" ht="17.25" x14ac:dyDescent="0.25">
      <c r="A4" s="181"/>
      <c r="B4" s="20" t="s">
        <v>79</v>
      </c>
      <c r="C4" s="21">
        <v>24.107099999999999</v>
      </c>
      <c r="D4" s="14" t="s">
        <v>110</v>
      </c>
    </row>
    <row r="5" ht="17.25" x14ac:dyDescent="0.25">
      <c r="A5" s="181"/>
      <c r="B5" s="20" t="s">
        <v>80</v>
      </c>
      <c r="C5" s="21">
        <v>0.12053999999999999</v>
      </c>
      <c r="D5" s="14" t="s">
        <v>111</v>
      </c>
    </row>
    <row r="6" ht="17.25" x14ac:dyDescent="0.25">
      <c r="A6" s="181"/>
      <c r="B6" s="20" t="s">
        <v>81</v>
      </c>
      <c r="C6" s="21">
        <v>30.583500000000001</v>
      </c>
      <c r="D6" s="14" t="s">
        <v>110</v>
      </c>
    </row>
    <row r="7" ht="17.25" x14ac:dyDescent="0.25">
      <c r="A7" s="181"/>
      <c r="B7" s="20" t="s">
        <v>82</v>
      </c>
      <c r="C7" s="21">
        <v>33.071399999999997</v>
      </c>
      <c r="D7" s="14" t="s">
        <v>110</v>
      </c>
    </row>
    <row r="8" ht="17.25" x14ac:dyDescent="0.25">
      <c r="A8" s="181"/>
      <c r="B8" s="20" t="s">
        <v>83</v>
      </c>
      <c r="C8" s="21">
        <v>22.220500000000001</v>
      </c>
      <c r="D8" s="14" t="s">
        <v>110</v>
      </c>
    </row>
    <row r="9" ht="17.25" x14ac:dyDescent="0.25">
      <c r="A9" s="181"/>
      <c r="B9" s="2" t="s">
        <v>84</v>
      </c>
      <c r="C9" s="22">
        <v>10.230700000000001</v>
      </c>
      <c r="D9" s="15" t="s">
        <v>110</v>
      </c>
    </row>
    <row r="10" x14ac:dyDescent="0.25">
      <c r="A10" s="187" t="s">
        <v>113</v>
      </c>
      <c r="B10" s="23" t="s">
        <v>92</v>
      </c>
      <c r="C10" s="25">
        <v>4385391.0389</v>
      </c>
      <c r="D10" s="16" t="s">
        <v>89</v>
      </c>
    </row>
    <row r="11" x14ac:dyDescent="0.25">
      <c r="A11" s="187"/>
      <c r="B11" s="20" t="s">
        <v>93</v>
      </c>
      <c r="C11" s="145">
        <v>2464304.4945999999</v>
      </c>
      <c r="D11" s="14" t="s">
        <v>89</v>
      </c>
    </row>
    <row r="12" x14ac:dyDescent="0.25">
      <c r="A12" s="187"/>
      <c r="B12" s="2" t="s">
        <v>94</v>
      </c>
      <c r="C12" s="24">
        <v>391708.68190000003</v>
      </c>
      <c r="D12" s="15" t="s">
        <v>90</v>
      </c>
    </row>
    <row r="13" x14ac:dyDescent="0.25">
      <c r="A13" s="181" t="s">
        <v>114</v>
      </c>
      <c r="B13" s="23" t="s">
        <v>95</v>
      </c>
      <c r="C13" s="25">
        <v>21092616.928800002</v>
      </c>
      <c r="D13" s="16" t="s">
        <v>91</v>
      </c>
    </row>
    <row r="14" x14ac:dyDescent="0.25">
      <c r="A14" s="181"/>
      <c r="B14" s="20" t="s">
        <v>96</v>
      </c>
      <c r="C14" s="145">
        <v>40658691.375</v>
      </c>
      <c r="D14" s="14" t="s">
        <v>91</v>
      </c>
    </row>
    <row r="15" x14ac:dyDescent="0.25">
      <c r="A15" s="181"/>
      <c r="B15" s="142" t="s">
        <v>97</v>
      </c>
      <c r="C15" s="155">
        <v>15315809.462300001</v>
      </c>
      <c r="D15" s="14" t="s">
        <v>91</v>
      </c>
    </row>
    <row r="16" x14ac:dyDescent="0.25">
      <c r="A16" s="189" t="s">
        <v>115</v>
      </c>
      <c r="B16" s="8" t="s">
        <v>98</v>
      </c>
      <c r="C16" s="25">
        <v>860528.37060000002</v>
      </c>
      <c r="D16" s="16" t="s">
        <v>91</v>
      </c>
    </row>
    <row r="17" x14ac:dyDescent="0.25">
      <c r="A17" s="190"/>
      <c r="B17" s="7" t="s">
        <v>99</v>
      </c>
      <c r="C17" s="155">
        <v>2222893.7189000002</v>
      </c>
      <c r="D17" s="14" t="s">
        <v>91</v>
      </c>
    </row>
    <row r="18" x14ac:dyDescent="0.25">
      <c r="A18" s="190"/>
      <c r="B18" s="7" t="s">
        <v>100</v>
      </c>
      <c r="C18" s="155">
        <v>55465.333599999998</v>
      </c>
      <c r="D18" s="14" t="s">
        <v>91</v>
      </c>
    </row>
    <row r="19" x14ac:dyDescent="0.25">
      <c r="A19" s="191"/>
      <c r="B19" s="6" t="s">
        <v>419</v>
      </c>
      <c r="C19" s="24">
        <v>5451682.2386999996</v>
      </c>
      <c r="D19" s="15" t="s">
        <v>91</v>
      </c>
    </row>
    <row r="20" ht="17.25" x14ac:dyDescent="0.25">
      <c r="A20" s="178" t="s">
        <v>116</v>
      </c>
      <c r="B20" s="142" t="s">
        <v>101</v>
      </c>
      <c r="C20" s="155">
        <v>107.6728</v>
      </c>
      <c r="D20" s="14" t="s">
        <v>112</v>
      </c>
    </row>
    <row r="21" ht="17.25" x14ac:dyDescent="0.25">
      <c r="A21" s="180"/>
      <c r="B21" s="2" t="s">
        <v>102</v>
      </c>
      <c r="C21" s="22">
        <v>0</v>
      </c>
      <c r="D21" s="15" t="s">
        <v>112</v>
      </c>
    </row>
    <row r="22" ht="15" customHeight="true" x14ac:dyDescent="0.25">
      <c r="A22" s="28" t="s">
        <v>117</v>
      </c>
      <c r="B22" s="156" t="s">
        <v>103</v>
      </c>
      <c r="C22" s="157">
        <v>178049.40090000001</v>
      </c>
      <c r="D22" s="158" t="s">
        <v>87</v>
      </c>
    </row>
    <row r="23" x14ac:dyDescent="0.25">
      <c r="A23" s="184" t="s">
        <v>118</v>
      </c>
      <c r="B23" s="159" t="s">
        <v>104</v>
      </c>
      <c r="C23" s="160">
        <v>0.13825000000000001</v>
      </c>
      <c r="D23" s="161" t="s">
        <v>108</v>
      </c>
    </row>
    <row r="24" x14ac:dyDescent="0.25">
      <c r="A24" s="185"/>
      <c r="B24" s="20" t="s">
        <v>105</v>
      </c>
      <c r="C24" s="21">
        <v>0.29670999999999997</v>
      </c>
      <c r="D24" s="14" t="s">
        <v>108</v>
      </c>
    </row>
    <row r="25" x14ac:dyDescent="0.25">
      <c r="A25" s="185"/>
      <c r="B25" s="20" t="s">
        <v>106</v>
      </c>
      <c r="C25" s="21">
        <v>0.35308</v>
      </c>
      <c r="D25" s="14" t="s">
        <v>108</v>
      </c>
    </row>
    <row r="26" x14ac:dyDescent="0.25">
      <c r="A26" s="186"/>
      <c r="B26" s="2" t="s">
        <v>107</v>
      </c>
      <c r="C26" s="22">
        <v>0.20193</v>
      </c>
      <c r="D26" s="15" t="s">
        <v>108</v>
      </c>
    </row>
    <row r="27" x14ac:dyDescent="0.25">
      <c r="A27" s="192" t="s">
        <v>146</v>
      </c>
      <c r="B27" s="193"/>
      <c r="C27" s="193"/>
      <c r="D27" s="194"/>
    </row>
    <row r="28" x14ac:dyDescent="0.25">
      <c r="A28" s="34" t="s">
        <v>38</v>
      </c>
      <c r="B28" s="34" t="s">
        <v>0</v>
      </c>
      <c r="C28" s="34" t="s">
        <v>1</v>
      </c>
      <c r="D28" s="34" t="s">
        <v>2</v>
      </c>
    </row>
    <row r="29" x14ac:dyDescent="0.25">
      <c r="A29" s="181" t="s">
        <v>119</v>
      </c>
      <c r="B29" s="23" t="s">
        <v>145</v>
      </c>
      <c r="C29" s="25">
        <v>3517229.2017999999</v>
      </c>
      <c r="D29" s="39" t="s">
        <v>89</v>
      </c>
    </row>
    <row r="30" x14ac:dyDescent="0.25">
      <c r="A30" s="181"/>
      <c r="B30" s="35" t="s">
        <v>144</v>
      </c>
      <c r="C30" s="36">
        <v>1102056.9845</v>
      </c>
      <c r="D30" s="40" t="s">
        <v>89</v>
      </c>
    </row>
    <row r="31" x14ac:dyDescent="0.25">
      <c r="A31" s="181"/>
      <c r="B31" s="35" t="s">
        <v>143</v>
      </c>
      <c r="C31" s="36">
        <v>84063137.378800005</v>
      </c>
      <c r="D31" s="40" t="s">
        <v>89</v>
      </c>
    </row>
    <row r="32" x14ac:dyDescent="0.25">
      <c r="A32" s="181"/>
      <c r="B32" s="2" t="s">
        <v>142</v>
      </c>
      <c r="C32" s="24">
        <v>16648342.500299999</v>
      </c>
      <c r="D32" s="41" t="s">
        <v>91</v>
      </c>
    </row>
    <row r="33" x14ac:dyDescent="0.25">
      <c r="A33" s="181" t="s">
        <v>129</v>
      </c>
      <c r="B33" s="23" t="s">
        <v>140</v>
      </c>
      <c r="C33" s="25">
        <v>16334260.851299999</v>
      </c>
      <c r="D33" s="39" t="s">
        <v>133</v>
      </c>
    </row>
    <row r="34" x14ac:dyDescent="0.25">
      <c r="A34" s="181"/>
      <c r="B34" s="35" t="s">
        <v>139</v>
      </c>
      <c r="C34" s="36">
        <v>3618629.5271000001</v>
      </c>
      <c r="D34" s="40" t="s">
        <v>133</v>
      </c>
    </row>
    <row r="35" x14ac:dyDescent="0.25">
      <c r="A35" s="181"/>
      <c r="B35" s="35" t="s">
        <v>141</v>
      </c>
      <c r="C35" s="36">
        <v>58788881.682499997</v>
      </c>
      <c r="D35" s="40" t="s">
        <v>133</v>
      </c>
    </row>
    <row r="36" x14ac:dyDescent="0.25">
      <c r="A36" s="181"/>
      <c r="B36" s="35" t="s">
        <v>140</v>
      </c>
      <c r="C36" s="36">
        <v>18073355.210200001</v>
      </c>
      <c r="D36" s="40" t="s">
        <v>134</v>
      </c>
    </row>
    <row r="37" x14ac:dyDescent="0.25">
      <c r="A37" s="181"/>
      <c r="B37" s="35" t="s">
        <v>139</v>
      </c>
      <c r="C37" s="36">
        <v>3618629.5271000001</v>
      </c>
      <c r="D37" s="40" t="s">
        <v>134</v>
      </c>
    </row>
    <row r="38" x14ac:dyDescent="0.25">
      <c r="A38" s="181"/>
      <c r="B38" s="35" t="s">
        <v>120</v>
      </c>
      <c r="C38" s="36">
        <v>21691984.737300001</v>
      </c>
      <c r="D38" s="40" t="s">
        <v>134</v>
      </c>
    </row>
    <row r="39" x14ac:dyDescent="0.25">
      <c r="A39" s="181"/>
      <c r="B39" s="2" t="s">
        <v>121</v>
      </c>
      <c r="C39" s="24">
        <v>2656724746.0955</v>
      </c>
      <c r="D39" s="41" t="s">
        <v>135</v>
      </c>
    </row>
    <row r="40" x14ac:dyDescent="0.25">
      <c r="A40" s="181" t="s">
        <v>130</v>
      </c>
      <c r="B40" s="23" t="s">
        <v>122</v>
      </c>
      <c r="C40" s="25">
        <v>35067811.7641</v>
      </c>
      <c r="D40" s="39" t="s">
        <v>89</v>
      </c>
    </row>
    <row r="41" x14ac:dyDescent="0.25">
      <c r="A41" s="181"/>
      <c r="B41" s="35" t="s">
        <v>123</v>
      </c>
      <c r="C41" s="36">
        <v>4385391.0389</v>
      </c>
      <c r="D41" s="40" t="s">
        <v>89</v>
      </c>
    </row>
    <row r="42" x14ac:dyDescent="0.25">
      <c r="A42" s="181"/>
      <c r="B42" s="2" t="s">
        <v>124</v>
      </c>
      <c r="C42" s="24">
        <v>2464304.4945999999</v>
      </c>
      <c r="D42" s="41" t="s">
        <v>89</v>
      </c>
    </row>
    <row r="43" x14ac:dyDescent="0.25">
      <c r="A43" s="181" t="s">
        <v>131</v>
      </c>
      <c r="B43" s="23" t="s">
        <v>125</v>
      </c>
      <c r="C43" s="27">
        <v>0.50202999999999998</v>
      </c>
      <c r="D43" s="39" t="s">
        <v>136</v>
      </c>
    </row>
    <row r="44" x14ac:dyDescent="0.25">
      <c r="A44" s="181"/>
      <c r="B44" s="35" t="s">
        <v>126</v>
      </c>
      <c r="C44" s="37">
        <v>0.11226999999999999</v>
      </c>
      <c r="D44" s="40" t="s">
        <v>136</v>
      </c>
    </row>
    <row r="45" x14ac:dyDescent="0.25">
      <c r="A45" s="181"/>
      <c r="B45" s="35" t="s">
        <v>127</v>
      </c>
      <c r="C45" s="37">
        <v>0.13874</v>
      </c>
      <c r="D45" s="40" t="s">
        <v>136</v>
      </c>
    </row>
    <row r="46" x14ac:dyDescent="0.25">
      <c r="A46" s="181"/>
      <c r="B46" s="2" t="s">
        <v>128</v>
      </c>
      <c r="C46" s="22">
        <v>0.15973999999999999</v>
      </c>
      <c r="D46" s="41" t="s">
        <v>136</v>
      </c>
    </row>
    <row r="47" x14ac:dyDescent="0.25">
      <c r="A47" s="32" t="s">
        <v>132</v>
      </c>
      <c r="B47" s="26" t="s">
        <v>138</v>
      </c>
      <c r="C47" s="38">
        <v>46525431.3072</v>
      </c>
      <c r="D47" s="42" t="s">
        <v>137</v>
      </c>
    </row>
  </sheetData>
  <mergeCells count="12">
    <mergeCell ref="A29:A32"/>
    <mergeCell ref="A33:A39"/>
    <mergeCell ref="A40:A42"/>
    <mergeCell ref="A43:A46"/>
    <mergeCell ref="A27:D27"/>
    <mergeCell ref="A20:A21"/>
    <mergeCell ref="A23:A26"/>
    <mergeCell ref="A1:D1"/>
    <mergeCell ref="A3:A9"/>
    <mergeCell ref="A10:A12"/>
    <mergeCell ref="A13:A15"/>
    <mergeCell ref="A16:A19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F556A-6DF5-4F60-BF5E-5959344F9AC4}">
  <sheetPr codeName="Sheet2"/>
  <dimension ref="A1:Q110"/>
  <sheetViews>
    <sheetView topLeftCell="H1" zoomScale="85" zoomScaleNormal="85" workbookViewId="0">
      <selection activeCell="Q1" sqref="Q1:Q12"/>
    </sheetView>
  </sheetViews>
  <sheetFormatPr defaultRowHeight="15" x14ac:dyDescent="0.25"/>
  <cols>
    <col min="1" max="1" width="27.28515625" customWidth="true"/>
    <col min="2" max="2" width="39.5703125" customWidth="true"/>
    <col min="3" max="3" width="17.85546875" customWidth="true"/>
    <col min="4" max="4" width="16.140625" bestFit="true" customWidth="true"/>
    <col min="5" max="5" width="12.28515625" bestFit="true" customWidth="true"/>
    <col min="6" max="6" width="42.85546875" bestFit="true" customWidth="true"/>
    <col min="7" max="7" width="37.28515625" customWidth="true"/>
    <col min="8" max="8" width="16.5703125" customWidth="true"/>
    <col min="9" max="9" width="18.42578125" customWidth="true"/>
    <col min="11" max="11" width="38" bestFit="true" customWidth="true"/>
    <col min="12" max="12" width="23.28515625" bestFit="true" customWidth="true"/>
    <col min="13" max="13" width="28.28515625" bestFit="true" customWidth="true"/>
    <col min="14" max="14" width="21.85546875" bestFit="true" customWidth="true"/>
    <col min="15" max="15" width="27.5703125" bestFit="true" customWidth="true"/>
    <col min="16" max="16" width="29.85546875" bestFit="true" customWidth="true"/>
  </cols>
  <sheetData>
    <row r="1" x14ac:dyDescent="0.25">
      <c r="A1" s="196" t="s">
        <v>212</v>
      </c>
      <c r="B1" s="196"/>
      <c r="C1" s="196"/>
      <c r="D1" s="196"/>
      <c r="F1" s="196" t="s">
        <v>218</v>
      </c>
      <c r="G1" s="196"/>
      <c r="H1" s="196"/>
      <c r="I1" s="196"/>
      <c r="K1" s="196" t="s">
        <v>297</v>
      </c>
      <c r="L1" s="196"/>
      <c r="M1" s="196"/>
      <c r="N1" s="196"/>
      <c r="P1" s="172" t="s">
        <v>290</v>
      </c>
      <c r="Q1" s="173">
        <f>N3</f>
        <v>44.626225214172749</v>
      </c>
    </row>
    <row r="2" x14ac:dyDescent="0.25">
      <c r="A2" s="61" t="s">
        <v>38</v>
      </c>
      <c r="B2" s="59" t="s">
        <v>151</v>
      </c>
      <c r="C2" s="60" t="s">
        <v>1</v>
      </c>
      <c r="D2" s="60" t="s">
        <v>2</v>
      </c>
      <c r="F2" s="61" t="s">
        <v>38</v>
      </c>
      <c r="G2" s="59" t="s">
        <v>284</v>
      </c>
      <c r="H2" s="60" t="s">
        <v>1</v>
      </c>
      <c r="I2" s="60" t="s">
        <v>2</v>
      </c>
      <c r="K2" s="59" t="s">
        <v>61</v>
      </c>
      <c r="L2" s="60" t="s">
        <v>289</v>
      </c>
      <c r="M2" s="60" t="s">
        <v>288</v>
      </c>
      <c r="N2" s="60" t="s">
        <v>296</v>
      </c>
      <c r="P2" s="174" t="s">
        <v>220</v>
      </c>
      <c r="Q2" s="175">
        <f>$N$4*(H3/$H$11)</f>
        <v>51.404980946617954</v>
      </c>
    </row>
    <row r="3" x14ac:dyDescent="0.25">
      <c r="A3" s="181" t="s">
        <v>152</v>
      </c>
      <c r="B3" s="23" t="s">
        <v>161</v>
      </c>
      <c r="C3" s="43">
        <v>74760783.783199996</v>
      </c>
      <c r="D3" s="47" t="str">
        <f>CONCATENATE("Cost (",'Model Inputs'!$C$32," USD)")</f>
        <v>Cost (2019 USD)</v>
      </c>
      <c r="F3" s="181" t="s">
        <v>119</v>
      </c>
      <c r="G3" s="23" t="s">
        <v>220</v>
      </c>
      <c r="H3" s="43">
        <v>5996038.1200000001</v>
      </c>
      <c r="I3" s="47" t="str">
        <f>CONCATENATE("(",'Model Inputs'!$C$32," USD)/yr")</f>
        <v>(2019 USD)/yr</v>
      </c>
      <c r="K3" s="8" t="s">
        <v>290</v>
      </c>
      <c r="L3" s="43">
        <v>42726345.31508901</v>
      </c>
      <c r="M3" s="89">
        <f>L3/$L$7</f>
        <v>7.1516981724453421E-2</v>
      </c>
      <c r="N3" s="86">
        <f>M3*$L$8</f>
        <v>44.626225214172749</v>
      </c>
      <c r="P3" s="174" t="s">
        <v>221</v>
      </c>
      <c r="Q3" s="175">
        <f t="shared" ref="Q3:Q9" si="0">$N$4*(H4/$H$11)</f>
        <v>30.430545151468145</v>
      </c>
    </row>
    <row r="4" x14ac:dyDescent="0.25">
      <c r="A4" s="181"/>
      <c r="B4" s="44" t="s">
        <v>162</v>
      </c>
      <c r="C4" s="45">
        <v>2303380.3810000001</v>
      </c>
      <c r="D4" s="48" t="str">
        <f>CONCATENATE("Cost (",'Model Inputs'!$C$32," USD)")</f>
        <v>Cost (2019 USD)</v>
      </c>
      <c r="F4" s="181"/>
      <c r="G4" s="44" t="s">
        <v>221</v>
      </c>
      <c r="H4" s="45">
        <v>3508312.8311000001</v>
      </c>
      <c r="I4" s="48" t="str">
        <f>CONCATENATE("(",'Model Inputs'!$C$32," USD)/yr")</f>
        <v>(2019 USD)/yr</v>
      </c>
      <c r="K4" s="7" t="s">
        <v>291</v>
      </c>
      <c r="L4" s="90">
        <v>373700929.35242969</v>
      </c>
      <c r="M4" s="87">
        <f t="shared" ref="M4:M7" si="1">L4/$L$7</f>
        <v>0.58755064076389785</v>
      </c>
      <c r="N4" s="91">
        <f t="shared" ref="N4:N6" si="2">M4*$L$8</f>
        <v>366.62854873384413</v>
      </c>
      <c r="P4" s="174" t="s">
        <v>222</v>
      </c>
      <c r="Q4" s="175">
        <f t="shared" si="0"/>
        <v>14.107489169352981</v>
      </c>
    </row>
    <row r="5" x14ac:dyDescent="0.25">
      <c r="A5" s="181"/>
      <c r="B5" s="44" t="s">
        <v>163</v>
      </c>
      <c r="C5" s="45">
        <v>33744141.642099999</v>
      </c>
      <c r="D5" s="48" t="str">
        <f>CONCATENATE("Cost (",'Model Inputs'!$C$32," USD)")</f>
        <v>Cost (2019 USD)</v>
      </c>
      <c r="F5" s="181"/>
      <c r="G5" s="44" t="s">
        <v>222</v>
      </c>
      <c r="H5" s="45">
        <v>1626440.9664</v>
      </c>
      <c r="I5" s="48" t="str">
        <f>CONCATENATE("(",'Model Inputs'!$C$32," USD)/yr")</f>
        <v>(2019 USD)/yr</v>
      </c>
      <c r="K5" s="7" t="s">
        <v>292</v>
      </c>
      <c r="L5" s="90">
        <v>174333600.85082299</v>
      </c>
      <c r="M5" s="87">
        <f t="shared" si="1"/>
        <v>0.29335800885580166</v>
      </c>
      <c r="N5" s="91">
        <f t="shared" si="2"/>
        <v>183.05387414167109</v>
      </c>
      <c r="P5" s="174" t="s">
        <v>223</v>
      </c>
      <c r="Q5" s="175">
        <f t="shared" si="0"/>
        <v>137.71031162436148</v>
      </c>
    </row>
    <row r="6" x14ac:dyDescent="0.25">
      <c r="A6" s="181"/>
      <c r="B6" s="44" t="s">
        <v>164</v>
      </c>
      <c r="C6" s="45">
        <v>4165292.4838999999</v>
      </c>
      <c r="D6" s="48" t="str">
        <f>CONCATENATE("Cost (",'Model Inputs'!$C$32," USD)")</f>
        <v>Cost (2019 USD)</v>
      </c>
      <c r="F6" s="181"/>
      <c r="G6" s="2" t="s">
        <v>223</v>
      </c>
      <c r="H6" s="46">
        <v>15668347.276000001</v>
      </c>
      <c r="I6" s="49" t="str">
        <f>CONCATENATE("(",'Model Inputs'!$C$32," USD)/yr")</f>
        <v>(2019 USD)/yr</v>
      </c>
      <c r="K6" s="7" t="s">
        <v>160</v>
      </c>
      <c r="L6" s="90">
        <v>29091668.113200005</v>
      </c>
      <c r="M6" s="87">
        <f t="shared" si="1"/>
        <v>4.7574368655847091E-2</v>
      </c>
      <c r="N6" s="91">
        <f t="shared" si="2"/>
        <v>29.686158991410355</v>
      </c>
      <c r="P6" s="174" t="s">
        <v>224</v>
      </c>
      <c r="Q6" s="175">
        <f t="shared" si="0"/>
        <v>40.941593058105475</v>
      </c>
    </row>
    <row r="7" x14ac:dyDescent="0.25">
      <c r="A7" s="181"/>
      <c r="B7" s="44" t="s">
        <v>165</v>
      </c>
      <c r="C7" s="45">
        <v>43429501.171700001</v>
      </c>
      <c r="D7" s="48" t="str">
        <f>CONCATENATE("Cost (",'Model Inputs'!$C$32," USD)")</f>
        <v>Cost (2019 USD)</v>
      </c>
      <c r="F7" s="181" t="s">
        <v>224</v>
      </c>
      <c r="G7" s="23" t="s">
        <v>224</v>
      </c>
      <c r="H7" s="43">
        <v>4361224.4435999999</v>
      </c>
      <c r="I7" s="47" t="str">
        <f>CONCATENATE("(",'Model Inputs'!$C$32," USD)/yr")</f>
        <v>(2019 USD)/yr</v>
      </c>
      <c r="K7" s="6" t="s">
        <v>295</v>
      </c>
      <c r="L7" s="46">
        <v>619852543.63154161</v>
      </c>
      <c r="M7" s="92">
        <f t="shared" si="1"/>
        <v>1</v>
      </c>
      <c r="N7" s="88">
        <f>SUM(N3:N6)</f>
        <v>623.99480708109832</v>
      </c>
      <c r="P7" s="174" t="s">
        <v>225</v>
      </c>
      <c r="Q7" s="175">
        <f t="shared" si="0"/>
        <v>36.847433752858187</v>
      </c>
    </row>
    <row r="8" x14ac:dyDescent="0.25">
      <c r="A8" s="181"/>
      <c r="B8" s="44" t="s">
        <v>166</v>
      </c>
      <c r="C8" s="45">
        <v>527252.2132</v>
      </c>
      <c r="D8" s="48" t="str">
        <f>CONCATENATE("Cost (",'Model Inputs'!$C$32," USD)")</f>
        <v>Cost (2019 USD)</v>
      </c>
      <c r="F8" s="181"/>
      <c r="G8" s="2" t="s">
        <v>225</v>
      </c>
      <c r="H8" s="46">
        <v>3925101.9992999998</v>
      </c>
      <c r="I8" s="49" t="str">
        <f>CONCATENATE("(",'Model Inputs'!$C$32," USD)/yr")</f>
        <v>(2019 USD)/yr</v>
      </c>
      <c r="K8" s="83" t="s">
        <v>293</v>
      </c>
      <c r="L8" s="93">
        <v>548.42394496855059</v>
      </c>
      <c r="M8" s="84" t="s">
        <v>294</v>
      </c>
      <c r="P8" s="174" t="s">
        <v>226</v>
      </c>
      <c r="Q8" s="175">
        <f t="shared" si="0"/>
        <v>27.817578695390985</v>
      </c>
    </row>
    <row r="9" x14ac:dyDescent="0.25">
      <c r="A9" s="181"/>
      <c r="B9" s="44" t="s">
        <v>167</v>
      </c>
      <c r="C9" s="45">
        <v>3084952.6992000001</v>
      </c>
      <c r="D9" s="48" t="str">
        <f>CONCATENATE("Cost (",'Model Inputs'!$C$32," USD)")</f>
        <v>Cost (2019 USD)</v>
      </c>
      <c r="F9" s="181" t="s">
        <v>228</v>
      </c>
      <c r="G9" s="23" t="s">
        <v>226</v>
      </c>
      <c r="H9" s="43">
        <v>2702537.6299999999</v>
      </c>
      <c r="I9" s="47" t="str">
        <f>CONCATENATE("(",'Model Inputs'!$C$32," USD)/yr")</f>
        <v>(2019 USD)/yr</v>
      </c>
      <c r="P9" s="174" t="s">
        <v>227</v>
      </c>
      <c r="Q9" s="175">
        <f t="shared" si="0"/>
        <v>27.368616335688877</v>
      </c>
    </row>
    <row r="10" x14ac:dyDescent="0.25">
      <c r="A10" s="181"/>
      <c r="B10" s="44" t="s">
        <v>168</v>
      </c>
      <c r="C10" s="45">
        <v>17335420.066</v>
      </c>
      <c r="D10" s="48" t="str">
        <f>CONCATENATE("Cost (",'Model Inputs'!$C$32," USD)")</f>
        <v>Cost (2019 USD)</v>
      </c>
      <c r="F10" s="181"/>
      <c r="G10" s="2" t="s">
        <v>227</v>
      </c>
      <c r="H10" s="46">
        <v>2833244.8132000002</v>
      </c>
      <c r="I10" s="49" t="str">
        <f>CONCATENATE("(",'Model Inputs'!$C$32," USD)/yr")</f>
        <v>(2019 USD)/yr</v>
      </c>
      <c r="P10" s="174" t="s">
        <v>292</v>
      </c>
      <c r="Q10" s="175">
        <f>N5</f>
        <v>183.05387414167109</v>
      </c>
    </row>
    <row r="11" x14ac:dyDescent="0.25">
      <c r="A11" s="181"/>
      <c r="B11" s="2" t="s">
        <v>213</v>
      </c>
      <c r="C11" s="46">
        <v>186575107.9023</v>
      </c>
      <c r="D11" s="49" t="str">
        <f>CONCATENATE("Cost (",'Model Inputs'!$C$32," USD)")</f>
        <v>Cost (2019 USD)</v>
      </c>
      <c r="F11" s="52" t="s">
        <v>229</v>
      </c>
      <c r="G11" s="53" t="s">
        <v>219</v>
      </c>
      <c r="H11" s="54">
        <v>40621248.079599999</v>
      </c>
      <c r="I11" s="62" t="str">
        <f>CONCATENATE("(",'Model Inputs'!$C$32," USD)/yr")</f>
        <v>(2019 USD)/yr</v>
      </c>
      <c r="P11" s="174" t="s">
        <v>160</v>
      </c>
      <c r="Q11" s="175">
        <f t="shared" ref="Q11:Q12" si="3">N6</f>
        <v>29.686158991410355</v>
      </c>
    </row>
    <row r="12" ht="15.75" thickBot="true" x14ac:dyDescent="0.3">
      <c r="A12" s="181" t="s">
        <v>153</v>
      </c>
      <c r="B12" s="23" t="s">
        <v>169</v>
      </c>
      <c r="C12" s="43">
        <v>677107.03579999995</v>
      </c>
      <c r="D12" s="47" t="str">
        <f>CONCATENATE("Cost (",'Model Inputs'!$C$32," USD)")</f>
        <v>Cost (2019 USD)</v>
      </c>
      <c r="P12" s="176" t="s">
        <v>295</v>
      </c>
      <c r="Q12" s="177">
        <f t="shared" si="3"/>
        <v>623.99480708109832</v>
      </c>
    </row>
    <row r="13" x14ac:dyDescent="0.25">
      <c r="A13" s="181"/>
      <c r="B13" s="44" t="s">
        <v>170</v>
      </c>
      <c r="C13" s="45">
        <v>1316319.6114000001</v>
      </c>
      <c r="D13" s="48" t="str">
        <f>CONCATENATE("Cost (",'Model Inputs'!$C$32," USD)")</f>
        <v>Cost (2019 USD)</v>
      </c>
    </row>
    <row r="14" x14ac:dyDescent="0.25">
      <c r="A14" s="181"/>
      <c r="B14" s="44" t="s">
        <v>171</v>
      </c>
      <c r="C14" s="45">
        <v>6638829.3442000002</v>
      </c>
      <c r="D14" s="48" t="str">
        <f>CONCATENATE("Cost (",'Model Inputs'!$C$32," USD)")</f>
        <v>Cost (2019 USD)</v>
      </c>
    </row>
    <row r="15" x14ac:dyDescent="0.25">
      <c r="A15" s="181"/>
      <c r="B15" s="44" t="s">
        <v>172</v>
      </c>
      <c r="C15" s="45">
        <v>758614.38970000006</v>
      </c>
      <c r="D15" s="48" t="str">
        <f>CONCATENATE("Cost (",'Model Inputs'!$C$32," USD)")</f>
        <v>Cost (2019 USD)</v>
      </c>
    </row>
    <row r="16" x14ac:dyDescent="0.25">
      <c r="A16" s="181"/>
      <c r="B16" s="44" t="s">
        <v>173</v>
      </c>
      <c r="C16" s="45">
        <v>3520218.3821999999</v>
      </c>
      <c r="D16" s="48" t="str">
        <f>CONCATENATE("Cost (",'Model Inputs'!$C$32," USD)")</f>
        <v>Cost (2019 USD)</v>
      </c>
    </row>
    <row r="17" x14ac:dyDescent="0.25">
      <c r="A17" s="181"/>
      <c r="B17" s="44" t="s">
        <v>174</v>
      </c>
      <c r="C17" s="45">
        <v>3793070.5776999998</v>
      </c>
      <c r="D17" s="48" t="str">
        <f>CONCATENATE("Cost (",'Model Inputs'!$C$32," USD)")</f>
        <v>Cost (2019 USD)</v>
      </c>
    </row>
    <row r="18" x14ac:dyDescent="0.25">
      <c r="A18" s="181"/>
      <c r="B18" s="2" t="s">
        <v>175</v>
      </c>
      <c r="C18" s="46">
        <v>16704159.3409</v>
      </c>
      <c r="D18" s="49" t="str">
        <f>CONCATENATE("Cost (",'Model Inputs'!$C$32," USD)")</f>
        <v>Cost (2019 USD)</v>
      </c>
    </row>
    <row r="19" x14ac:dyDescent="0.25">
      <c r="A19" s="181" t="s">
        <v>154</v>
      </c>
      <c r="B19" s="23" t="s">
        <v>176</v>
      </c>
      <c r="C19" s="43">
        <v>3613152.0427000001</v>
      </c>
      <c r="D19" s="47" t="str">
        <f>CONCATENATE("Cost (",'Model Inputs'!$C$32," USD)")</f>
        <v>Cost (2019 USD)</v>
      </c>
    </row>
    <row r="20" x14ac:dyDescent="0.25">
      <c r="A20" s="181"/>
      <c r="B20" s="44" t="s">
        <v>177</v>
      </c>
      <c r="C20" s="45">
        <v>400561.92479999998</v>
      </c>
      <c r="D20" s="48" t="str">
        <f>CONCATENATE("Cost (",'Model Inputs'!$C$32," USD)")</f>
        <v>Cost (2019 USD)</v>
      </c>
      <c r="M20" s="85"/>
    </row>
    <row r="21" x14ac:dyDescent="0.25">
      <c r="A21" s="181"/>
      <c r="B21" s="44" t="s">
        <v>178</v>
      </c>
      <c r="C21" s="45">
        <v>5365037.5798000004</v>
      </c>
      <c r="D21" s="48" t="str">
        <f>CONCATENATE("Cost (",'Model Inputs'!$C$32," USD)")</f>
        <v>Cost (2019 USD)</v>
      </c>
      <c r="M21" s="85"/>
    </row>
    <row r="22" x14ac:dyDescent="0.25">
      <c r="A22" s="181"/>
      <c r="B22" s="44" t="s">
        <v>179</v>
      </c>
      <c r="C22" s="45">
        <v>2945137.3632999999</v>
      </c>
      <c r="D22" s="48" t="str">
        <f>CONCATENATE("Cost (",'Model Inputs'!$C$32," USD)")</f>
        <v>Cost (2019 USD)</v>
      </c>
      <c r="M22" s="85"/>
    </row>
    <row r="23" x14ac:dyDescent="0.25">
      <c r="A23" s="181"/>
      <c r="B23" s="44" t="s">
        <v>180</v>
      </c>
      <c r="C23" s="45">
        <v>142688.88680000001</v>
      </c>
      <c r="D23" s="48" t="str">
        <f>CONCATENATE("Cost (",'Model Inputs'!$C$32," USD)")</f>
        <v>Cost (2019 USD)</v>
      </c>
      <c r="M23" s="85"/>
    </row>
    <row r="24" x14ac:dyDescent="0.25">
      <c r="A24" s="181"/>
      <c r="B24" s="44" t="s">
        <v>181</v>
      </c>
      <c r="C24" s="45">
        <v>191435.54269999999</v>
      </c>
      <c r="D24" s="48" t="str">
        <f>CONCATENATE("Cost (",'Model Inputs'!$C$32," USD)")</f>
        <v>Cost (2019 USD)</v>
      </c>
      <c r="M24" s="85"/>
    </row>
    <row r="25" x14ac:dyDescent="0.25">
      <c r="A25" s="181"/>
      <c r="B25" s="2" t="s">
        <v>182</v>
      </c>
      <c r="C25" s="46">
        <v>12658013.3402</v>
      </c>
      <c r="D25" s="49" t="str">
        <f>CONCATENATE("Cost (",'Model Inputs'!$C$32," USD)")</f>
        <v>Cost (2019 USD)</v>
      </c>
      <c r="M25" s="85"/>
    </row>
    <row r="26" x14ac:dyDescent="0.25">
      <c r="A26" s="187" t="s">
        <v>155</v>
      </c>
      <c r="B26" s="23" t="s">
        <v>183</v>
      </c>
      <c r="C26" s="43">
        <v>527252.2132</v>
      </c>
      <c r="D26" s="47" t="str">
        <f>CONCATENATE("Cost (",'Model Inputs'!$C$32," USD)")</f>
        <v>Cost (2019 USD)</v>
      </c>
      <c r="M26" s="85"/>
    </row>
    <row r="27" x14ac:dyDescent="0.25">
      <c r="A27" s="187"/>
      <c r="B27" s="44" t="s">
        <v>184</v>
      </c>
      <c r="C27" s="45">
        <v>1368546.5914</v>
      </c>
      <c r="D27" s="48" t="str">
        <f>CONCATENATE("Cost (",'Model Inputs'!$C$32," USD)")</f>
        <v>Cost (2019 USD)</v>
      </c>
      <c r="M27" s="85"/>
    </row>
    <row r="28" x14ac:dyDescent="0.25">
      <c r="A28" s="187"/>
      <c r="B28" s="44" t="s">
        <v>185</v>
      </c>
      <c r="C28" s="45">
        <v>1311813.9683999999</v>
      </c>
      <c r="D28" s="48" t="str">
        <f>CONCATENATE("Cost (",'Model Inputs'!$C$32," USD)")</f>
        <v>Cost (2019 USD)</v>
      </c>
      <c r="M28" s="85"/>
    </row>
    <row r="29" x14ac:dyDescent="0.25">
      <c r="A29" s="187"/>
      <c r="B29" s="44" t="s">
        <v>186</v>
      </c>
      <c r="C29" s="45">
        <v>838969.26340000005</v>
      </c>
      <c r="D29" s="48" t="str">
        <f>CONCATENATE("Cost (",'Model Inputs'!$C$32," USD)")</f>
        <v>Cost (2019 USD)</v>
      </c>
      <c r="M29" s="85"/>
    </row>
    <row r="30" x14ac:dyDescent="0.25">
      <c r="A30" s="187"/>
      <c r="B30" s="44" t="s">
        <v>187</v>
      </c>
      <c r="C30" s="45">
        <v>683936.63509999996</v>
      </c>
      <c r="D30" s="48" t="str">
        <f>CONCATENATE("Cost (",'Model Inputs'!$C$32," USD)")</f>
        <v>Cost (2019 USD)</v>
      </c>
      <c r="M30" s="85"/>
    </row>
    <row r="31" x14ac:dyDescent="0.25">
      <c r="A31" s="187"/>
      <c r="B31" s="44" t="s">
        <v>188</v>
      </c>
      <c r="C31" s="45">
        <v>544730.46259999997</v>
      </c>
      <c r="D31" s="48" t="str">
        <f>CONCATENATE("Cost (",'Model Inputs'!$C$32," USD)")</f>
        <v>Cost (2019 USD)</v>
      </c>
      <c r="M31" s="85"/>
    </row>
    <row r="32" x14ac:dyDescent="0.25">
      <c r="A32" s="187"/>
      <c r="B32" s="44" t="s">
        <v>189</v>
      </c>
      <c r="C32" s="45">
        <v>464586.85119999998</v>
      </c>
      <c r="D32" s="48" t="str">
        <f>CONCATENATE("Cost (",'Model Inputs'!$C$32," USD)")</f>
        <v>Cost (2019 USD)</v>
      </c>
      <c r="M32" s="85"/>
    </row>
    <row r="33" x14ac:dyDescent="0.25">
      <c r="A33" s="187"/>
      <c r="B33" s="44" t="s">
        <v>190</v>
      </c>
      <c r="C33" s="45">
        <v>2052749.7508</v>
      </c>
      <c r="D33" s="48" t="str">
        <f>CONCATENATE("Cost (",'Model Inputs'!$C$32," USD)")</f>
        <v>Cost (2019 USD)</v>
      </c>
      <c r="M33" s="85"/>
    </row>
    <row r="34" x14ac:dyDescent="0.25">
      <c r="A34" s="187"/>
      <c r="B34" s="44" t="s">
        <v>147</v>
      </c>
      <c r="C34" s="44">
        <v>27</v>
      </c>
      <c r="D34" s="48" t="s">
        <v>217</v>
      </c>
      <c r="M34" s="85"/>
    </row>
    <row r="35" x14ac:dyDescent="0.25">
      <c r="A35" s="187"/>
      <c r="B35" s="44" t="s">
        <v>191</v>
      </c>
      <c r="C35" s="45">
        <v>526490.20550000004</v>
      </c>
      <c r="D35" s="48" t="str">
        <f>CONCATENATE("Cost (",'Model Inputs'!$C$32," USD)")</f>
        <v>Cost (2019 USD)</v>
      </c>
      <c r="M35" s="85"/>
    </row>
    <row r="36" x14ac:dyDescent="0.25">
      <c r="A36" s="187"/>
      <c r="B36" s="2" t="s">
        <v>214</v>
      </c>
      <c r="C36" s="46">
        <v>8319075.9415999996</v>
      </c>
      <c r="D36" s="49" t="str">
        <f>CONCATENATE("Cost (",'Model Inputs'!$C$32," USD)")</f>
        <v>Cost (2019 USD)</v>
      </c>
      <c r="L36" s="167" t="s">
        <v>424</v>
      </c>
      <c r="M36" s="167" t="s">
        <v>425</v>
      </c>
      <c r="N36" s="164" t="s">
        <v>426</v>
      </c>
      <c r="O36" s="167" t="s">
        <v>427</v>
      </c>
    </row>
    <row r="37" x14ac:dyDescent="0.25">
      <c r="A37" s="181" t="s">
        <v>156</v>
      </c>
      <c r="B37" s="23" t="s">
        <v>192</v>
      </c>
      <c r="C37" s="43">
        <v>11750742.8278</v>
      </c>
      <c r="D37" s="47" t="str">
        <f>CONCATENATE("Cost (",'Model Inputs'!$C$32," USD)")</f>
        <v>Cost (2019 USD)</v>
      </c>
      <c r="L37" s="167" t="s">
        <v>421</v>
      </c>
      <c r="M37" s="167" t="s">
        <v>423</v>
      </c>
      <c r="N37" s="164" t="s">
        <v>422</v>
      </c>
      <c r="O37" s="167" t="s">
        <v>422</v>
      </c>
    </row>
    <row r="38" x14ac:dyDescent="0.25">
      <c r="A38" s="181"/>
      <c r="B38" s="44" t="s">
        <v>193</v>
      </c>
      <c r="C38" s="45">
        <v>6945006.8269999996</v>
      </c>
      <c r="D38" s="48" t="str">
        <f>CONCATENATE("Cost (",'Model Inputs'!$C$32," USD)")</f>
        <v>Cost (2019 USD)</v>
      </c>
      <c r="K38" s="59" t="s">
        <v>150</v>
      </c>
      <c r="L38" s="162">
        <f>C60</f>
        <v>416484172.54227501</v>
      </c>
      <c r="M38" s="165">
        <f>L38/(5000*4047)</f>
        <v>20.582365828627378</v>
      </c>
      <c r="N38" s="165">
        <f>L38/'Process Model Outputs'!$C$3</f>
        <v>2662.8238563798</v>
      </c>
      <c r="O38" s="165">
        <f>(L38/30)/'Process Model Outputs'!$C$3</f>
        <v>88.76079521266</v>
      </c>
    </row>
    <row r="39" x14ac:dyDescent="0.25">
      <c r="A39" s="181"/>
      <c r="B39" s="44" t="s">
        <v>193</v>
      </c>
      <c r="C39" s="45">
        <v>808650.46719999996</v>
      </c>
      <c r="D39" s="48" t="str">
        <f>CONCATENATE("Cost (",'Model Inputs'!$C$32," USD)")</f>
        <v>Cost (2019 USD)</v>
      </c>
      <c r="K39" s="169" t="s">
        <v>213</v>
      </c>
      <c r="L39" s="170">
        <f>C11</f>
        <v>186575107.9023</v>
      </c>
      <c r="M39" s="171">
        <f t="shared" ref="M39:M46" si="4">L39/(5000*4047)</f>
        <v>9.220415512839141</v>
      </c>
      <c r="N39" s="171">
        <f>L39/'Process Model Outputs'!$C$3</f>
        <v>1192.8824216686187</v>
      </c>
      <c r="O39" s="171">
        <f>(L39/30)/'Process Model Outputs'!$C$3</f>
        <v>39.762747388953954</v>
      </c>
    </row>
    <row r="40" x14ac:dyDescent="0.25">
      <c r="A40" s="181"/>
      <c r="B40" s="44" t="s">
        <v>194</v>
      </c>
      <c r="C40" s="45">
        <v>13563563.183499999</v>
      </c>
      <c r="D40" s="48" t="str">
        <f>CONCATENATE("Cost (",'Model Inputs'!$C$32," USD)")</f>
        <v>Cost (2019 USD)</v>
      </c>
      <c r="K40" s="169" t="s">
        <v>175</v>
      </c>
      <c r="L40" s="170">
        <f>C18</f>
        <v>16704159.3409</v>
      </c>
      <c r="M40" s="171">
        <f t="shared" si="4"/>
        <v>0.82550824516431931</v>
      </c>
      <c r="N40" s="171">
        <f>L40/'Process Model Outputs'!$C$3</f>
        <v>106.79933818902339</v>
      </c>
      <c r="O40" s="171">
        <f>(L40/30)/'Process Model Outputs'!$C$3</f>
        <v>3.5599779396341131</v>
      </c>
    </row>
    <row r="41" x14ac:dyDescent="0.25">
      <c r="A41" s="181"/>
      <c r="B41" s="44" t="s">
        <v>195</v>
      </c>
      <c r="C41" s="45">
        <v>137728.34650000001</v>
      </c>
      <c r="D41" s="48" t="str">
        <f>CONCATENATE("Cost (",'Model Inputs'!$C$32," USD)")</f>
        <v>Cost (2019 USD)</v>
      </c>
      <c r="K41" s="169" t="s">
        <v>182</v>
      </c>
      <c r="L41" s="170">
        <f>C25</f>
        <v>8503459.8478999995</v>
      </c>
      <c r="M41" s="171">
        <f t="shared" si="4"/>
        <v>0.42023522846058808</v>
      </c>
      <c r="N41" s="171">
        <f>L41/'Process Model Outputs'!$C$3</f>
        <v>54.367529998892039</v>
      </c>
      <c r="O41" s="171">
        <f>(L41/30)/'Process Model Outputs'!$C$3</f>
        <v>1.812250999963068</v>
      </c>
    </row>
    <row r="42" x14ac:dyDescent="0.25">
      <c r="A42" s="181"/>
      <c r="B42" s="44" t="s">
        <v>196</v>
      </c>
      <c r="C42" s="45">
        <v>16143068.5218</v>
      </c>
      <c r="D42" s="48" t="str">
        <f>CONCATENATE("Cost (",'Model Inputs'!$C$32," USD)")</f>
        <v>Cost (2019 USD)</v>
      </c>
      <c r="K42" s="169" t="s">
        <v>214</v>
      </c>
      <c r="L42" s="170">
        <f>C36</f>
        <v>7805390.4827750009</v>
      </c>
      <c r="M42" s="171">
        <f t="shared" si="4"/>
        <v>0.38573711306029163</v>
      </c>
      <c r="N42" s="171">
        <f>L42/'Process Model Outputs'!$C$3</f>
        <v>49.904369376205793</v>
      </c>
      <c r="O42" s="171">
        <f>(L42/30)/'Process Model Outputs'!$C$3</f>
        <v>1.6634789792068596</v>
      </c>
    </row>
    <row r="43" x14ac:dyDescent="0.25">
      <c r="A43" s="181"/>
      <c r="B43" s="44" t="s">
        <v>197</v>
      </c>
      <c r="C43" s="45">
        <v>3359768.0713999998</v>
      </c>
      <c r="D43" s="48" t="str">
        <f>CONCATENATE("Cost (",'Model Inputs'!$C$32," USD)")</f>
        <v>Cost (2019 USD)</v>
      </c>
      <c r="K43" s="169" t="s">
        <v>198</v>
      </c>
      <c r="L43" s="170">
        <f>C44</f>
        <v>62175782.387724996</v>
      </c>
      <c r="M43" s="171">
        <f t="shared" si="4"/>
        <v>3.0726850698159129</v>
      </c>
      <c r="N43" s="171">
        <f>L43/'Process Model Outputs'!$C$3</f>
        <v>397.52568655969208</v>
      </c>
      <c r="O43" s="171">
        <f>(L43/30)/'Process Model Outputs'!$C$3</f>
        <v>13.250856218656404</v>
      </c>
    </row>
    <row r="44" x14ac:dyDescent="0.25">
      <c r="A44" s="181"/>
      <c r="B44" s="2" t="s">
        <v>198</v>
      </c>
      <c r="C44" s="46">
        <v>52708528.245200001</v>
      </c>
      <c r="D44" s="49" t="str">
        <f>CONCATENATE("Cost (",'Model Inputs'!$C$32," USD)")</f>
        <v>Cost (2019 USD)</v>
      </c>
      <c r="K44" s="169" t="s">
        <v>203</v>
      </c>
      <c r="L44" s="170">
        <f>C49</f>
        <v>5546807.9496749993</v>
      </c>
      <c r="M44" s="171">
        <f t="shared" si="4"/>
        <v>0.27411949343587838</v>
      </c>
      <c r="N44" s="171">
        <f>L44/'Process Model Outputs'!$C$3</f>
        <v>35.463946792966006</v>
      </c>
      <c r="O44" s="171">
        <f>(L44/30)/'Process Model Outputs'!$C$3</f>
        <v>1.1821315597655335</v>
      </c>
    </row>
    <row r="45" x14ac:dyDescent="0.25">
      <c r="A45" s="181" t="s">
        <v>157</v>
      </c>
      <c r="B45" s="23" t="s">
        <v>199</v>
      </c>
      <c r="C45" s="43">
        <v>67775.917700000005</v>
      </c>
      <c r="D45" s="47" t="str">
        <f>CONCATENATE("Cost (",'Model Inputs'!$C$32," USD)")</f>
        <v>Cost (2019 USD)</v>
      </c>
      <c r="K45" s="169" t="s">
        <v>215</v>
      </c>
      <c r="L45" s="170">
        <f>C53</f>
        <v>24978513.124775</v>
      </c>
      <c r="M45" s="171">
        <f t="shared" si="4"/>
        <v>1.2344212070558438</v>
      </c>
      <c r="N45" s="171">
        <f>L45/'Process Model Outputs'!$C$3</f>
        <v>159.7020607999105</v>
      </c>
      <c r="O45" s="171">
        <f>(L45/30)/'Process Model Outputs'!$C$3</f>
        <v>5.3234020266636835</v>
      </c>
    </row>
    <row r="46" x14ac:dyDescent="0.25">
      <c r="A46" s="181"/>
      <c r="B46" s="44" t="s">
        <v>200</v>
      </c>
      <c r="C46" s="45">
        <v>1934545.6699000001</v>
      </c>
      <c r="D46" s="48" t="str">
        <f>CONCATENATE("Cost (",'Model Inputs'!$C$32," USD)")</f>
        <v>Cost (2019 USD)</v>
      </c>
      <c r="K46" s="169" t="s">
        <v>216</v>
      </c>
      <c r="L46" s="170">
        <f>C59</f>
        <v>104194951.50624999</v>
      </c>
      <c r="M46" s="171">
        <f t="shared" si="4"/>
        <v>5.1492439587966388</v>
      </c>
      <c r="N46" s="171">
        <f>L46/'Process Model Outputs'!$C$3</f>
        <v>666.17850299465147</v>
      </c>
      <c r="O46" s="171">
        <f>(L46/30)/'Process Model Outputs'!$C$3</f>
        <v>22.205950099821713</v>
      </c>
    </row>
    <row r="47" x14ac:dyDescent="0.25">
      <c r="A47" s="181"/>
      <c r="B47" s="44" t="s">
        <v>201</v>
      </c>
      <c r="C47" s="45">
        <v>2435566.7546999999</v>
      </c>
      <c r="D47" s="48" t="str">
        <f>CONCATENATE("Cost (",'Model Inputs'!$C$32," USD)")</f>
        <v>Cost (2019 USD)</v>
      </c>
      <c r="O47" s="166"/>
    </row>
    <row r="48" x14ac:dyDescent="0.25">
      <c r="A48" s="181"/>
      <c r="B48" s="44" t="s">
        <v>202</v>
      </c>
      <c r="C48" s="45">
        <v>887577.66850000003</v>
      </c>
      <c r="D48" s="48" t="str">
        <f>CONCATENATE("Cost (",'Model Inputs'!$C$32," USD)")</f>
        <v>Cost (2019 USD)</v>
      </c>
      <c r="O48" s="166"/>
    </row>
    <row r="49" x14ac:dyDescent="0.25">
      <c r="A49" s="181"/>
      <c r="B49" s="2" t="s">
        <v>203</v>
      </c>
      <c r="C49" s="46">
        <v>5325466.0107000005</v>
      </c>
      <c r="D49" s="49" t="str">
        <f>CONCATENATE("Cost (",'Model Inputs'!$C$32," USD)")</f>
        <v>Cost (2019 USD)</v>
      </c>
      <c r="L49" s="167" t="s">
        <v>420</v>
      </c>
      <c r="M49" s="167" t="s">
        <v>428</v>
      </c>
      <c r="O49" s="166"/>
    </row>
    <row r="50" x14ac:dyDescent="0.25">
      <c r="A50" s="187" t="s">
        <v>158</v>
      </c>
      <c r="B50" s="23" t="s">
        <v>204</v>
      </c>
      <c r="C50" s="43">
        <v>4547692.3366999999</v>
      </c>
      <c r="D50" s="47" t="str">
        <f>CONCATENATE("Cost (",'Model Inputs'!$C$32," USD)")</f>
        <v>Cost (2019 USD)</v>
      </c>
      <c r="L50" s="167" t="s">
        <v>429</v>
      </c>
      <c r="M50" s="167" t="s">
        <v>422</v>
      </c>
    </row>
    <row r="51" x14ac:dyDescent="0.25">
      <c r="A51" s="187"/>
      <c r="B51" s="44" t="s">
        <v>205</v>
      </c>
      <c r="C51" s="45">
        <v>16402167.542099999</v>
      </c>
      <c r="D51" s="48" t="str">
        <f>CONCATENATE("Cost (",'Model Inputs'!$C$32," USD)")</f>
        <v>Cost (2019 USD)</v>
      </c>
      <c r="K51" s="59" t="s">
        <v>219</v>
      </c>
      <c r="L51" s="163">
        <f>H11</f>
        <v>39054400.892275006</v>
      </c>
      <c r="M51" s="168">
        <f>L51/'Process Model Outputs'!$C$3</f>
        <v>249.69734085636708</v>
      </c>
      <c r="N51" s="166"/>
    </row>
    <row r="52" x14ac:dyDescent="0.25">
      <c r="A52" s="187"/>
      <c r="B52" s="44" t="s">
        <v>206</v>
      </c>
      <c r="C52" s="45">
        <v>2371883.7710000002</v>
      </c>
      <c r="D52" s="48" t="str">
        <f>CONCATENATE("Cost (",'Model Inputs'!$C$32," USD)")</f>
        <v>Cost (2019 USD)</v>
      </c>
      <c r="K52" s="169" t="s">
        <v>220</v>
      </c>
      <c r="L52" s="170">
        <f t="shared" ref="L52:L59" si="5">H3</f>
        <v>5475816.7106250003</v>
      </c>
      <c r="M52" s="171">
        <f>L52/'Process Model Outputs'!$C$3</f>
        <v>35.010058800578705</v>
      </c>
      <c r="N52" s="166"/>
    </row>
    <row r="53" x14ac:dyDescent="0.25">
      <c r="A53" s="187"/>
      <c r="B53" s="2" t="s">
        <v>215</v>
      </c>
      <c r="C53" s="46">
        <v>23321743.649799999</v>
      </c>
      <c r="D53" s="49" t="str">
        <f>CONCATENATE("Cost (",'Model Inputs'!$C$32," USD)")</f>
        <v>Cost (2019 USD)</v>
      </c>
      <c r="K53" s="169" t="s">
        <v>221</v>
      </c>
      <c r="L53" s="170">
        <f t="shared" si="5"/>
        <v>3241555.284825</v>
      </c>
      <c r="M53" s="171">
        <f>L53/'Process Model Outputs'!$C$3</f>
        <v>20.725135103014924</v>
      </c>
      <c r="N53" s="166"/>
    </row>
    <row r="54" x14ac:dyDescent="0.25">
      <c r="A54" s="181" t="s">
        <v>159</v>
      </c>
      <c r="B54" s="23" t="s">
        <v>207</v>
      </c>
      <c r="C54" s="43">
        <v>13665049.067199999</v>
      </c>
      <c r="D54" s="47" t="str">
        <f>CONCATENATE("Cost (",'Model Inputs'!$C$32," USD)")</f>
        <v>Cost (2019 USD)</v>
      </c>
      <c r="K54" s="169" t="s">
        <v>222</v>
      </c>
      <c r="L54" s="170">
        <f t="shared" si="5"/>
        <v>1502773.1460250001</v>
      </c>
      <c r="M54" s="171">
        <f>L54/'Process Model Outputs'!$C$3</f>
        <v>9.6080966523550497</v>
      </c>
      <c r="N54" s="166"/>
    </row>
    <row r="55" x14ac:dyDescent="0.25">
      <c r="A55" s="181"/>
      <c r="B55" s="44" t="s">
        <v>208</v>
      </c>
      <c r="C55" s="45">
        <v>14681445.4034</v>
      </c>
      <c r="D55" s="48" t="str">
        <f>CONCATENATE("Cost (",'Model Inputs'!$C$32," USD)")</f>
        <v>Cost (2019 USD)</v>
      </c>
      <c r="K55" s="169" t="s">
        <v>223</v>
      </c>
      <c r="L55" s="170">
        <f t="shared" si="5"/>
        <v>14669326.040625</v>
      </c>
      <c r="M55" s="171">
        <f>L55/'Process Model Outputs'!$C$3</f>
        <v>93.789473678077741</v>
      </c>
      <c r="N55" s="166"/>
    </row>
    <row r="56" x14ac:dyDescent="0.25">
      <c r="A56" s="181"/>
      <c r="B56" s="44" t="s">
        <v>209</v>
      </c>
      <c r="C56" s="45">
        <v>31742495.728</v>
      </c>
      <c r="D56" s="48" t="str">
        <f>CONCATENATE("Cost (",'Model Inputs'!$C$32," USD)")</f>
        <v>Cost (2019 USD)</v>
      </c>
      <c r="K56" s="169" t="s">
        <v>224</v>
      </c>
      <c r="L56" s="170">
        <f t="shared" si="5"/>
        <v>4361224.4435999999</v>
      </c>
      <c r="M56" s="171">
        <f>L56/'Process Model Outputs'!$C$3</f>
        <v>27.883826702360487</v>
      </c>
      <c r="N56" s="166"/>
    </row>
    <row r="57" x14ac:dyDescent="0.25">
      <c r="A57" s="181"/>
      <c r="B57" s="44" t="s">
        <v>210</v>
      </c>
      <c r="C57" s="45">
        <v>28229035.0781</v>
      </c>
      <c r="D57" s="48" t="str">
        <f>CONCATENATE("Cost (",'Model Inputs'!$C$32," USD)")</f>
        <v>Cost (2019 USD)</v>
      </c>
      <c r="K57" s="169" t="s">
        <v>225</v>
      </c>
      <c r="L57" s="170">
        <f t="shared" si="5"/>
        <v>3925101.9992999998</v>
      </c>
      <c r="M57" s="171">
        <f>L57/'Process Model Outputs'!$C$3</f>
        <v>25.095444032508052</v>
      </c>
      <c r="N57" s="166"/>
    </row>
    <row r="58" x14ac:dyDescent="0.25">
      <c r="A58" s="181"/>
      <c r="B58" s="44" t="s">
        <v>211</v>
      </c>
      <c r="C58" s="45">
        <v>10819139.3258</v>
      </c>
      <c r="D58" s="48" t="str">
        <f>CONCATENATE("Cost (",'Model Inputs'!$C$32," USD)")</f>
        <v>Cost (2019 USD)</v>
      </c>
      <c r="K58" s="169" t="s">
        <v>226</v>
      </c>
      <c r="L58" s="170">
        <f t="shared" si="5"/>
        <v>2963214.0595</v>
      </c>
      <c r="M58" s="171">
        <f>L58/'Process Model Outputs'!$C$3</f>
        <v>18.945538892947269</v>
      </c>
      <c r="N58" s="166"/>
    </row>
    <row r="59" x14ac:dyDescent="0.25">
      <c r="A59" s="181"/>
      <c r="B59" s="2" t="s">
        <v>216</v>
      </c>
      <c r="C59" s="46">
        <v>99137164.602400005</v>
      </c>
      <c r="D59" s="49" t="str">
        <f>CONCATENATE("Cost (",'Model Inputs'!$C$32," USD)")</f>
        <v>Cost (2019 USD)</v>
      </c>
      <c r="K59" s="169" t="s">
        <v>227</v>
      </c>
      <c r="L59" s="170">
        <f t="shared" si="5"/>
        <v>2915389.207775</v>
      </c>
      <c r="M59" s="171">
        <f>L59/'Process Model Outputs'!$C$3</f>
        <v>18.639766994524816</v>
      </c>
      <c r="N59" s="166"/>
    </row>
    <row r="60" x14ac:dyDescent="0.25">
      <c r="A60" s="52" t="s">
        <v>148</v>
      </c>
      <c r="B60" s="53" t="s">
        <v>148</v>
      </c>
      <c r="C60" s="54">
        <v>404749259.03329998</v>
      </c>
      <c r="D60" s="55" t="str">
        <f>CONCATENATE("Cost (",'Model Inputs'!$C$32," USD)")</f>
        <v>Cost (2019 USD)</v>
      </c>
    </row>
    <row r="61" x14ac:dyDescent="0.25">
      <c r="A61" s="32" t="s">
        <v>160</v>
      </c>
      <c r="B61" s="26" t="s">
        <v>160</v>
      </c>
      <c r="C61" s="51">
        <v>24042700.920000002</v>
      </c>
      <c r="D61" s="50" t="str">
        <f>CONCATENATE("Cost (",'Model Inputs'!$C$32," USD)")</f>
        <v>Cost (2019 USD)</v>
      </c>
    </row>
    <row r="62" x14ac:dyDescent="0.25">
      <c r="A62" s="33" t="s">
        <v>149</v>
      </c>
      <c r="B62" s="2" t="s">
        <v>149</v>
      </c>
      <c r="C62" s="46">
        <v>20237462.951699998</v>
      </c>
      <c r="D62" s="49" t="str">
        <f>CONCATENATE("Cost (",'Model Inputs'!$C$32," USD)")</f>
        <v>Cost (2019 USD)</v>
      </c>
    </row>
    <row r="63" x14ac:dyDescent="0.25">
      <c r="A63" s="52" t="s">
        <v>150</v>
      </c>
      <c r="B63" s="56" t="s">
        <v>150</v>
      </c>
      <c r="C63" s="57">
        <v>449029422.90490001</v>
      </c>
      <c r="D63" s="58" t="str">
        <f>CONCATENATE("Cost (",'Model Inputs'!$C$32," USD)")</f>
        <v>Cost (2019 USD)</v>
      </c>
      <c r="H63" s="143"/>
    </row>
    <row r="66" x14ac:dyDescent="0.25">
      <c r="A66" s="195" t="s">
        <v>268</v>
      </c>
      <c r="B66" s="195"/>
      <c r="C66" s="195"/>
      <c r="D66" s="195"/>
      <c r="F66" s="198" t="s">
        <v>283</v>
      </c>
      <c r="G66" s="198"/>
      <c r="H66" s="198"/>
      <c r="I66" s="198"/>
      <c r="K66" s="199" t="s">
        <v>298</v>
      </c>
      <c r="L66" s="199"/>
      <c r="M66" s="199"/>
      <c r="N66" s="199"/>
    </row>
    <row r="67" x14ac:dyDescent="0.25">
      <c r="A67" s="63" t="s">
        <v>38</v>
      </c>
      <c r="B67" s="64" t="s">
        <v>151</v>
      </c>
      <c r="C67" s="65" t="s">
        <v>1</v>
      </c>
      <c r="D67" s="65" t="s">
        <v>2</v>
      </c>
      <c r="F67" s="72" t="s">
        <v>38</v>
      </c>
      <c r="G67" s="73" t="s">
        <v>284</v>
      </c>
      <c r="H67" s="74" t="s">
        <v>1</v>
      </c>
      <c r="I67" s="74" t="s">
        <v>2</v>
      </c>
      <c r="K67" s="94" t="s">
        <v>61</v>
      </c>
      <c r="L67" s="95" t="s">
        <v>289</v>
      </c>
      <c r="M67" s="95" t="s">
        <v>288</v>
      </c>
      <c r="N67" s="95" t="s">
        <v>300</v>
      </c>
    </row>
    <row r="68" x14ac:dyDescent="0.25">
      <c r="A68" s="181" t="s">
        <v>230</v>
      </c>
      <c r="B68" s="23" t="s">
        <v>231</v>
      </c>
      <c r="C68" s="43">
        <v>20316450.418099999</v>
      </c>
      <c r="D68" s="47" t="str">
        <f>CONCATENATE("Cost (",'Model Inputs'!$C$32," USD)")</f>
        <v>Cost (2019 USD)</v>
      </c>
      <c r="F68" s="181" t="s">
        <v>278</v>
      </c>
      <c r="G68" s="23" t="s">
        <v>269</v>
      </c>
      <c r="H68" s="43">
        <v>4847822.6732000001</v>
      </c>
      <c r="I68" s="47" t="str">
        <f>CONCATENATE("(",'Model Inputs'!$C$32," USD)/yr")</f>
        <v>(2019 USD)/yr</v>
      </c>
      <c r="K68" s="8" t="s">
        <v>290</v>
      </c>
      <c r="L68" s="43">
        <v>57958368.290877208</v>
      </c>
      <c r="M68" s="89">
        <f>L68/$L$72</f>
        <v>7.1137712508094197E-2</v>
      </c>
      <c r="N68" s="86">
        <f>M68*$L$73</f>
        <v>0.46488018843414192</v>
      </c>
    </row>
    <row r="69" x14ac:dyDescent="0.25">
      <c r="A69" s="181"/>
      <c r="B69" s="66" t="s">
        <v>232</v>
      </c>
      <c r="C69" s="67">
        <v>5661610.9634999996</v>
      </c>
      <c r="D69" s="48" t="str">
        <f>CONCATENATE("Cost (",'Model Inputs'!$C$32," USD)")</f>
        <v>Cost (2019 USD)</v>
      </c>
      <c r="F69" s="181"/>
      <c r="G69" s="75" t="s">
        <v>270</v>
      </c>
      <c r="H69" s="76">
        <v>220566.6048</v>
      </c>
      <c r="I69" s="48" t="str">
        <f>CONCATENATE("(",'Model Inputs'!$C$32," USD)/yr")</f>
        <v>(2019 USD)/yr</v>
      </c>
      <c r="K69" s="7" t="s">
        <v>291</v>
      </c>
      <c r="L69" s="101">
        <v>501327279.88982171</v>
      </c>
      <c r="M69" s="97">
        <f t="shared" ref="M69:M72" si="6">L69/$L$72</f>
        <v>0.58531607029310229</v>
      </c>
      <c r="N69" s="91">
        <f t="shared" ref="N69:N72" si="7">M69*$L$73</f>
        <v>3.8250013313322175</v>
      </c>
    </row>
    <row r="70" x14ac:dyDescent="0.25">
      <c r="A70" s="181"/>
      <c r="B70" s="66" t="s">
        <v>233</v>
      </c>
      <c r="C70" s="67">
        <v>11638727.334899999</v>
      </c>
      <c r="D70" s="48" t="str">
        <f>CONCATENATE("Cost (",'Model Inputs'!$C$32," USD)")</f>
        <v>Cost (2019 USD)</v>
      </c>
      <c r="F70" s="181"/>
      <c r="G70" s="75" t="s">
        <v>142</v>
      </c>
      <c r="H70" s="76">
        <v>1165383.9750000001</v>
      </c>
      <c r="I70" s="48" t="str">
        <f>CONCATENATE("(",'Model Inputs'!$C$32," USD)/yr")</f>
        <v>(2019 USD)/yr</v>
      </c>
      <c r="K70" s="7" t="s">
        <v>292</v>
      </c>
      <c r="L70" s="101">
        <v>250848784.74953964</v>
      </c>
      <c r="M70" s="97">
        <f t="shared" si="6"/>
        <v>0.30786717774349281</v>
      </c>
      <c r="N70" s="91">
        <f t="shared" si="7"/>
        <v>2.0118913942558634</v>
      </c>
    </row>
    <row r="71" x14ac:dyDescent="0.25">
      <c r="A71" s="181"/>
      <c r="B71" s="66" t="s">
        <v>234</v>
      </c>
      <c r="C71" s="67">
        <v>1142513.3666999999</v>
      </c>
      <c r="D71" s="48" t="str">
        <f>CONCATENATE("Cost (",'Model Inputs'!$C$32," USD)")</f>
        <v>Cost (2019 USD)</v>
      </c>
      <c r="F71" s="181"/>
      <c r="G71" s="75" t="s">
        <v>143</v>
      </c>
      <c r="H71" s="76">
        <v>15934.035099999999</v>
      </c>
      <c r="I71" s="48" t="str">
        <f>CONCATENATE("(",'Model Inputs'!$C$32," USD)/yr")</f>
        <v>(2019 USD)/yr</v>
      </c>
      <c r="K71" s="7" t="s">
        <v>160</v>
      </c>
      <c r="L71" s="101">
        <v>29091668.113200005</v>
      </c>
      <c r="M71" s="97">
        <f t="shared" si="6"/>
        <v>3.5679039455310792E-2</v>
      </c>
      <c r="N71" s="91">
        <f t="shared" si="7"/>
        <v>0.2331601340603526</v>
      </c>
    </row>
    <row r="72" x14ac:dyDescent="0.25">
      <c r="A72" s="181"/>
      <c r="B72" s="66" t="s">
        <v>235</v>
      </c>
      <c r="C72" s="67">
        <v>3246395.4106999999</v>
      </c>
      <c r="D72" s="48" t="str">
        <f>CONCATENATE("Cost (",'Model Inputs'!$C$32," USD)")</f>
        <v>Cost (2019 USD)</v>
      </c>
      <c r="F72" s="181"/>
      <c r="G72" s="2" t="s">
        <v>271</v>
      </c>
      <c r="H72" s="46">
        <v>6249707.2880999995</v>
      </c>
      <c r="I72" s="49" t="str">
        <f>CONCATENATE("(",'Model Inputs'!$C$32," USD)/yr")</f>
        <v>(2019 USD)/yr</v>
      </c>
      <c r="K72" s="6" t="s">
        <v>295</v>
      </c>
      <c r="L72" s="46">
        <v>839226101.04343843</v>
      </c>
      <c r="M72" s="92">
        <f t="shared" si="6"/>
        <v>1</v>
      </c>
      <c r="N72" s="88">
        <f t="shared" si="7"/>
        <v>6.5349330480825749</v>
      </c>
    </row>
    <row r="73" x14ac:dyDescent="0.25">
      <c r="A73" s="181"/>
      <c r="B73" s="66" t="s">
        <v>236</v>
      </c>
      <c r="C73" s="67">
        <v>82448.161200000002</v>
      </c>
      <c r="D73" s="48" t="str">
        <f>CONCATENATE("Cost (",'Model Inputs'!$C$32," USD)")</f>
        <v>Cost (2019 USD)</v>
      </c>
      <c r="F73" s="181" t="s">
        <v>70</v>
      </c>
      <c r="G73" s="23" t="s">
        <v>272</v>
      </c>
      <c r="H73" s="43">
        <v>-3506781.1764000002</v>
      </c>
      <c r="I73" s="47" t="str">
        <f>CONCATENATE("(",'Model Inputs'!$C$32," USD)/yr")</f>
        <v>(2019 USD)/yr</v>
      </c>
      <c r="K73" s="98" t="s">
        <v>299</v>
      </c>
      <c r="L73" s="99">
        <v>5.814859418161757</v>
      </c>
      <c r="M73" s="100" t="s">
        <v>301</v>
      </c>
      <c r="N73" s="96"/>
    </row>
    <row r="74" x14ac:dyDescent="0.25">
      <c r="A74" s="181"/>
      <c r="B74" s="2" t="s">
        <v>237</v>
      </c>
      <c r="C74" s="46">
        <v>42088145.655100003</v>
      </c>
      <c r="D74" s="49" t="str">
        <f>CONCATENATE("Cost (",'Model Inputs'!$C$32," USD)")</f>
        <v>Cost (2019 USD)</v>
      </c>
      <c r="F74" s="181"/>
      <c r="G74" s="75" t="s">
        <v>273</v>
      </c>
      <c r="H74" s="76">
        <v>-3508312.8311000001</v>
      </c>
      <c r="I74" s="48" t="str">
        <f>CONCATENATE("(",'Model Inputs'!$C$32," USD)/yr")</f>
        <v>(2019 USD)/yr</v>
      </c>
    </row>
    <row r="75" x14ac:dyDescent="0.25">
      <c r="A75" s="181" t="s">
        <v>263</v>
      </c>
      <c r="B75" s="23" t="s">
        <v>238</v>
      </c>
      <c r="C75" s="43">
        <v>34132655.946400002</v>
      </c>
      <c r="D75" s="47" t="str">
        <f>CONCATENATE("Cost (",'Model Inputs'!$C$32," USD)")</f>
        <v>Cost (2019 USD)</v>
      </c>
      <c r="F75" s="181"/>
      <c r="G75" s="75" t="s">
        <v>274</v>
      </c>
      <c r="H75" s="76">
        <v>-1626440.9664</v>
      </c>
      <c r="I75" s="48" t="str">
        <f>CONCATENATE("(",'Model Inputs'!$C$32," USD)/yr")</f>
        <v>(2019 USD)/yr</v>
      </c>
    </row>
    <row r="76" x14ac:dyDescent="0.25">
      <c r="A76" s="181"/>
      <c r="B76" s="66" t="s">
        <v>239</v>
      </c>
      <c r="C76" s="67">
        <v>496309.57400000002</v>
      </c>
      <c r="D76" s="48" t="str">
        <f>CONCATENATE("Cost (",'Model Inputs'!$C$32," USD)")</f>
        <v>Cost (2019 USD)</v>
      </c>
      <c r="F76" s="181"/>
      <c r="G76" s="2" t="s">
        <v>275</v>
      </c>
      <c r="H76" s="46">
        <v>-8641534.9739999995</v>
      </c>
      <c r="I76" s="49" t="str">
        <f>CONCATENATE("(",'Model Inputs'!$C$32," USD)/yr")</f>
        <v>(2019 USD)/yr</v>
      </c>
    </row>
    <row r="77" x14ac:dyDescent="0.25">
      <c r="A77" s="181"/>
      <c r="B77" s="66" t="s">
        <v>240</v>
      </c>
      <c r="C77" s="67">
        <v>218375.26319999999</v>
      </c>
      <c r="D77" s="48" t="str">
        <f>CONCATENATE("Cost (",'Model Inputs'!$C$32," USD)")</f>
        <v>Cost (2019 USD)</v>
      </c>
      <c r="F77" s="181" t="s">
        <v>279</v>
      </c>
      <c r="G77" s="23" t="s">
        <v>276</v>
      </c>
      <c r="H77" s="43">
        <v>1585292.6107999999</v>
      </c>
      <c r="I77" s="47" t="str">
        <f>CONCATENATE("(",'Model Inputs'!$C$32," USD)/yr")</f>
        <v>(2019 USD)/yr</v>
      </c>
    </row>
    <row r="78" x14ac:dyDescent="0.25">
      <c r="A78" s="181"/>
      <c r="B78" s="66" t="s">
        <v>241</v>
      </c>
      <c r="C78" s="67">
        <v>7967325.1255999999</v>
      </c>
      <c r="D78" s="48" t="str">
        <f>CONCATENATE("Cost (",'Model Inputs'!$C$32," USD)")</f>
        <v>Cost (2019 USD)</v>
      </c>
      <c r="F78" s="181"/>
      <c r="G78" s="2" t="s">
        <v>277</v>
      </c>
      <c r="H78" s="46">
        <v>1426763.3498</v>
      </c>
      <c r="I78" s="49" t="str">
        <f>CONCATENATE("(",'Model Inputs'!$C$32," USD)/yr")</f>
        <v>(2019 USD)/yr</v>
      </c>
    </row>
    <row r="79" x14ac:dyDescent="0.25">
      <c r="A79" s="181"/>
      <c r="B79" s="2" t="s">
        <v>242</v>
      </c>
      <c r="C79" s="46">
        <v>42814665.909199998</v>
      </c>
      <c r="D79" s="49" t="str">
        <f>CONCATENATE("Cost (",'Model Inputs'!$C$32," USD)")</f>
        <v>Cost (2019 USD)</v>
      </c>
      <c r="F79" s="187" t="s">
        <v>280</v>
      </c>
      <c r="G79" s="23" t="s">
        <v>226</v>
      </c>
      <c r="H79" s="43">
        <v>2834758.0263</v>
      </c>
      <c r="I79" s="47" t="str">
        <f>CONCATENATE("(",'Model Inputs'!$C$32," USD)/yr")</f>
        <v>(2019 USD)/yr</v>
      </c>
    </row>
    <row r="80" x14ac:dyDescent="0.25">
      <c r="A80" s="181" t="s">
        <v>243</v>
      </c>
      <c r="B80" s="23" t="s">
        <v>244</v>
      </c>
      <c r="C80" s="43">
        <v>1507420.6063000001</v>
      </c>
      <c r="D80" s="47" t="str">
        <f>CONCATENATE("Cost (",'Model Inputs'!$C$32," USD)")</f>
        <v>Cost (2019 USD)</v>
      </c>
      <c r="F80" s="187"/>
      <c r="G80" s="2" t="s">
        <v>287</v>
      </c>
      <c r="H80" s="46">
        <v>1776448.3632</v>
      </c>
      <c r="I80" s="49" t="str">
        <f>CONCATENATE("(",'Model Inputs'!$C$32," USD)/yr")</f>
        <v>(2019 USD)/yr</v>
      </c>
    </row>
    <row r="81" x14ac:dyDescent="0.25">
      <c r="A81" s="181"/>
      <c r="B81" s="66" t="s">
        <v>245</v>
      </c>
      <c r="C81" s="67">
        <v>45480.9928</v>
      </c>
      <c r="D81" s="48" t="str">
        <f>CONCATENATE("Cost (",'Model Inputs'!$C$32," USD)")</f>
        <v>Cost (2019 USD)</v>
      </c>
      <c r="F81" s="197" t="s">
        <v>281</v>
      </c>
      <c r="G81" s="77" t="s">
        <v>282</v>
      </c>
      <c r="H81" s="78">
        <f>SUM(H72,H77:H80)</f>
        <v>12822617.069225</v>
      </c>
      <c r="I81" s="79" t="str">
        <f>CONCATENATE("(",'Model Inputs'!$C$32," USD)/yr")</f>
        <v>(2019 USD)/yr</v>
      </c>
    </row>
    <row r="82" x14ac:dyDescent="0.25">
      <c r="A82" s="181"/>
      <c r="B82" s="66" t="s">
        <v>246</v>
      </c>
      <c r="C82" s="67">
        <v>1775271.2346000001</v>
      </c>
      <c r="D82" s="48" t="str">
        <f>CONCATENATE("Cost (",'Model Inputs'!$C$32," USD)")</f>
        <v>Cost (2019 USD)</v>
      </c>
      <c r="F82" s="197"/>
      <c r="G82" s="80" t="s">
        <v>286</v>
      </c>
      <c r="H82" s="81">
        <f>H81+H76</f>
        <v>6270453.5303249992</v>
      </c>
      <c r="I82" s="82" t="str">
        <f>CONCATENATE("(",'Model Inputs'!$C$32," USD)/yr")</f>
        <v>(2019 USD)/yr</v>
      </c>
    </row>
    <row r="83" x14ac:dyDescent="0.25">
      <c r="A83" s="181"/>
      <c r="B83" s="66" t="s">
        <v>247</v>
      </c>
      <c r="C83" s="67">
        <v>2184038.3596000001</v>
      </c>
      <c r="D83" s="48" t="str">
        <f>CONCATENATE("Cost (",'Model Inputs'!$C$32," USD)")</f>
        <v>Cost (2019 USD)</v>
      </c>
    </row>
    <row r="84" x14ac:dyDescent="0.25">
      <c r="A84" s="181"/>
      <c r="B84" s="2" t="s">
        <v>248</v>
      </c>
      <c r="C84" s="46">
        <v>5512211.1933000004</v>
      </c>
      <c r="D84" s="49" t="str">
        <f>CONCATENATE("Cost (",'Model Inputs'!$C$32," USD)")</f>
        <v>Cost (2019 USD)</v>
      </c>
    </row>
    <row r="85" x14ac:dyDescent="0.25">
      <c r="A85" s="181" t="s">
        <v>249</v>
      </c>
      <c r="B85" s="23" t="s">
        <v>250</v>
      </c>
      <c r="C85" s="43">
        <v>1104306.3185000001</v>
      </c>
      <c r="D85" s="47" t="str">
        <f>CONCATENATE("Cost (",'Model Inputs'!$C$32," USD)")</f>
        <v>Cost (2019 USD)</v>
      </c>
    </row>
    <row r="86" x14ac:dyDescent="0.25">
      <c r="A86" s="181"/>
      <c r="B86" s="66" t="s">
        <v>251</v>
      </c>
      <c r="C86" s="67">
        <v>246094.66310000001</v>
      </c>
      <c r="D86" s="48" t="str">
        <f>CONCATENATE("Cost (",'Model Inputs'!$C$32," USD)")</f>
        <v>Cost (2019 USD)</v>
      </c>
    </row>
    <row r="87" x14ac:dyDescent="0.25">
      <c r="A87" s="181"/>
      <c r="B87" s="66" t="s">
        <v>252</v>
      </c>
      <c r="C87" s="67">
        <v>86685.870200000005</v>
      </c>
      <c r="D87" s="48" t="str">
        <f>CONCATENATE("Cost (",'Model Inputs'!$C$32," USD)")</f>
        <v>Cost (2019 USD)</v>
      </c>
    </row>
    <row r="88" x14ac:dyDescent="0.25">
      <c r="A88" s="181"/>
      <c r="B88" s="66" t="s">
        <v>253</v>
      </c>
      <c r="C88" s="67">
        <v>145517.46770000001</v>
      </c>
      <c r="D88" s="48" t="str">
        <f>CONCATENATE("Cost (",'Model Inputs'!$C$32," USD)")</f>
        <v>Cost (2019 USD)</v>
      </c>
    </row>
    <row r="89" x14ac:dyDescent="0.25">
      <c r="A89" s="181"/>
      <c r="B89" s="66" t="s">
        <v>199</v>
      </c>
      <c r="C89" s="67">
        <v>251404.4485</v>
      </c>
      <c r="D89" s="48" t="str">
        <f>CONCATENATE("Cost (",'Model Inputs'!$C$32," USD)")</f>
        <v>Cost (2019 USD)</v>
      </c>
    </row>
    <row r="90" x14ac:dyDescent="0.25">
      <c r="A90" s="181"/>
      <c r="B90" s="66" t="s">
        <v>254</v>
      </c>
      <c r="C90" s="67">
        <v>14952.395699999999</v>
      </c>
      <c r="D90" s="48" t="str">
        <f>CONCATENATE("Cost (",'Model Inputs'!$C$32," USD)")</f>
        <v>Cost (2019 USD)</v>
      </c>
    </row>
    <row r="91" x14ac:dyDescent="0.25">
      <c r="A91" s="181"/>
      <c r="B91" s="66" t="s">
        <v>255</v>
      </c>
      <c r="C91" s="67">
        <v>10417.255300000001</v>
      </c>
      <c r="D91" s="48" t="str">
        <f>CONCATENATE("Cost (",'Model Inputs'!$C$32," USD)")</f>
        <v>Cost (2019 USD)</v>
      </c>
    </row>
    <row r="92" x14ac:dyDescent="0.25">
      <c r="A92" s="181"/>
      <c r="B92" s="66" t="s">
        <v>200</v>
      </c>
      <c r="C92" s="67">
        <v>349951.68729999999</v>
      </c>
      <c r="D92" s="48" t="str">
        <f>CONCATENATE("Cost (",'Model Inputs'!$C$32," USD)")</f>
        <v>Cost (2019 USD)</v>
      </c>
    </row>
    <row r="93" x14ac:dyDescent="0.25">
      <c r="A93" s="181"/>
      <c r="B93" s="66" t="s">
        <v>256</v>
      </c>
      <c r="C93" s="67">
        <v>1154462.2178</v>
      </c>
      <c r="D93" s="48" t="str">
        <f>CONCATENATE("Cost (",'Model Inputs'!$C$32," USD)")</f>
        <v>Cost (2019 USD)</v>
      </c>
    </row>
    <row r="94" x14ac:dyDescent="0.25">
      <c r="A94" s="181"/>
      <c r="B94" s="66" t="s">
        <v>257</v>
      </c>
      <c r="C94" s="67">
        <v>194652.4467</v>
      </c>
      <c r="D94" s="48" t="str">
        <f>CONCATENATE("Cost (",'Model Inputs'!$C$32," USD)")</f>
        <v>Cost (2019 USD)</v>
      </c>
    </row>
    <row r="95" x14ac:dyDescent="0.25">
      <c r="A95" s="181"/>
      <c r="B95" s="66" t="s">
        <v>258</v>
      </c>
      <c r="C95" s="67">
        <v>518466.68310000002</v>
      </c>
      <c r="D95" s="48" t="str">
        <f>CONCATENATE("Cost (",'Model Inputs'!$C$32," USD)")</f>
        <v>Cost (2019 USD)</v>
      </c>
    </row>
    <row r="96" x14ac:dyDescent="0.25">
      <c r="A96" s="181"/>
      <c r="B96" s="2" t="s">
        <v>259</v>
      </c>
      <c r="C96" s="46">
        <v>4076911.4539000001</v>
      </c>
      <c r="D96" s="49" t="str">
        <f>CONCATENATE("Cost (",'Model Inputs'!$C$32," USD)")</f>
        <v>Cost (2019 USD)</v>
      </c>
    </row>
    <row r="97" x14ac:dyDescent="0.25">
      <c r="A97" s="32" t="s">
        <v>264</v>
      </c>
      <c r="B97" s="26" t="s">
        <v>265</v>
      </c>
      <c r="C97" s="51">
        <v>94491934.211500004</v>
      </c>
      <c r="D97" s="50" t="str">
        <f>CONCATENATE("Cost (",'Model Inputs'!$C$32," USD)")</f>
        <v>Cost (2019 USD)</v>
      </c>
      <c r="E97" s="144"/>
    </row>
    <row r="98" x14ac:dyDescent="0.25">
      <c r="A98" s="181" t="s">
        <v>266</v>
      </c>
      <c r="B98" s="23" t="s">
        <v>204</v>
      </c>
      <c r="C98" s="43">
        <v>3779677.3684999999</v>
      </c>
      <c r="D98" s="47" t="str">
        <f>CONCATENATE("Cost (",'Model Inputs'!$C$32," USD)")</f>
        <v>Cost (2019 USD)</v>
      </c>
    </row>
    <row r="99" x14ac:dyDescent="0.25">
      <c r="A99" s="181"/>
      <c r="B99" s="66" t="s">
        <v>205</v>
      </c>
      <c r="C99" s="67">
        <v>8504274.0789999999</v>
      </c>
      <c r="D99" s="48" t="str">
        <f>CONCATENATE("Cost (",'Model Inputs'!$C$32," USD)")</f>
        <v>Cost (2019 USD)</v>
      </c>
    </row>
    <row r="100" x14ac:dyDescent="0.25">
      <c r="A100" s="181"/>
      <c r="B100" s="66" t="s">
        <v>206</v>
      </c>
      <c r="C100" s="67">
        <v>4252137.0395</v>
      </c>
      <c r="D100" s="48" t="str">
        <f>CONCATENATE("Cost (",'Model Inputs'!$C$32," USD)")</f>
        <v>Cost (2019 USD)</v>
      </c>
    </row>
    <row r="101" x14ac:dyDescent="0.25">
      <c r="A101" s="181"/>
      <c r="B101" s="2" t="s">
        <v>285</v>
      </c>
      <c r="C101" s="46">
        <v>111028022.69850001</v>
      </c>
      <c r="D101" s="49" t="str">
        <f>CONCATENATE("Cost (",'Model Inputs'!$C$32," USD)")</f>
        <v>Cost (2019 USD)</v>
      </c>
    </row>
    <row r="102" x14ac:dyDescent="0.25">
      <c r="A102" s="181" t="s">
        <v>267</v>
      </c>
      <c r="B102" s="23" t="s">
        <v>260</v>
      </c>
      <c r="C102" s="43">
        <v>11102802.2699</v>
      </c>
      <c r="D102" s="47" t="str">
        <f>CONCATENATE("Cost (",'Model Inputs'!$C$32," USD)")</f>
        <v>Cost (2019 USD)</v>
      </c>
    </row>
    <row r="103" x14ac:dyDescent="0.25">
      <c r="A103" s="181"/>
      <c r="B103" s="66" t="s">
        <v>208</v>
      </c>
      <c r="C103" s="67">
        <v>11102802.2699</v>
      </c>
      <c r="D103" s="48" t="str">
        <f>CONCATENATE("Cost (",'Model Inputs'!$C$32," USD)")</f>
        <v>Cost (2019 USD)</v>
      </c>
    </row>
    <row r="104" x14ac:dyDescent="0.25">
      <c r="A104" s="181"/>
      <c r="B104" s="66" t="s">
        <v>261</v>
      </c>
      <c r="C104" s="67">
        <v>22205604.539700001</v>
      </c>
      <c r="D104" s="48" t="str">
        <f>CONCATENATE("Cost (",'Model Inputs'!$C$32," USD)")</f>
        <v>Cost (2019 USD)</v>
      </c>
    </row>
    <row r="105" x14ac:dyDescent="0.25">
      <c r="A105" s="181"/>
      <c r="B105" s="66" t="s">
        <v>210</v>
      </c>
      <c r="C105" s="67">
        <v>11102802.2699</v>
      </c>
      <c r="D105" s="48" t="str">
        <f>CONCATENATE("Cost (",'Model Inputs'!$C$32," USD)")</f>
        <v>Cost (2019 USD)</v>
      </c>
    </row>
    <row r="106" x14ac:dyDescent="0.25">
      <c r="A106" s="181"/>
      <c r="B106" s="66" t="s">
        <v>211</v>
      </c>
      <c r="C106" s="67">
        <v>11102802.2699</v>
      </c>
      <c r="D106" s="48" t="str">
        <f>CONCATENATE("Cost (",'Model Inputs'!$C$32," USD)")</f>
        <v>Cost (2019 USD)</v>
      </c>
    </row>
    <row r="107" x14ac:dyDescent="0.25">
      <c r="A107" s="181"/>
      <c r="B107" s="2" t="s">
        <v>262</v>
      </c>
      <c r="C107" s="46">
        <v>66616813.619099997</v>
      </c>
      <c r="D107" s="49" t="str">
        <f>CONCATENATE("Cost (",'Model Inputs'!$C$32," USD)")</f>
        <v>Cost (2019 USD)</v>
      </c>
    </row>
    <row r="108" x14ac:dyDescent="0.25">
      <c r="A108" s="68" t="s">
        <v>148</v>
      </c>
      <c r="B108" s="69" t="s">
        <v>148</v>
      </c>
      <c r="C108" s="70">
        <v>177644836.31760001</v>
      </c>
      <c r="D108" s="71" t="str">
        <f>CONCATENATE("Cost (",'Model Inputs'!$C$32," USD)")</f>
        <v>Cost (2019 USD)</v>
      </c>
    </row>
    <row r="109" x14ac:dyDescent="0.25">
      <c r="A109" s="32" t="s">
        <v>149</v>
      </c>
      <c r="B109" s="26" t="s">
        <v>149</v>
      </c>
      <c r="C109" s="51">
        <v>8882241.8158999998</v>
      </c>
      <c r="D109" s="50" t="str">
        <f>CONCATENATE("Cost (",'Model Inputs'!$C$32," USD)")</f>
        <v>Cost (2019 USD)</v>
      </c>
    </row>
    <row r="110" x14ac:dyDescent="0.25">
      <c r="A110" s="68" t="s">
        <v>150</v>
      </c>
      <c r="B110" s="69" t="s">
        <v>150</v>
      </c>
      <c r="C110" s="70">
        <v>186527078.13350001</v>
      </c>
      <c r="D110" s="71" t="str">
        <f>CONCATENATE("Cost (",'Model Inputs'!$C$32," USD)")</f>
        <v>Cost (2019 USD)</v>
      </c>
    </row>
  </sheetData>
  <mergeCells count="28">
    <mergeCell ref="K1:N1"/>
    <mergeCell ref="F81:F82"/>
    <mergeCell ref="F66:I66"/>
    <mergeCell ref="F68:F72"/>
    <mergeCell ref="F73:F76"/>
    <mergeCell ref="F77:F78"/>
    <mergeCell ref="F79:F80"/>
    <mergeCell ref="K66:N66"/>
    <mergeCell ref="A54:A59"/>
    <mergeCell ref="A1:D1"/>
    <mergeCell ref="F1:I1"/>
    <mergeCell ref="F3:F6"/>
    <mergeCell ref="F7:F8"/>
    <mergeCell ref="F9:F10"/>
    <mergeCell ref="A3:A11"/>
    <mergeCell ref="A12:A18"/>
    <mergeCell ref="A19:A25"/>
    <mergeCell ref="A26:A36"/>
    <mergeCell ref="A37:A44"/>
    <mergeCell ref="A45:A49"/>
    <mergeCell ref="A50:A53"/>
    <mergeCell ref="A85:A96"/>
    <mergeCell ref="A98:A101"/>
    <mergeCell ref="A102:A107"/>
    <mergeCell ref="A66:D66"/>
    <mergeCell ref="A68:A74"/>
    <mergeCell ref="A75:A79"/>
    <mergeCell ref="A80:A84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CA75-4383-4837-BE82-6E154C20D59A}">
  <sheetPr codeName="Sheet3"/>
  <dimension ref="A1:M131"/>
  <sheetViews>
    <sheetView tabSelected="true" topLeftCell="A38" zoomScale="70" zoomScaleNormal="70" workbookViewId="0">
      <selection activeCell="E127" sqref="E127"/>
    </sheetView>
  </sheetViews>
  <sheetFormatPr defaultRowHeight="15" x14ac:dyDescent="0.25"/>
  <cols>
    <col min="1" max="1" width="50.85546875" customWidth="true"/>
    <col min="2" max="2" width="65.140625" customWidth="true"/>
    <col min="3" max="3" width="19.5703125" bestFit="true" customWidth="true"/>
    <col min="4" max="4" width="21.42578125" bestFit="true" customWidth="true"/>
    <col min="5" max="5" width="15.85546875" bestFit="true" customWidth="true"/>
    <col min="6" max="6" width="20.140625" bestFit="true" customWidth="true"/>
    <col min="7" max="7" width="15.85546875" bestFit="true" customWidth="true"/>
    <col min="8" max="8" width="25.28515625" bestFit="true" customWidth="true"/>
    <col min="9" max="9" width="19.7109375" bestFit="true" customWidth="true"/>
    <col min="10" max="10" width="20.140625" bestFit="true" customWidth="true"/>
    <col min="11" max="11" width="18.28515625" bestFit="true" customWidth="true"/>
    <col min="12" max="12" width="21" bestFit="true" customWidth="true"/>
  </cols>
  <sheetData>
    <row r="1" x14ac:dyDescent="0.25">
      <c r="A1" s="110" t="s">
        <v>307</v>
      </c>
      <c r="B1" s="127" t="s">
        <v>550</v>
      </c>
    </row>
    <row r="2" x14ac:dyDescent="0.25">
      <c r="A2" s="113" t="s">
        <v>336</v>
      </c>
      <c r="B2" s="146">
        <v>0.47005712999999999</v>
      </c>
    </row>
    <row r="3" x14ac:dyDescent="0.25">
      <c r="A3" s="107"/>
      <c r="B3" s="107"/>
    </row>
    <row r="5" x14ac:dyDescent="0.25">
      <c r="A5" s="201" t="s">
        <v>337</v>
      </c>
      <c r="B5" s="201"/>
      <c r="C5" s="201"/>
      <c r="D5" s="201"/>
    </row>
    <row r="6" x14ac:dyDescent="0.25">
      <c r="A6" s="114" t="s">
        <v>384</v>
      </c>
      <c r="B6" s="129" t="s">
        <v>0</v>
      </c>
      <c r="C6" s="111" t="s">
        <v>1</v>
      </c>
      <c r="D6" s="112" t="s">
        <v>2</v>
      </c>
    </row>
    <row r="7" x14ac:dyDescent="0.25">
      <c r="A7" s="181" t="s">
        <v>337</v>
      </c>
      <c r="B7" s="109" t="s">
        <v>374</v>
      </c>
      <c r="C7" s="128">
        <v>107.6728</v>
      </c>
      <c r="D7" s="109" t="s">
        <v>380</v>
      </c>
    </row>
    <row r="8" x14ac:dyDescent="0.25">
      <c r="A8" s="181"/>
      <c r="B8" s="109" t="s">
        <v>375</v>
      </c>
      <c r="C8" s="128">
        <v>0.007376117611309985</v>
      </c>
      <c r="D8" s="109" t="s">
        <v>381</v>
      </c>
    </row>
    <row r="9" ht="15.75" thickBot="true" x14ac:dyDescent="0.3">
      <c r="A9" s="202"/>
      <c r="B9" s="116" t="s">
        <v>376</v>
      </c>
      <c r="C9" s="132">
        <v>0</v>
      </c>
      <c r="D9" s="116" t="s">
        <v>380</v>
      </c>
    </row>
    <row r="10" ht="15" customHeight="true" x14ac:dyDescent="0.25">
      <c r="A10" s="209" t="s">
        <v>378</v>
      </c>
      <c r="B10" s="115" t="s">
        <v>377</v>
      </c>
      <c r="C10" s="133">
        <v>90.323531872291625</v>
      </c>
      <c r="D10" s="115" t="s">
        <v>382</v>
      </c>
    </row>
    <row r="11" x14ac:dyDescent="0.25">
      <c r="A11" s="186"/>
      <c r="B11" s="109" t="s">
        <v>379</v>
      </c>
      <c r="C11" s="128">
        <v>0.0060798804496207757</v>
      </c>
      <c r="D11" s="109" t="s">
        <v>383</v>
      </c>
    </row>
    <row r="12" x14ac:dyDescent="0.25">
      <c r="A12" s="107"/>
      <c r="B12" s="107"/>
      <c r="C12" s="107"/>
    </row>
    <row r="15" x14ac:dyDescent="0.25">
      <c r="A15" s="203" t="s">
        <v>361</v>
      </c>
      <c r="B15" s="203"/>
      <c r="C15" s="203"/>
      <c r="D15" s="203"/>
      <c r="E15" s="203"/>
      <c r="F15" s="203"/>
      <c r="G15" s="203"/>
      <c r="H15" s="203"/>
      <c r="I15" s="203"/>
      <c r="J15" s="203"/>
      <c r="K15" s="203"/>
      <c r="L15" s="203"/>
    </row>
    <row r="16" x14ac:dyDescent="0.25">
      <c r="A16" s="204" t="s">
        <v>372</v>
      </c>
      <c r="B16" s="205" t="s">
        <v>329</v>
      </c>
      <c r="C16" s="208" t="s">
        <v>325</v>
      </c>
      <c r="D16" s="208"/>
      <c r="E16" s="208"/>
      <c r="F16" s="208"/>
      <c r="G16" s="208"/>
      <c r="H16" s="208"/>
      <c r="I16" s="208"/>
      <c r="J16" s="208"/>
      <c r="K16" s="208"/>
      <c r="L16" s="208"/>
    </row>
    <row r="17" x14ac:dyDescent="0.25">
      <c r="A17" s="204"/>
      <c r="B17" s="206"/>
      <c r="C17" s="108" t="s">
        <v>305</v>
      </c>
      <c r="D17" s="108" t="s">
        <v>308</v>
      </c>
      <c r="E17" s="108" t="s">
        <v>310</v>
      </c>
      <c r="F17" s="108" t="s">
        <v>312</v>
      </c>
      <c r="G17" s="108" t="s">
        <v>314</v>
      </c>
      <c r="H17" s="108" t="s">
        <v>315</v>
      </c>
      <c r="I17" s="108" t="s">
        <v>317</v>
      </c>
      <c r="J17" s="108" t="s">
        <v>319</v>
      </c>
      <c r="K17" s="108" t="s">
        <v>321</v>
      </c>
      <c r="L17" s="108" t="s">
        <v>323</v>
      </c>
    </row>
    <row r="18" x14ac:dyDescent="0.25">
      <c r="A18" s="204"/>
      <c r="B18" s="207"/>
      <c r="C18" s="108" t="s">
        <v>306</v>
      </c>
      <c r="D18" s="108" t="s">
        <v>309</v>
      </c>
      <c r="E18" s="108" t="s">
        <v>311</v>
      </c>
      <c r="F18" s="108" t="s">
        <v>313</v>
      </c>
      <c r="G18" s="108" t="s">
        <v>313</v>
      </c>
      <c r="H18" s="108" t="s">
        <v>316</v>
      </c>
      <c r="I18" s="108" t="s">
        <v>318</v>
      </c>
      <c r="J18" s="108" t="s">
        <v>320</v>
      </c>
      <c r="K18" s="108" t="s">
        <v>322</v>
      </c>
      <c r="L18" s="108" t="s">
        <v>324</v>
      </c>
    </row>
    <row r="19" ht="15.75" thickBot="true" x14ac:dyDescent="0.3">
      <c r="A19" s="124" t="s">
        <v>354</v>
      </c>
      <c r="B19" s="125" t="s">
        <v>355</v>
      </c>
      <c r="C19" s="132">
        <v>0</v>
      </c>
      <c r="D19" s="132">
        <v>0</v>
      </c>
      <c r="E19" s="132">
        <v>0</v>
      </c>
      <c r="F19" s="132">
        <v>0</v>
      </c>
      <c r="G19" s="132">
        <v>0</v>
      </c>
      <c r="H19" s="132">
        <v>-274511819.94059998</v>
      </c>
      <c r="I19" s="132">
        <v>0</v>
      </c>
      <c r="J19" s="132">
        <v>0</v>
      </c>
      <c r="K19" s="132">
        <v>0</v>
      </c>
      <c r="L19" s="132">
        <v>0</v>
      </c>
    </row>
    <row r="20" x14ac:dyDescent="0.25">
      <c r="A20" s="120" t="s">
        <v>398</v>
      </c>
      <c r="B20" s="147" t="s">
        <v>402</v>
      </c>
      <c r="C20" s="133">
        <v>1096.3477597250001</v>
      </c>
      <c r="D20" s="133">
        <v>9033.9055401340011</v>
      </c>
      <c r="E20" s="133">
        <v>59390298.345973365</v>
      </c>
      <c r="F20" s="133">
        <v>0.70604795726290015</v>
      </c>
      <c r="G20" s="133">
        <v>0.35653229146256993</v>
      </c>
      <c r="H20" s="133">
        <v>11522220.269516246</v>
      </c>
      <c r="I20" s="133">
        <v>194185.11520249202</v>
      </c>
      <c r="J20" s="133">
        <v>0.10919623686861001</v>
      </c>
      <c r="K20" s="133">
        <v>4473.0988596780007</v>
      </c>
      <c r="L20" s="133">
        <v>26102899.957382135</v>
      </c>
    </row>
    <row r="21" x14ac:dyDescent="0.25">
      <c r="A21" s="117" t="s">
        <v>397</v>
      </c>
      <c r="B21" s="148" t="s">
        <v>403</v>
      </c>
      <c r="C21" s="128">
        <v>177.15006371188497</v>
      </c>
      <c r="D21" s="128">
        <v>2120.9505220535957</v>
      </c>
      <c r="E21" s="128">
        <v>1687513.7329295354</v>
      </c>
      <c r="F21" s="128">
        <v>0.0339531402168156</v>
      </c>
      <c r="G21" s="128">
        <v>0.023268376147042892</v>
      </c>
      <c r="H21" s="128">
        <v>221387.43269332635</v>
      </c>
      <c r="I21" s="128">
        <v>51112.390367035339</v>
      </c>
      <c r="J21" s="128">
        <v>0.0035547892053502624</v>
      </c>
      <c r="K21" s="128">
        <v>265.77662391253449</v>
      </c>
      <c r="L21" s="128">
        <v>404924.02908298216</v>
      </c>
    </row>
    <row r="22" x14ac:dyDescent="0.25">
      <c r="A22" s="117" t="s">
        <v>400</v>
      </c>
      <c r="B22" s="148" t="s">
        <v>404</v>
      </c>
      <c r="C22" s="128">
        <v>4830.0368094159994</v>
      </c>
      <c r="D22" s="128">
        <v>35880.273441375997</v>
      </c>
      <c r="E22" s="128">
        <v>249779044.97944224</v>
      </c>
      <c r="F22" s="128">
        <v>3.8443150115760001</v>
      </c>
      <c r="G22" s="128">
        <v>0.43371759104959995</v>
      </c>
      <c r="H22" s="128">
        <v>3629674.0900963396</v>
      </c>
      <c r="I22" s="128">
        <v>213014.480513224</v>
      </c>
      <c r="J22" s="128">
        <v>0.050764672588759989</v>
      </c>
      <c r="K22" s="128">
        <v>27649.496429412</v>
      </c>
      <c r="L22" s="128">
        <v>6062189.0567160007</v>
      </c>
    </row>
    <row r="23" x14ac:dyDescent="0.25">
      <c r="A23" s="117" t="s">
        <v>399</v>
      </c>
      <c r="B23" s="148" t="s">
        <v>403</v>
      </c>
      <c r="C23" s="128">
        <v>99.546812211614295</v>
      </c>
      <c r="D23" s="128">
        <v>1191.8362257683439</v>
      </c>
      <c r="E23" s="128">
        <v>948272.94530172122</v>
      </c>
      <c r="F23" s="128">
        <v>0.019079456153371921</v>
      </c>
      <c r="G23" s="128">
        <v>0.013075313789026226</v>
      </c>
      <c r="H23" s="128">
        <v>124405.33594262211</v>
      </c>
      <c r="I23" s="128">
        <v>28721.83853023719</v>
      </c>
      <c r="J23" s="128">
        <v>0.0019975602947137705</v>
      </c>
      <c r="K23" s="128">
        <v>149.34917389523298</v>
      </c>
      <c r="L23" s="128">
        <v>227540.96407581228</v>
      </c>
    </row>
    <row r="24" x14ac:dyDescent="0.25">
      <c r="A24" s="117" t="s">
        <v>351</v>
      </c>
      <c r="B24" s="119" t="s">
        <v>349</v>
      </c>
      <c r="C24" s="128">
        <v>9.2439873980693843</v>
      </c>
      <c r="D24" s="128">
        <v>19.698737112720043</v>
      </c>
      <c r="E24" s="128">
        <v>56602.814297173318</v>
      </c>
      <c r="F24" s="128">
        <v>0.0012900905866815961</v>
      </c>
      <c r="G24" s="128">
        <v>0.0004866991102795767</v>
      </c>
      <c r="H24" s="128">
        <v>5164.1024704663232</v>
      </c>
      <c r="I24" s="128">
        <v>214.45683261257457</v>
      </c>
      <c r="J24" s="128">
        <v>0.00032114820791004437</v>
      </c>
      <c r="K24" s="128">
        <v>29.553487655982163</v>
      </c>
      <c r="L24" s="128">
        <v>5403.6221199794063</v>
      </c>
    </row>
    <row r="25" x14ac:dyDescent="0.25">
      <c r="A25" s="117" t="s">
        <v>326</v>
      </c>
      <c r="B25" s="119" t="s">
        <v>333</v>
      </c>
      <c r="C25" s="128">
        <v>66737.336569483261</v>
      </c>
      <c r="D25" s="128">
        <v>55687.196217392389</v>
      </c>
      <c r="E25" s="128">
        <v>203836200.82527578</v>
      </c>
      <c r="F25" s="128">
        <v>5.8907709569883995</v>
      </c>
      <c r="G25" s="128">
        <v>2.1867721175055999</v>
      </c>
      <c r="H25" s="128">
        <v>28873815.323559131</v>
      </c>
      <c r="I25" s="128">
        <v>570515.51597548358</v>
      </c>
      <c r="J25" s="128">
        <v>0.1627793851514</v>
      </c>
      <c r="K25" s="128">
        <v>167812.76944501355</v>
      </c>
      <c r="L25" s="128">
        <v>42032695.102911182</v>
      </c>
    </row>
    <row r="26" x14ac:dyDescent="0.25">
      <c r="A26" s="117" t="s">
        <v>327</v>
      </c>
      <c r="B26" s="119" t="s">
        <v>334</v>
      </c>
      <c r="C26" s="128">
        <v>26266.396055978286</v>
      </c>
      <c r="D26" s="128">
        <v>21917.295868859244</v>
      </c>
      <c r="E26" s="128">
        <v>80225592.698747978</v>
      </c>
      <c r="F26" s="128">
        <v>2.3184821418549695</v>
      </c>
      <c r="G26" s="128">
        <v>0.86066698905147987</v>
      </c>
      <c r="H26" s="128">
        <v>11364119.515710115</v>
      </c>
      <c r="I26" s="128">
        <v>224542.77124306411</v>
      </c>
      <c r="J26" s="128">
        <v>0.064066503398494998</v>
      </c>
      <c r="K26" s="128">
        <v>66047.536387732529</v>
      </c>
      <c r="L26" s="128">
        <v>16543174.684889777</v>
      </c>
    </row>
    <row r="27" ht="15.75" thickBot="true" x14ac:dyDescent="0.3">
      <c r="A27" s="122" t="s">
        <v>328</v>
      </c>
      <c r="B27" s="123" t="s">
        <v>335</v>
      </c>
      <c r="C27" s="132">
        <v>163.5893443802112</v>
      </c>
      <c r="D27" s="132">
        <v>136.50277922150428</v>
      </c>
      <c r="E27" s="132">
        <v>499651.80164543277</v>
      </c>
      <c r="F27" s="132">
        <v>0.014439703594469999</v>
      </c>
      <c r="G27" s="132">
        <v>0.0053603070694800007</v>
      </c>
      <c r="H27" s="132">
        <v>70776.701039283143</v>
      </c>
      <c r="I27" s="132">
        <v>1398.4714406454759</v>
      </c>
      <c r="J27" s="132">
        <v>0.00039901162174500011</v>
      </c>
      <c r="K27" s="132">
        <v>411.34966337104862</v>
      </c>
      <c r="L27" s="132">
        <v>103032.2962808013</v>
      </c>
    </row>
    <row r="28" x14ac:dyDescent="0.25">
      <c r="A28" s="120" t="s">
        <v>407</v>
      </c>
      <c r="B28" s="121" t="s">
        <v>405</v>
      </c>
      <c r="C28" s="133">
        <v>178.27392396323529</v>
      </c>
      <c r="D28" s="133">
        <v>1150.6771455808823</v>
      </c>
      <c r="E28" s="133">
        <v>2949623.1055735289</v>
      </c>
      <c r="F28" s="133">
        <v>0.048458093877279416</v>
      </c>
      <c r="G28" s="133">
        <v>0.064502747033970589</v>
      </c>
      <c r="H28" s="133">
        <v>811292.21451596322</v>
      </c>
      <c r="I28" s="133">
        <v>27243.49692565441</v>
      </c>
      <c r="J28" s="133">
        <v>0.013483991339764705</v>
      </c>
      <c r="K28" s="133">
        <v>518.61505152941174</v>
      </c>
      <c r="L28" s="133">
        <v>10326160.497722477</v>
      </c>
    </row>
    <row r="29" x14ac:dyDescent="0.25">
      <c r="A29" s="118" t="s">
        <v>348</v>
      </c>
      <c r="B29" s="149" t="s">
        <v>406</v>
      </c>
      <c r="C29" s="128">
        <v>3341.3677417099998</v>
      </c>
      <c r="D29" s="128">
        <v>21912.337927214001</v>
      </c>
      <c r="E29" s="128">
        <v>102659232.84441355</v>
      </c>
      <c r="F29" s="128">
        <v>1.2415819082354003</v>
      </c>
      <c r="G29" s="128">
        <v>1.019996468522</v>
      </c>
      <c r="H29" s="128">
        <v>40071229.539435111</v>
      </c>
      <c r="I29" s="128">
        <v>394633.11644195998</v>
      </c>
      <c r="J29" s="128">
        <v>0.93910019688059998</v>
      </c>
      <c r="K29" s="128">
        <v>8476.522376338</v>
      </c>
      <c r="L29" s="128">
        <v>103057488.70693336</v>
      </c>
    </row>
    <row r="30" x14ac:dyDescent="0.25">
      <c r="A30" s="117" t="s">
        <v>350</v>
      </c>
      <c r="B30" s="119" t="s">
        <v>332</v>
      </c>
      <c r="C30" s="128">
        <v>7217.037010013697</v>
      </c>
      <c r="D30" s="128">
        <v>15379.349697374369</v>
      </c>
      <c r="E30" s="128">
        <v>44191384.95785366</v>
      </c>
      <c r="F30" s="128">
        <v>1.0072094551206221</v>
      </c>
      <c r="G30" s="128">
        <v>0.37997947642832536</v>
      </c>
      <c r="H30" s="128">
        <v>4031757.8386835954</v>
      </c>
      <c r="I30" s="128">
        <v>167432.38944035239</v>
      </c>
      <c r="J30" s="128">
        <v>0.25072930136949617</v>
      </c>
      <c r="K30" s="128">
        <v>23073.226412311174</v>
      </c>
      <c r="L30" s="128">
        <v>4218757.4634907935</v>
      </c>
    </row>
    <row r="31" x14ac:dyDescent="0.25">
      <c r="A31" s="117" t="s">
        <v>330</v>
      </c>
      <c r="B31" s="119" t="s">
        <v>408</v>
      </c>
      <c r="C31" s="128">
        <v>18087.824786245939</v>
      </c>
      <c r="D31" s="128">
        <v>15092.904508839471</v>
      </c>
      <c r="E31" s="128">
        <v>55245739.119105756</v>
      </c>
      <c r="F31" s="128">
        <v>1.5965760457787699</v>
      </c>
      <c r="G31" s="128">
        <v>0.59268099301068</v>
      </c>
      <c r="H31" s="128">
        <v>7825672.0949480422</v>
      </c>
      <c r="I31" s="128">
        <v>154626.85838616383</v>
      </c>
      <c r="J31" s="128">
        <v>0.044118107625795003</v>
      </c>
      <c r="K31" s="128">
        <v>45482.306106954573</v>
      </c>
      <c r="L31" s="128">
        <v>11392124.160118276</v>
      </c>
    </row>
    <row r="32" x14ac:dyDescent="0.25">
      <c r="A32" s="117" t="s">
        <v>386</v>
      </c>
      <c r="B32" s="119" t="s">
        <v>388</v>
      </c>
      <c r="C32" s="128">
        <v>0</v>
      </c>
      <c r="D32" s="128">
        <v>0</v>
      </c>
      <c r="E32" s="128">
        <v>0</v>
      </c>
      <c r="F32" s="128">
        <v>0</v>
      </c>
      <c r="G32" s="128">
        <v>0</v>
      </c>
      <c r="H32" s="128">
        <v>296177030.10645115</v>
      </c>
      <c r="I32" s="128">
        <v>0</v>
      </c>
      <c r="J32" s="128">
        <v>0</v>
      </c>
      <c r="K32" s="128">
        <v>0</v>
      </c>
      <c r="L32" s="128">
        <v>0</v>
      </c>
    </row>
    <row r="33" ht="15.75" thickBot="true" x14ac:dyDescent="0.3">
      <c r="A33" s="122" t="s">
        <v>401</v>
      </c>
      <c r="B33" s="123" t="s">
        <v>389</v>
      </c>
      <c r="C33" s="132">
        <v>7565.6383886576323</v>
      </c>
      <c r="D33" s="132">
        <v>79151.252485936086</v>
      </c>
      <c r="E33" s="132">
        <v>0</v>
      </c>
      <c r="F33" s="132">
        <v>0</v>
      </c>
      <c r="G33" s="132">
        <v>0</v>
      </c>
      <c r="H33" s="132">
        <v>429510.28946540586</v>
      </c>
      <c r="I33" s="132">
        <v>375820.59684253996</v>
      </c>
      <c r="J33" s="132">
        <v>0</v>
      </c>
      <c r="K33" s="132">
        <v>4985.6935904980928</v>
      </c>
      <c r="L33" s="132">
        <v>0</v>
      </c>
    </row>
    <row r="34" x14ac:dyDescent="0.25">
      <c r="A34" s="120" t="s">
        <v>357</v>
      </c>
      <c r="B34" s="121" t="s">
        <v>359</v>
      </c>
      <c r="C34" s="133">
        <v>-1273.497823436885</v>
      </c>
      <c r="D34" s="133">
        <v>-11154.856062187597</v>
      </c>
      <c r="E34" s="133">
        <v>-61077812.0789029</v>
      </c>
      <c r="F34" s="133">
        <v>-0.74000109747971565</v>
      </c>
      <c r="G34" s="133">
        <v>-0.3798006676096129</v>
      </c>
      <c r="H34" s="133">
        <v>-11743607.702209573</v>
      </c>
      <c r="I34" s="133">
        <v>-245297.50556952736</v>
      </c>
      <c r="J34" s="133">
        <v>-0.11275102607396026</v>
      </c>
      <c r="K34" s="133">
        <v>-4738.8754835905347</v>
      </c>
      <c r="L34" s="133">
        <v>-26507823.986465119</v>
      </c>
    </row>
    <row r="35" x14ac:dyDescent="0.25">
      <c r="A35" s="117" t="s">
        <v>358</v>
      </c>
      <c r="B35" s="119" t="s">
        <v>360</v>
      </c>
      <c r="C35" s="128">
        <v>-4929.5836216276139</v>
      </c>
      <c r="D35" s="128">
        <v>-37072.109667144345</v>
      </c>
      <c r="E35" s="128">
        <v>-250727317.92474398</v>
      </c>
      <c r="F35" s="128">
        <v>-3.8633944677293717</v>
      </c>
      <c r="G35" s="128">
        <v>-0.44679290483862616</v>
      </c>
      <c r="H35" s="128">
        <v>-3754079.4260389623</v>
      </c>
      <c r="I35" s="128">
        <v>-241736.3190434612</v>
      </c>
      <c r="J35" s="128">
        <v>-0.052762232883473766</v>
      </c>
      <c r="K35" s="128">
        <v>-27798.845603307233</v>
      </c>
      <c r="L35" s="128">
        <v>-6289730.0207918128</v>
      </c>
    </row>
    <row r="36" x14ac:dyDescent="0.25">
      <c r="A36" s="117" t="s">
        <v>430</v>
      </c>
      <c r="B36" s="119" t="s">
        <v>431</v>
      </c>
      <c r="C36" s="128">
        <v>0</v>
      </c>
      <c r="D36" s="128">
        <v>0</v>
      </c>
      <c r="E36" s="128">
        <v>0</v>
      </c>
      <c r="F36" s="128">
        <v>0</v>
      </c>
      <c r="G36" s="128">
        <v>0</v>
      </c>
      <c r="H36" s="128">
        <v>-44220990.0594</v>
      </c>
      <c r="I36" s="128">
        <v>0</v>
      </c>
      <c r="J36" s="128">
        <v>0</v>
      </c>
      <c r="K36" s="128">
        <v>0</v>
      </c>
      <c r="L36" s="128">
        <v>0</v>
      </c>
    </row>
    <row r="37" x14ac:dyDescent="0.25">
      <c r="A37" s="130" t="s">
        <v>390</v>
      </c>
      <c r="B37" s="131"/>
      <c r="C37" s="134">
        <f>SUM(C19:C36)</f>
        <v>56943.33766121247</v>
      </c>
      <c r="D37" s="134">
        <f t="shared" ref="D37:L37" si="0">SUM(D19:D36)</f>
        <v>196286.60273732131</v>
      </c>
      <c r="E37" s="134">
        <f t="shared" si="0"/>
        <v>372555406.32149065</v>
      </c>
      <c r="F37" s="134">
        <f t="shared" si="0"/>
        <v>9.9558911855669656</v>
      </c>
      <c r="G37" s="134">
        <f t="shared" si="0"/>
        <v>3.8741211959867137</v>
      </c>
      <c r="H37" s="134">
        <f t="shared" si="0"/>
        <v>72333117.285212144</v>
      </c>
      <c r="I37" s="134">
        <f t="shared" si="0"/>
        <v>2091428.3454902933</v>
      </c>
      <c r="J37" s="134">
        <f t="shared" si="0"/>
        <v>1.6185384197444652</v>
      </c>
      <c r="K37" s="134">
        <f t="shared" si="0"/>
        <v>192441.91541430517</v>
      </c>
      <c r="L37" s="134">
        <f t="shared" si="0"/>
        <v>171238015.89509046</v>
      </c>
    </row>
    <row r="38" x14ac:dyDescent="0.25">
      <c r="A38" s="200" t="s">
        <v>338</v>
      </c>
      <c r="B38" s="200"/>
      <c r="C38" s="108" t="s">
        <v>306</v>
      </c>
      <c r="D38" s="108" t="s">
        <v>309</v>
      </c>
      <c r="E38" s="108" t="s">
        <v>311</v>
      </c>
      <c r="F38" s="108" t="s">
        <v>313</v>
      </c>
      <c r="G38" s="108" t="s">
        <v>313</v>
      </c>
      <c r="H38" s="108" t="s">
        <v>316</v>
      </c>
      <c r="I38" s="108" t="s">
        <v>318</v>
      </c>
      <c r="J38" s="108" t="s">
        <v>320</v>
      </c>
      <c r="K38" s="108" t="s">
        <v>322</v>
      </c>
      <c r="L38" s="108" t="s">
        <v>324</v>
      </c>
      <c r="M38" s="107"/>
    </row>
    <row r="39" ht="15.75" thickBot="true" x14ac:dyDescent="0.3">
      <c r="A39" s="150" t="s">
        <v>352</v>
      </c>
      <c r="B39" s="151" t="s">
        <v>353</v>
      </c>
      <c r="C39" s="132">
        <f>SUM(C19)</f>
        <v>0</v>
      </c>
      <c r="D39" s="132">
        <f t="shared" ref="D39:L39" si="1">SUM(D19)</f>
        <v>0</v>
      </c>
      <c r="E39" s="132">
        <f t="shared" si="1"/>
        <v>0</v>
      </c>
      <c r="F39" s="132">
        <f t="shared" si="1"/>
        <v>0</v>
      </c>
      <c r="G39" s="132">
        <f t="shared" si="1"/>
        <v>0</v>
      </c>
      <c r="H39" s="132">
        <f t="shared" si="1"/>
        <v>-226671576.66981575</v>
      </c>
      <c r="I39" s="132">
        <f t="shared" si="1"/>
        <v>0</v>
      </c>
      <c r="J39" s="132">
        <f t="shared" si="1"/>
        <v>0</v>
      </c>
      <c r="K39" s="132">
        <f t="shared" si="1"/>
        <v>0</v>
      </c>
      <c r="L39" s="132">
        <f t="shared" si="1"/>
        <v>0</v>
      </c>
      <c r="M39" s="107"/>
    </row>
    <row r="40" x14ac:dyDescent="0.25">
      <c r="A40" s="120" t="s">
        <v>66</v>
      </c>
      <c r="B40" s="121" t="s">
        <v>342</v>
      </c>
      <c r="C40" s="133">
        <f>SUM(C20:C24)</f>
        <v>5746.1716561786343</v>
      </c>
      <c r="D40" s="133">
        <f t="shared" ref="D40:L40" si="2">SUM(D20:D24)</f>
        <v>44591.412488981565</v>
      </c>
      <c r="E40" s="133">
        <f t="shared" si="2"/>
        <v>288187059.60495752</v>
      </c>
      <c r="F40" s="133">
        <f t="shared" si="2"/>
        <v>4.2554305329815518</v>
      </c>
      <c r="G40" s="133">
        <f t="shared" si="2"/>
        <v>0.76451925094304174</v>
      </c>
      <c r="H40" s="133">
        <f t="shared" si="2"/>
        <v>14327545.528895581</v>
      </c>
      <c r="I40" s="133">
        <f t="shared" si="2"/>
        <v>450343.91343528114</v>
      </c>
      <c r="J40" s="133">
        <f t="shared" si="2"/>
        <v>0.15344064006210784</v>
      </c>
      <c r="K40" s="133">
        <f t="shared" si="2"/>
        <v>30110.834008127149</v>
      </c>
      <c r="L40" s="133">
        <f t="shared" si="2"/>
        <v>30312384.435990296</v>
      </c>
      <c r="M40" s="107"/>
    </row>
    <row r="41" ht="15.75" thickBot="true" x14ac:dyDescent="0.3">
      <c r="A41" s="122" t="s">
        <v>339</v>
      </c>
      <c r="B41" s="123" t="s">
        <v>340</v>
      </c>
      <c r="C41" s="132">
        <f>SUM(C25:C27)</f>
        <v>33363.241452149967</v>
      </c>
      <c r="D41" s="132">
        <f t="shared" ref="D41:L41" si="3">SUM(D25:D27)</f>
        <v>78300.079341305391</v>
      </c>
      <c r="E41" s="132">
        <f t="shared" si="3"/>
        <v>168615523.53169206</v>
      </c>
      <c r="F41" s="132">
        <f t="shared" si="3"/>
        <v>6.0895539333375579</v>
      </c>
      <c r="G41" s="132">
        <f t="shared" si="3"/>
        <v>2.035069437876305</v>
      </c>
      <c r="H41" s="132">
        <f t="shared" si="3"/>
        <v>39236321.057513654</v>
      </c>
      <c r="I41" s="132">
        <f t="shared" si="3"/>
        <v>974185.39175434329</v>
      </c>
      <c r="J41" s="132">
        <f t="shared" si="3"/>
        <v>0.40231757348785413</v>
      </c>
      <c r="K41" s="132">
        <f t="shared" si="3"/>
        <v>127175.32449606166</v>
      </c>
      <c r="L41" s="132">
        <f t="shared" si="3"/>
        <v>55522569.041101344</v>
      </c>
      <c r="M41" s="107"/>
    </row>
    <row r="42" x14ac:dyDescent="0.25">
      <c r="A42" s="120" t="s">
        <v>341</v>
      </c>
      <c r="B42" s="121" t="s">
        <v>343</v>
      </c>
      <c r="C42" s="133">
        <f>SUM(C28:C30)</f>
        <v>11201.856890731176</v>
      </c>
      <c r="D42" s="133">
        <f t="shared" ref="D42:L42" si="4">SUM(D28:D30)</f>
        <v>37419.120062862501</v>
      </c>
      <c r="E42" s="133">
        <f t="shared" si="4"/>
        <v>142502717.61632365</v>
      </c>
      <c r="F42" s="133">
        <f t="shared" si="4"/>
        <v>2.2638604460442622</v>
      </c>
      <c r="G42" s="133">
        <f t="shared" si="4"/>
        <v>1.369200294357706</v>
      </c>
      <c r="H42" s="133">
        <f t="shared" si="4"/>
        <v>40524220.508833773</v>
      </c>
      <c r="I42" s="133">
        <f t="shared" si="4"/>
        <v>554065.53599788842</v>
      </c>
      <c r="J42" s="133">
        <f t="shared" si="4"/>
        <v>1.1227817730523655</v>
      </c>
      <c r="K42" s="133">
        <f t="shared" si="4"/>
        <v>33828.485398350713</v>
      </c>
      <c r="L42" s="133">
        <f t="shared" si="4"/>
        <v>101962439.81786862</v>
      </c>
    </row>
    <row r="43" x14ac:dyDescent="0.25">
      <c r="A43" s="117" t="s">
        <v>344</v>
      </c>
      <c r="B43" s="119" t="s">
        <v>345</v>
      </c>
      <c r="C43" s="128">
        <f>SUM(C31)</f>
        <v>6437.9966426548144</v>
      </c>
      <c r="D43" s="128">
        <f t="shared" ref="D43:L43" si="5">SUM(D31)</f>
        <v>15109.312703980246</v>
      </c>
      <c r="E43" s="128">
        <f t="shared" si="5"/>
        <v>32537191.446263488</v>
      </c>
      <c r="F43" s="128">
        <f t="shared" si="5"/>
        <v>1.1750814990300118</v>
      </c>
      <c r="G43" s="128">
        <f t="shared" si="5"/>
        <v>0.39270075803059529</v>
      </c>
      <c r="H43" s="128">
        <f t="shared" si="5"/>
        <v>7571305.7917554723</v>
      </c>
      <c r="I43" s="128">
        <f t="shared" si="5"/>
        <v>187985.3997529867</v>
      </c>
      <c r="J43" s="128">
        <f t="shared" si="5"/>
        <v>7.7633919087586933E-2</v>
      </c>
      <c r="K43" s="128">
        <f t="shared" si="5"/>
        <v>24540.610459222036</v>
      </c>
      <c r="L43" s="128">
        <f t="shared" si="5"/>
        <v>10714010.315539822</v>
      </c>
    </row>
    <row r="44" ht="15.75" thickBot="true" x14ac:dyDescent="0.3">
      <c r="A44" s="122" t="s">
        <v>347</v>
      </c>
      <c r="B44" s="123" t="s">
        <v>331</v>
      </c>
      <c r="C44" s="132">
        <f>SUM(C32:C33)</f>
        <v>5352.353409956454</v>
      </c>
      <c r="D44" s="132">
        <f t="shared" ref="D44:L44" si="6">SUM(D32:D33)</f>
        <v>60970.666822224332</v>
      </c>
      <c r="E44" s="132">
        <f t="shared" si="6"/>
        <v>0</v>
      </c>
      <c r="F44" s="132">
        <f t="shared" si="6"/>
        <v>0</v>
      </c>
      <c r="G44" s="132">
        <f t="shared" si="6"/>
        <v>0</v>
      </c>
      <c r="H44" s="132">
        <f t="shared" si="6"/>
        <v>263550970.48880336</v>
      </c>
      <c r="I44" s="132">
        <f t="shared" si="6"/>
        <v>329849.71919513989</v>
      </c>
      <c r="J44" s="132">
        <f t="shared" si="6"/>
        <v>0</v>
      </c>
      <c r="K44" s="132">
        <f t="shared" si="6"/>
        <v>3843.9800955098158</v>
      </c>
      <c r="L44" s="132">
        <f t="shared" si="6"/>
        <v>0</v>
      </c>
    </row>
    <row r="45" x14ac:dyDescent="0.25">
      <c r="A45" s="120" t="s">
        <v>432</v>
      </c>
      <c r="B45" s="121" t="s">
        <v>356</v>
      </c>
      <c r="C45" s="133">
        <f>SUM(C34:C36)</f>
        <v>-5158.282390458583</v>
      </c>
      <c r="D45" s="133">
        <f t="shared" ref="D45:K45" si="7">SUM(D34:D36)</f>
        <v>-40103.988682032694</v>
      </c>
      <c r="E45" s="133">
        <f t="shared" si="7"/>
        <v>-259287085.8777459</v>
      </c>
      <c r="F45" s="133">
        <f t="shared" si="7"/>
        <v>-3.8280352258264196</v>
      </c>
      <c r="G45" s="133">
        <f t="shared" si="7"/>
        <v>-0.6873685452209336</v>
      </c>
      <c r="H45" s="133">
        <f t="shared" si="7"/>
        <v>-66205669.420773886</v>
      </c>
      <c r="I45" s="133">
        <f t="shared" si="7"/>
        <v>-405001.61464534694</v>
      </c>
      <c r="J45" s="133">
        <f t="shared" si="7"/>
        <v>-0.13763548594544933</v>
      </c>
      <c r="K45" s="133">
        <f t="shared" si="7"/>
        <v>-27057.319042966199</v>
      </c>
      <c r="L45" s="133">
        <f>SUM(L34:L36)</f>
        <v>-27273387.715409622</v>
      </c>
    </row>
    <row r="46" x14ac:dyDescent="0.25">
      <c r="A46" s="130" t="s">
        <v>390</v>
      </c>
      <c r="B46" s="131"/>
      <c r="C46" s="134">
        <f>SUM(C39:C45)</f>
        <v>56943.33766121247</v>
      </c>
      <c r="D46" s="134">
        <f t="shared" ref="D46:L46" si="8">SUM(D39:D45)</f>
        <v>196286.60273732134</v>
      </c>
      <c r="E46" s="134">
        <f t="shared" si="8"/>
        <v>372555406.32149088</v>
      </c>
      <c r="F46" s="134">
        <f t="shared" si="8"/>
        <v>9.9558911855669656</v>
      </c>
      <c r="G46" s="134">
        <f t="shared" si="8"/>
        <v>3.8741211959867146</v>
      </c>
      <c r="H46" s="134">
        <f t="shared" si="8"/>
        <v>72333117.285212189</v>
      </c>
      <c r="I46" s="134">
        <f t="shared" si="8"/>
        <v>2091428.3454902926</v>
      </c>
      <c r="J46" s="134">
        <f t="shared" si="8"/>
        <v>1.618538419744465</v>
      </c>
      <c r="K46" s="134">
        <f t="shared" si="8"/>
        <v>192441.91541430517</v>
      </c>
      <c r="L46" s="134">
        <f t="shared" si="8"/>
        <v>171238015.89509046</v>
      </c>
    </row>
    <row r="48" x14ac:dyDescent="0.25">
      <c r="A48" s="203" t="s">
        <v>362</v>
      </c>
      <c r="B48" s="203"/>
      <c r="C48" s="203"/>
      <c r="D48" s="203"/>
      <c r="E48" s="203"/>
      <c r="F48" s="203"/>
      <c r="G48" s="203"/>
      <c r="H48" s="203"/>
      <c r="I48" s="203"/>
      <c r="J48" s="203"/>
      <c r="K48" s="203"/>
      <c r="L48" s="203"/>
    </row>
    <row r="49" x14ac:dyDescent="0.25">
      <c r="A49" s="204" t="s">
        <v>372</v>
      </c>
      <c r="B49" s="205" t="s">
        <v>329</v>
      </c>
      <c r="C49" s="208" t="s">
        <v>325</v>
      </c>
      <c r="D49" s="208"/>
      <c r="E49" s="208"/>
      <c r="F49" s="208"/>
      <c r="G49" s="208"/>
      <c r="H49" s="208"/>
      <c r="I49" s="208"/>
      <c r="J49" s="208"/>
      <c r="K49" s="208"/>
      <c r="L49" s="208"/>
    </row>
    <row r="50" x14ac:dyDescent="0.25">
      <c r="A50" s="204"/>
      <c r="B50" s="206"/>
      <c r="C50" s="108" t="s">
        <v>305</v>
      </c>
      <c r="D50" s="108" t="s">
        <v>308</v>
      </c>
      <c r="E50" s="108" t="s">
        <v>310</v>
      </c>
      <c r="F50" s="108" t="s">
        <v>312</v>
      </c>
      <c r="G50" s="108" t="s">
        <v>314</v>
      </c>
      <c r="H50" s="108" t="s">
        <v>315</v>
      </c>
      <c r="I50" s="108" t="s">
        <v>317</v>
      </c>
      <c r="J50" s="108" t="s">
        <v>319</v>
      </c>
      <c r="K50" s="108" t="s">
        <v>321</v>
      </c>
      <c r="L50" s="108" t="s">
        <v>323</v>
      </c>
    </row>
    <row r="51" x14ac:dyDescent="0.25">
      <c r="A51" s="204"/>
      <c r="B51" s="207"/>
      <c r="C51" s="108" t="s">
        <v>363</v>
      </c>
      <c r="D51" s="108" t="s">
        <v>364</v>
      </c>
      <c r="E51" s="108" t="s">
        <v>365</v>
      </c>
      <c r="F51" s="108" t="s">
        <v>366</v>
      </c>
      <c r="G51" s="108" t="s">
        <v>366</v>
      </c>
      <c r="H51" s="108" t="s">
        <v>367</v>
      </c>
      <c r="I51" s="108" t="s">
        <v>368</v>
      </c>
      <c r="J51" s="108" t="s">
        <v>369</v>
      </c>
      <c r="K51" s="108" t="s">
        <v>370</v>
      </c>
      <c r="L51" s="108" t="s">
        <v>371</v>
      </c>
    </row>
    <row r="52" ht="15.75" thickBot="true" x14ac:dyDescent="0.3">
      <c r="A52" s="124" t="s">
        <v>354</v>
      </c>
      <c r="B52" s="125" t="s">
        <v>355</v>
      </c>
      <c r="C52" s="132">
        <v>0</v>
      </c>
      <c r="D52" s="132">
        <v>0</v>
      </c>
      <c r="E52" s="132">
        <v>0</v>
      </c>
      <c r="F52" s="132">
        <v>0</v>
      </c>
      <c r="G52" s="132">
        <v>0</v>
      </c>
      <c r="H52" s="132">
        <v>-103.32715888013648</v>
      </c>
      <c r="I52" s="132">
        <v>0</v>
      </c>
      <c r="J52" s="132">
        <v>0</v>
      </c>
      <c r="K52" s="132">
        <v>0</v>
      </c>
      <c r="L52" s="132">
        <v>0</v>
      </c>
    </row>
    <row r="53" x14ac:dyDescent="0.25">
      <c r="A53" s="120" t="s">
        <v>398</v>
      </c>
      <c r="B53" s="147" t="s">
        <v>402</v>
      </c>
      <c r="C53" s="133">
        <v>4.1266893054550191e-07</v>
      </c>
      <c r="D53" s="133">
        <v>3.4003919876949358e-06</v>
      </c>
      <c r="E53" s="133">
        <v>0.022354705143337605</v>
      </c>
      <c r="F53" s="133">
        <v>2.6575879127130325e-10</v>
      </c>
      <c r="G53" s="133">
        <v>1.3419993621339719e-10</v>
      </c>
      <c r="H53" s="133">
        <v>4.3370018992182278</v>
      </c>
      <c r="I53" s="133">
        <v>7.3091920978219301e-05</v>
      </c>
      <c r="J53" s="133">
        <v>4.1101825482331987e-11</v>
      </c>
      <c r="K53" s="133">
        <v>1.683689236625648e-06</v>
      </c>
      <c r="L53" s="133">
        <v>0.0098252180606006323</v>
      </c>
    </row>
    <row r="54" x14ac:dyDescent="0.25">
      <c r="A54" s="117" t="s">
        <v>397</v>
      </c>
      <c r="B54" s="148" t="s">
        <v>403</v>
      </c>
      <c r="C54" s="128">
        <v>6.6679871135403293e-08</v>
      </c>
      <c r="D54" s="128">
        <v>7.98332806276106e-07</v>
      </c>
      <c r="E54" s="128">
        <v>0.00063518576224714976</v>
      </c>
      <c r="F54" s="128">
        <v>1.2780074513445701e-11</v>
      </c>
      <c r="G54" s="128">
        <v>8.7582939035139598e-12</v>
      </c>
      <c r="H54" s="128">
        <v>0.083330963442370939</v>
      </c>
      <c r="I54" s="128">
        <v>1.9238873143389626e-05</v>
      </c>
      <c r="J54" s="128">
        <v>1.338034439049291e-12</v>
      </c>
      <c r="K54" s="128">
        <v>1.0003920214284056e-07</v>
      </c>
      <c r="L54" s="128">
        <v>0.00015241474664550234</v>
      </c>
    </row>
    <row r="55" x14ac:dyDescent="0.25">
      <c r="A55" s="117" t="s">
        <v>400</v>
      </c>
      <c r="B55" s="148" t="s">
        <v>404</v>
      </c>
      <c r="C55" s="128">
        <v>1.8180418639584488e-06</v>
      </c>
      <c r="D55" s="128">
        <v>1.3505453846548478e-05</v>
      </c>
      <c r="E55" s="128">
        <v>0.094017660409319484</v>
      </c>
      <c r="F55" s="128">
        <v>1.4470129121301941e-09</v>
      </c>
      <c r="G55" s="128">
        <v>1.6325273880443213e-10</v>
      </c>
      <c r="H55" s="128">
        <v>1.3662213578695914</v>
      </c>
      <c r="I55" s="128">
        <v>8.0179356490085884e-05</v>
      </c>
      <c r="J55" s="128">
        <v>1.9107991019155124e-11</v>
      </c>
      <c r="K55" s="128">
        <v>1.040736209878255e-05</v>
      </c>
      <c r="L55" s="128">
        <v>0.0022818280537437678</v>
      </c>
    </row>
    <row r="56" x14ac:dyDescent="0.25">
      <c r="A56" s="117" t="s">
        <v>399</v>
      </c>
      <c r="B56" s="148" t="s">
        <v>403</v>
      </c>
      <c r="C56" s="128">
        <v>3.7469750058945675e-08</v>
      </c>
      <c r="D56" s="128">
        <v>4.4861110565554297e-07</v>
      </c>
      <c r="E56" s="128">
        <v>0.00035693307961066212</v>
      </c>
      <c r="F56" s="128">
        <v>7.1815705339487516e-12</v>
      </c>
      <c r="G56" s="128">
        <v>4.9215914476057712e-12</v>
      </c>
      <c r="H56" s="128">
        <v>0.046826580783521699</v>
      </c>
      <c r="I56" s="128">
        <v>1.0810995219752713e-05</v>
      </c>
      <c r="J56" s="128">
        <v>7.5188831573519928e-13</v>
      </c>
      <c r="K56" s="128">
        <v>5.6215524063878466e-08</v>
      </c>
      <c r="L56" s="128">
        <v>8.5647173050283686e-05</v>
      </c>
    </row>
    <row r="57" x14ac:dyDescent="0.25">
      <c r="A57" s="117" t="s">
        <v>351</v>
      </c>
      <c r="B57" s="119" t="s">
        <v>349</v>
      </c>
      <c r="C57" s="128">
        <v>3.4794674953267048e-09</v>
      </c>
      <c r="D57" s="128">
        <v>7.4146699396204372e-09</v>
      </c>
      <c r="E57" s="128">
        <v>2.1305486908405017e-05</v>
      </c>
      <c r="F57" s="128">
        <v>4.8559437276202565e-13</v>
      </c>
      <c r="G57" s="128">
        <v>1.8319515824695884e-13</v>
      </c>
      <c r="H57" s="128">
        <v>0.0019437852860202524</v>
      </c>
      <c r="I57" s="128">
        <v>8.0722262600879016e-08</v>
      </c>
      <c r="J57" s="128">
        <v>1.2088124988560641e-13</v>
      </c>
      <c r="K57" s="128">
        <v>1.1124030707138909e-08</v>
      </c>
      <c r="L57" s="128">
        <v>2.0339412759718259e-06</v>
      </c>
    </row>
    <row r="58" x14ac:dyDescent="0.25">
      <c r="A58" s="117" t="s">
        <v>326</v>
      </c>
      <c r="B58" s="119" t="s">
        <v>333</v>
      </c>
      <c r="C58" s="128">
        <v>2.5120154682025266e-05</v>
      </c>
      <c r="D58" s="128">
        <v>2.0960845228409157e-05</v>
      </c>
      <c r="E58" s="128">
        <v>0.076724621594633419</v>
      </c>
      <c r="F58" s="128">
        <v>2.2173057128503318e-09</v>
      </c>
      <c r="G58" s="128">
        <v>8.2310827296633803e-10</v>
      </c>
      <c r="H58" s="128">
        <v>10.868199788477906</v>
      </c>
      <c r="I58" s="128">
        <v>0.00021474393115581553</v>
      </c>
      <c r="J58" s="128">
        <v>6.1270700094404381e-11</v>
      </c>
      <c r="K58" s="128">
        <v>6.3165282625398964e-05</v>
      </c>
      <c r="L58" s="128">
        <v>0.015821245751817245</v>
      </c>
    </row>
    <row r="59" x14ac:dyDescent="0.25">
      <c r="A59" s="117" t="s">
        <v>327</v>
      </c>
      <c r="B59" s="119" t="s">
        <v>334</v>
      </c>
      <c r="C59" s="128">
        <v>9.8867585340111492e-06</v>
      </c>
      <c r="D59" s="128">
        <v>8.2497428087235477e-06</v>
      </c>
      <c r="E59" s="128">
        <v>0.030197178995171728</v>
      </c>
      <c r="F59" s="128">
        <v>8.7268436267715187e-10</v>
      </c>
      <c r="G59" s="128">
        <v>3.2395790731289477e-10</v>
      </c>
      <c r="H59" s="128">
        <v>4.2774922514692513</v>
      </c>
      <c r="I59" s="128">
        <v>8.4518643330690226e-05</v>
      </c>
      <c r="J59" s="128">
        <v>2.4114844224134025e-11</v>
      </c>
      <c r="K59" s="128">
        <v>2.4860511607309112e-05</v>
      </c>
      <c r="L59" s="128">
        <v>0.0062269057828451104</v>
      </c>
    </row>
    <row r="60" ht="15.75" thickBot="true" x14ac:dyDescent="0.3">
      <c r="A60" s="122" t="s">
        <v>328</v>
      </c>
      <c r="B60" s="123" t="s">
        <v>335</v>
      </c>
      <c r="C60" s="132">
        <v>6.1575571432694725e-08</v>
      </c>
      <c r="D60" s="132">
        <v>5.1380098530010643e-08</v>
      </c>
      <c r="E60" s="132">
        <v>0.00018807059420805804</v>
      </c>
      <c r="F60" s="132">
        <v>5.435152292570599e-12</v>
      </c>
      <c r="G60" s="132">
        <v>2.0176373473984709e-12</v>
      </c>
      <c r="H60" s="132">
        <v>0.026640584856711749</v>
      </c>
      <c r="I60" s="132">
        <v>5.2638928541647492e-07</v>
      </c>
      <c r="J60" s="132">
        <v>1.5018929692713339e-13</v>
      </c>
      <c r="K60" s="132">
        <v>1.5483337668894588e-07</v>
      </c>
      <c r="L60" s="132">
        <v>3.8781697815035011e-05</v>
      </c>
    </row>
    <row r="61" x14ac:dyDescent="0.25">
      <c r="A61" s="120" t="s">
        <v>407</v>
      </c>
      <c r="B61" s="121" t="s">
        <v>405</v>
      </c>
      <c r="C61" s="133">
        <v>6.7102895858985222e-08</v>
      </c>
      <c r="D61" s="133">
        <v>4.3311869145345006e-07</v>
      </c>
      <c r="E61" s="133">
        <v>0.0011102479133032099</v>
      </c>
      <c r="F61" s="133">
        <v>1.8239787147124166e-11</v>
      </c>
      <c r="G61" s="133">
        <v>2.4279047774432835e-11</v>
      </c>
      <c r="H61" s="133">
        <v>0.30537307852772194</v>
      </c>
      <c r="I61" s="133">
        <v>1.0254542539904923e-05</v>
      </c>
      <c r="J61" s="133">
        <v>5.0754190322432454e-12</v>
      </c>
      <c r="K61" s="133">
        <v>1.9520842431704791e-07</v>
      </c>
      <c r="L61" s="133">
        <v>0.0038868010368400007</v>
      </c>
    </row>
    <row r="62" x14ac:dyDescent="0.25">
      <c r="A62" s="118" t="s">
        <v>348</v>
      </c>
      <c r="B62" s="149" t="s">
        <v>406</v>
      </c>
      <c r="C62" s="128">
        <v>1.2577018927612644e-06</v>
      </c>
      <c r="D62" s="128">
        <v>8.2478766230554509e-06</v>
      </c>
      <c r="E62" s="128">
        <v>0.038641275501080194</v>
      </c>
      <c r="F62" s="128">
        <v>4.6733554541550147e-10</v>
      </c>
      <c r="G62" s="128">
        <v>3.8393005147449122e-10</v>
      </c>
      <c r="H62" s="128">
        <v>15.082943612553942</v>
      </c>
      <c r="I62" s="128">
        <v>0.00014854121301875143</v>
      </c>
      <c r="J62" s="128">
        <v>3.5348042670237641e-10</v>
      </c>
      <c r="K62" s="128">
        <v>3.1905911174259443e-06</v>
      </c>
      <c r="L62" s="128">
        <v>0.038791180327730046</v>
      </c>
    </row>
    <row r="63" x14ac:dyDescent="0.25">
      <c r="A63" s="117" t="s">
        <v>350</v>
      </c>
      <c r="B63" s="119" t="s">
        <v>332</v>
      </c>
      <c r="C63" s="128">
        <v>2.716516651045742e-06</v>
      </c>
      <c r="D63" s="128">
        <v>5.7888382001096984e-06</v>
      </c>
      <c r="E63" s="128">
        <v>0.016633783768077694</v>
      </c>
      <c r="F63" s="128">
        <v>3.7911697724835228e-10</v>
      </c>
      <c r="G63" s="128">
        <v>1.4302553434892664e-10</v>
      </c>
      <c r="H63" s="128">
        <v>1.5175670135225472</v>
      </c>
      <c r="I63" s="128">
        <v>6.3022106330895661e-05</v>
      </c>
      <c r="J63" s="128">
        <v>9.4375340064108888e-11</v>
      </c>
      <c r="K63" s="128">
        <v>8.6848388965477617e-06</v>
      </c>
      <c r="L63" s="128">
        <v>0.0015879542921000606</v>
      </c>
    </row>
    <row r="64" x14ac:dyDescent="0.25">
      <c r="A64" s="117" t="s">
        <v>330</v>
      </c>
      <c r="B64" s="119" t="s">
        <v>408</v>
      </c>
      <c r="C64" s="128">
        <v>6.8083172006543069e-06</v>
      </c>
      <c r="D64" s="128">
        <v>5.6810192817381666e-06</v>
      </c>
      <c r="E64" s="128">
        <v>0.02079467931342853</v>
      </c>
      <c r="F64" s="128">
        <v>6.0095651539558418e-10</v>
      </c>
      <c r="G64" s="128">
        <v>2.2308709017813137e-10</v>
      </c>
      <c r="H64" s="128">
        <v>2.9456089143029107</v>
      </c>
      <c r="I64" s="128">
        <v>5.8202061998862996e-05</v>
      </c>
      <c r="J64" s="128">
        <v>1.6606201937417085e-11</v>
      </c>
      <c r="K64" s="128">
        <v>1.7119690767287205e-05</v>
      </c>
      <c r="L64" s="128">
        <v>0.0042880332924443536</v>
      </c>
    </row>
    <row r="65" x14ac:dyDescent="0.25">
      <c r="A65" s="117" t="s">
        <v>386</v>
      </c>
      <c r="B65" s="119" t="s">
        <v>388</v>
      </c>
      <c r="C65" s="128">
        <v>0</v>
      </c>
      <c r="D65" s="128">
        <v>0</v>
      </c>
      <c r="E65" s="128">
        <v>0</v>
      </c>
      <c r="F65" s="128">
        <v>0</v>
      </c>
      <c r="G65" s="128">
        <v>0</v>
      </c>
      <c r="H65" s="128">
        <v>111.48201579472344</v>
      </c>
      <c r="I65" s="128">
        <v>0</v>
      </c>
      <c r="J65" s="128">
        <v>0</v>
      </c>
      <c r="K65" s="128">
        <v>0</v>
      </c>
      <c r="L65" s="128">
        <v>0</v>
      </c>
    </row>
    <row r="66" ht="15.75" thickBot="true" x14ac:dyDescent="0.3">
      <c r="A66" s="122" t="s">
        <v>401</v>
      </c>
      <c r="B66" s="123" t="s">
        <v>389</v>
      </c>
      <c r="C66" s="132">
        <v>2.847731365387626e-06</v>
      </c>
      <c r="D66" s="132">
        <v>2.9792793778227137e-05</v>
      </c>
      <c r="E66" s="132">
        <v>0</v>
      </c>
      <c r="F66" s="132">
        <v>0</v>
      </c>
      <c r="G66" s="132">
        <v>0</v>
      </c>
      <c r="H66" s="132">
        <v>0.16166909654326925</v>
      </c>
      <c r="I66" s="132">
        <v>0.00014146011828845687</v>
      </c>
      <c r="J66" s="132">
        <v>0</v>
      </c>
      <c r="K66" s="132">
        <v>1.8766315922736825e-06</v>
      </c>
      <c r="L66" s="132">
        <v>0</v>
      </c>
    </row>
    <row r="67" x14ac:dyDescent="0.25">
      <c r="A67" s="120" t="s">
        <v>357</v>
      </c>
      <c r="B67" s="121" t="s">
        <v>359</v>
      </c>
      <c r="C67" s="133">
        <v>-4.7934880168090523e-07</v>
      </c>
      <c r="D67" s="133">
        <v>-4.1987247939710417e-06</v>
      </c>
      <c r="E67" s="133">
        <v>-0.022989890905584755</v>
      </c>
      <c r="F67" s="133">
        <v>-2.7853886578474895e-10</v>
      </c>
      <c r="G67" s="133">
        <v>-1.4295823011691116e-10</v>
      </c>
      <c r="H67" s="133">
        <v>-4.4203328626605982</v>
      </c>
      <c r="I67" s="133">
        <v>-9.2330794121608931e-05</v>
      </c>
      <c r="J67" s="133">
        <v>-4.2439859921381279e-11</v>
      </c>
      <c r="K67" s="133">
        <v>-1.7837284387684884e-06</v>
      </c>
      <c r="L67" s="133">
        <v>-0.0099776328072461347</v>
      </c>
    </row>
    <row r="68" x14ac:dyDescent="0.25">
      <c r="A68" s="117" t="s">
        <v>358</v>
      </c>
      <c r="B68" s="119" t="s">
        <v>360</v>
      </c>
      <c r="C68" s="128">
        <v>-1.8555116140173945e-06</v>
      </c>
      <c r="D68" s="128">
        <v>-1.3954064952204021e-05</v>
      </c>
      <c r="E68" s="128">
        <v>-0.094374593488930153</v>
      </c>
      <c r="F68" s="128">
        <v>-1.4541944826641428e-09</v>
      </c>
      <c r="G68" s="128">
        <v>-1.681743302520379e-10</v>
      </c>
      <c r="H68" s="128">
        <v>-1.4130479386531134</v>
      </c>
      <c r="I68" s="128">
        <v>-9.0990351709838602e-05</v>
      </c>
      <c r="J68" s="128">
        <v>-1.9859879334890324e-11</v>
      </c>
      <c r="K68" s="128">
        <v>-1.0463577622846428e-05</v>
      </c>
      <c r="L68" s="128">
        <v>-0.0023674752267940514</v>
      </c>
    </row>
    <row r="69" x14ac:dyDescent="0.25">
      <c r="A69" s="117" t="s">
        <v>430</v>
      </c>
      <c r="B69" s="119" t="s">
        <v>431</v>
      </c>
      <c r="C69" s="128">
        <v>0</v>
      </c>
      <c r="D69" s="128">
        <v>0</v>
      </c>
      <c r="E69" s="128">
        <v>0</v>
      </c>
      <c r="F69" s="128">
        <v>0</v>
      </c>
      <c r="G69" s="128">
        <v>0</v>
      </c>
      <c r="H69" s="128">
        <v>-16.644927226424233</v>
      </c>
      <c r="I69" s="128">
        <v>0</v>
      </c>
      <c r="J69" s="128">
        <v>0</v>
      </c>
      <c r="K69" s="128">
        <v>0</v>
      </c>
      <c r="L69" s="128">
        <v>0</v>
      </c>
    </row>
    <row r="70" x14ac:dyDescent="0.25">
      <c r="A70" s="130" t="s">
        <v>390</v>
      </c>
      <c r="B70" s="131"/>
      <c r="C70" s="134">
        <f>SUM(C52:C69)</f>
        <v>2.4182059442571725E-5</v>
      </c>
      <c r="D70" s="134">
        <f t="shared" ref="D70:L70" si="9">SUM(D52:D69)</f>
        <v>8.3356798005319085E-5</v>
      </c>
      <c r="E70" s="134">
        <f t="shared" si="9"/>
        <v>0.15821266106525456</v>
      </c>
      <c r="F70" s="134">
        <f t="shared" si="9"/>
        <v>4.2279564623614988E-9</v>
      </c>
      <c r="G70" s="134">
        <f t="shared" si="9"/>
        <v>1.645218438133312E-9</v>
      </c>
      <c r="H70" s="134">
        <f t="shared" si="9"/>
        <v>30.717618841808335</v>
      </c>
      <c r="I70" s="134">
        <f t="shared" si="9"/>
        <v>8.8816438670006866E-4</v>
      </c>
      <c r="J70" s="134">
        <f t="shared" si="9"/>
        <v>6.8734278466797872E-10</v>
      </c>
      <c r="K70" s="134">
        <f t="shared" si="9"/>
        <v>8.1724079214994148E-5</v>
      </c>
      <c r="L70" s="134">
        <f t="shared" si="9"/>
        <v>7.2719444438602468E-2</v>
      </c>
    </row>
    <row r="71" x14ac:dyDescent="0.25">
      <c r="A71" s="200" t="s">
        <v>338</v>
      </c>
      <c r="B71" s="200"/>
      <c r="C71" s="108" t="s">
        <v>363</v>
      </c>
      <c r="D71" s="108" t="s">
        <v>364</v>
      </c>
      <c r="E71" s="108" t="s">
        <v>365</v>
      </c>
      <c r="F71" s="108" t="s">
        <v>366</v>
      </c>
      <c r="G71" s="108" t="s">
        <v>366</v>
      </c>
      <c r="H71" s="108" t="s">
        <v>367</v>
      </c>
      <c r="I71" s="108" t="s">
        <v>368</v>
      </c>
      <c r="J71" s="108" t="s">
        <v>369</v>
      </c>
      <c r="K71" s="108" t="s">
        <v>370</v>
      </c>
      <c r="L71" s="108" t="s">
        <v>371</v>
      </c>
    </row>
    <row r="72" ht="15.75" thickBot="true" x14ac:dyDescent="0.3">
      <c r="A72" s="150" t="s">
        <v>352</v>
      </c>
      <c r="B72" s="151" t="s">
        <v>353</v>
      </c>
      <c r="C72" s="132">
        <f>SUM(C52)</f>
        <v>0</v>
      </c>
      <c r="D72" s="132">
        <f t="shared" ref="D72:L72" si="10">SUM(D52)</f>
        <v>0</v>
      </c>
      <c r="E72" s="132">
        <f t="shared" si="10"/>
        <v>0</v>
      </c>
      <c r="F72" s="132">
        <f t="shared" si="10"/>
        <v>0</v>
      </c>
      <c r="G72" s="132">
        <f t="shared" si="10"/>
        <v>0</v>
      </c>
      <c r="H72" s="132">
        <f t="shared" si="10"/>
        <v>-96.260348727409422</v>
      </c>
      <c r="I72" s="132">
        <f t="shared" si="10"/>
        <v>0</v>
      </c>
      <c r="J72" s="132">
        <f t="shared" si="10"/>
        <v>0</v>
      </c>
      <c r="K72" s="132">
        <f t="shared" si="10"/>
        <v>0</v>
      </c>
      <c r="L72" s="132">
        <f t="shared" si="10"/>
        <v>0</v>
      </c>
    </row>
    <row r="73" x14ac:dyDescent="0.25">
      <c r="A73" s="120" t="s">
        <v>66</v>
      </c>
      <c r="B73" s="121" t="s">
        <v>342</v>
      </c>
      <c r="C73" s="133">
        <f>SUM(C53:C57)</f>
        <v>2.4402198793412604E-6</v>
      </c>
      <c r="D73" s="133">
        <f t="shared" ref="D73:L73" si="11">SUM(D53:D57)</f>
        <v>1.8936582078350681E-5</v>
      </c>
      <c r="E73" s="133">
        <f t="shared" si="11"/>
        <v>0.12238405566265249</v>
      </c>
      <c r="F73" s="133">
        <f t="shared" si="11"/>
        <v>1.8071486205205247E-9</v>
      </c>
      <c r="G73" s="133">
        <f t="shared" si="11"/>
        <v>3.2466748052754371E-10</v>
      </c>
      <c r="H73" s="133">
        <f t="shared" si="11"/>
        <v>6.0844617101169138</v>
      </c>
      <c r="I73" s="133">
        <f t="shared" si="11"/>
        <v>1.9124701381370457E-4</v>
      </c>
      <c r="J73" s="133">
        <f t="shared" si="11"/>
        <v>6.5161454022313052E-11</v>
      </c>
      <c r="K73" s="133">
        <f t="shared" si="11"/>
        <v>1.2787132046633125E-5</v>
      </c>
      <c r="L73" s="133">
        <f t="shared" si="11"/>
        <v>1.2872724226990727E-2</v>
      </c>
    </row>
    <row r="74" ht="15.75" thickBot="true" x14ac:dyDescent="0.3">
      <c r="A74" s="122" t="s">
        <v>339</v>
      </c>
      <c r="B74" s="123" t="s">
        <v>340</v>
      </c>
      <c r="C74" s="132">
        <f>SUM(C58:C60)</f>
        <v>1.4168328045553221E-5</v>
      </c>
      <c r="D74" s="132">
        <f t="shared" ref="D74:L74" si="12">SUM(D58:D60)</f>
        <v>3.3251601517542892E-5</v>
      </c>
      <c r="E74" s="132">
        <f t="shared" si="12"/>
        <v>7.160575372737836E-2</v>
      </c>
      <c r="F74" s="132">
        <f t="shared" si="12"/>
        <v>2.5860436223607866E-9</v>
      </c>
      <c r="G74" s="132">
        <f t="shared" si="12"/>
        <v>8.6423051647018578E-10</v>
      </c>
      <c r="H74" s="132">
        <f t="shared" si="12"/>
        <v>16.662441772655676</v>
      </c>
      <c r="I74" s="132">
        <f t="shared" si="12"/>
        <v>4.137061510452204E-4</v>
      </c>
      <c r="J74" s="132">
        <f t="shared" si="12"/>
        <v>1.7085172517910597E-10</v>
      </c>
      <c r="K74" s="132">
        <f t="shared" si="12"/>
        <v>5.4007393716349094E-5</v>
      </c>
      <c r="L74" s="132">
        <f t="shared" si="12"/>
        <v>2.357870332336991E-2</v>
      </c>
    </row>
    <row r="75" x14ac:dyDescent="0.25">
      <c r="A75" s="120" t="s">
        <v>341</v>
      </c>
      <c r="B75" s="121" t="s">
        <v>343</v>
      </c>
      <c r="C75" s="133">
        <f>SUM(C61:C63)</f>
        <v>4.7570792356865718E-6</v>
      </c>
      <c r="D75" s="133">
        <f t="shared" ref="D75:L75" si="13">SUM(D61:D63)</f>
        <v>1.5890733188708601E-5</v>
      </c>
      <c r="E75" s="133">
        <f t="shared" si="13"/>
        <v>6.0516459513282717E-2</v>
      </c>
      <c r="F75" s="133">
        <f t="shared" si="13"/>
        <v>9.6139092164980831E-10</v>
      </c>
      <c r="G75" s="133">
        <f t="shared" si="13"/>
        <v>5.8145665966991635E-10</v>
      </c>
      <c r="H75" s="133">
        <f t="shared" si="13"/>
        <v>17.209372500060031</v>
      </c>
      <c r="I75" s="133">
        <f t="shared" si="13"/>
        <v>2.3529435183964974E-4</v>
      </c>
      <c r="J75" s="133">
        <f t="shared" si="13"/>
        <v>4.7681039946280973E-10</v>
      </c>
      <c r="K75" s="133">
        <f t="shared" si="13"/>
        <v>1.4365902638550541E-5</v>
      </c>
      <c r="L75" s="133">
        <f t="shared" si="13"/>
        <v>4.3300267983147241E-2</v>
      </c>
    </row>
    <row r="76" x14ac:dyDescent="0.25">
      <c r="A76" s="117" t="s">
        <v>344</v>
      </c>
      <c r="B76" s="119" t="s">
        <v>345</v>
      </c>
      <c r="C76" s="128">
        <f>SUM(C64)</f>
        <v>2.7340163730831265E-6</v>
      </c>
      <c r="D76" s="128">
        <f t="shared" ref="D76:L76" si="14">SUM(D64)</f>
        <v>6.4164538460648192E-6</v>
      </c>
      <c r="E76" s="128">
        <f t="shared" si="14"/>
        <v>1.3817530372544844E-2</v>
      </c>
      <c r="F76" s="128">
        <f t="shared" si="14"/>
        <v>4.9902046185757405E-10</v>
      </c>
      <c r="G76" s="128">
        <f t="shared" si="14"/>
        <v>1.6676776360278827E-10</v>
      </c>
      <c r="H76" s="128">
        <f t="shared" si="14"/>
        <v>3.2152974208048897</v>
      </c>
      <c r="I76" s="128">
        <f t="shared" si="14"/>
        <v>7.983153601231212E-5</v>
      </c>
      <c r="J76" s="128">
        <f t="shared" si="14"/>
        <v>3.2968704035320456E-11</v>
      </c>
      <c r="K76" s="128">
        <f t="shared" si="14"/>
        <v>1.0421631840631182E-5</v>
      </c>
      <c r="L76" s="128">
        <f t="shared" si="14"/>
        <v>4.5499060111327165E-3</v>
      </c>
    </row>
    <row r="77" ht="15.75" thickBot="true" x14ac:dyDescent="0.3">
      <c r="A77" s="122" t="s">
        <v>347</v>
      </c>
      <c r="B77" s="123" t="s">
        <v>331</v>
      </c>
      <c r="C77" s="132">
        <f>SUM(C65:C66)</f>
        <v>2.2729775533579518E-6</v>
      </c>
      <c r="D77" s="132">
        <f t="shared" ref="D77:L77" si="15">SUM(D65:D66)</f>
        <v>2.5892340524896284E-5</v>
      </c>
      <c r="E77" s="132">
        <f t="shared" si="15"/>
        <v>0</v>
      </c>
      <c r="F77" s="132">
        <f t="shared" si="15"/>
        <v>0</v>
      </c>
      <c r="G77" s="132">
        <f t="shared" si="15"/>
        <v>0</v>
      </c>
      <c r="H77" s="132">
        <f t="shared" si="15"/>
        <v>111.92187701440064</v>
      </c>
      <c r="I77" s="132">
        <f t="shared" si="15"/>
        <v>1.4007688773265745E-4</v>
      </c>
      <c r="J77" s="132">
        <f t="shared" si="15"/>
        <v>0</v>
      </c>
      <c r="K77" s="132">
        <f t="shared" si="15"/>
        <v>1.6324184528614027E-6</v>
      </c>
      <c r="L77" s="132">
        <f t="shared" si="15"/>
        <v>0</v>
      </c>
    </row>
    <row r="78" x14ac:dyDescent="0.25">
      <c r="A78" s="120" t="s">
        <v>433</v>
      </c>
      <c r="B78" s="121" t="s">
        <v>356</v>
      </c>
      <c r="C78" s="133">
        <f>SUM(C67:C69)</f>
        <v>-2.1905616444504081E-6</v>
      </c>
      <c r="D78" s="133">
        <f t="shared" ref="D78:L78" si="16">SUM(D67:D69)</f>
        <v>-1.7030913150244186E-5</v>
      </c>
      <c r="E78" s="133">
        <f t="shared" si="16"/>
        <v>-0.11011113821060386</v>
      </c>
      <c r="F78" s="133">
        <f t="shared" si="16"/>
        <v>-1.625647164027194E-9</v>
      </c>
      <c r="G78" s="133">
        <f t="shared" si="16"/>
        <v>-2.9190398213712192E-10</v>
      </c>
      <c r="H78" s="133">
        <f t="shared" si="16"/>
        <v>-28.115482848820388</v>
      </c>
      <c r="I78" s="133">
        <f t="shared" si="16"/>
        <v>-1.7199155374347569E-4</v>
      </c>
      <c r="J78" s="133">
        <f t="shared" si="16"/>
        <v>-5.8449498031570637E-11</v>
      </c>
      <c r="K78" s="133">
        <f t="shared" si="16"/>
        <v>-1.1490399480031194E-5</v>
      </c>
      <c r="L78" s="133">
        <f t="shared" si="16"/>
        <v>-1.1582157106038136E-2</v>
      </c>
    </row>
    <row r="79" x14ac:dyDescent="0.25">
      <c r="A79" s="130" t="s">
        <v>390</v>
      </c>
      <c r="B79" s="131"/>
      <c r="C79" s="134">
        <f>SUM(C72:C78)</f>
        <v>2.4182059442571725E-5</v>
      </c>
      <c r="D79" s="134">
        <f t="shared" ref="D79" si="17">SUM(D72:D78)</f>
        <v>8.3356798005319085E-5</v>
      </c>
      <c r="E79" s="134">
        <f t="shared" ref="E79" si="18">SUM(E72:E78)</f>
        <v>0.15821266106525456</v>
      </c>
      <c r="F79" s="134">
        <f t="shared" ref="F79" si="19">SUM(F72:F78)</f>
        <v>4.2279564623614988E-9</v>
      </c>
      <c r="G79" s="134">
        <f t="shared" ref="G79" si="20">SUM(G72:G78)</f>
        <v>1.645218438133312E-9</v>
      </c>
      <c r="H79" s="134">
        <f t="shared" ref="H79" si="21">SUM(H72:H78)</f>
        <v>30.717618841808321</v>
      </c>
      <c r="I79" s="134">
        <f t="shared" ref="I79" si="22">SUM(I72:I78)</f>
        <v>8.8816438670006866E-4</v>
      </c>
      <c r="J79" s="134">
        <f t="shared" ref="J79" si="23">SUM(J72:J78)</f>
        <v>6.8734278466797852E-10</v>
      </c>
      <c r="K79" s="134">
        <f t="shared" ref="K79" si="24">SUM(K72:K78)</f>
        <v>8.1724079214994148E-5</v>
      </c>
      <c r="L79" s="134">
        <f t="shared" ref="L79" si="25">SUM(L72:L78)</f>
        <v>7.2719444438602468E-2</v>
      </c>
    </row>
    <row r="80" x14ac:dyDescent="0.25">
      <c r="A80" s="200" t="s">
        <v>391</v>
      </c>
      <c r="B80" s="200"/>
      <c r="C80" s="108" t="s">
        <v>410</v>
      </c>
      <c r="D80" s="108" t="s">
        <v>411</v>
      </c>
      <c r="E80" s="108" t="s">
        <v>412</v>
      </c>
      <c r="F80" s="108" t="s">
        <v>413</v>
      </c>
      <c r="G80" s="108" t="s">
        <v>413</v>
      </c>
      <c r="H80" s="108" t="s">
        <v>414</v>
      </c>
      <c r="I80" s="108" t="s">
        <v>415</v>
      </c>
      <c r="J80" s="108" t="s">
        <v>416</v>
      </c>
      <c r="K80" s="108" t="s">
        <v>417</v>
      </c>
      <c r="L80" s="108" t="s">
        <v>418</v>
      </c>
    </row>
    <row r="81" ht="15.75" thickBot="true" x14ac:dyDescent="0.3">
      <c r="A81" s="124" t="s">
        <v>354</v>
      </c>
      <c r="B81" s="125" t="s">
        <v>355</v>
      </c>
      <c r="C81" s="132">
        <f>C19/('Process Model Outputs'!$C$3*1000)</f>
        <v>0</v>
      </c>
      <c r="D81" s="132">
        <f>D19/('Process Model Outputs'!$C$3*1000)</f>
        <v>0</v>
      </c>
      <c r="E81" s="132">
        <f>E19/('Process Model Outputs'!$C$3*1000)</f>
        <v>0</v>
      </c>
      <c r="F81" s="132">
        <f>F19/('Process Model Outputs'!$C$3*1000)</f>
        <v>0</v>
      </c>
      <c r="G81" s="132">
        <f>G19/('Process Model Outputs'!$C$3*1000)</f>
        <v>0</v>
      </c>
      <c r="H81" s="132">
        <f>H19/('Process Model Outputs'!$C$3*1000)</f>
        <v>-1.449242304299911</v>
      </c>
      <c r="I81" s="132">
        <f>I19/('Process Model Outputs'!$C$3*1000)</f>
        <v>0</v>
      </c>
      <c r="J81" s="132">
        <f>J19/('Process Model Outputs'!$C$3*1000)</f>
        <v>0</v>
      </c>
      <c r="K81" s="132">
        <f>K19/('Process Model Outputs'!$C$3*1000)</f>
        <v>0</v>
      </c>
      <c r="L81" s="132">
        <f>L19/('Process Model Outputs'!$C$3*1000)</f>
        <v>0</v>
      </c>
    </row>
    <row r="82" x14ac:dyDescent="0.25">
      <c r="A82" s="120" t="s">
        <v>221</v>
      </c>
      <c r="B82" s="121" t="s">
        <v>409</v>
      </c>
      <c r="C82" s="133">
        <f>(C20+C21)/('Process Model Outputs'!$C$3*1000)</f>
        <v>7.5231074635442759E-6</v>
      </c>
      <c r="D82" s="133">
        <f>(D20+D21)/('Process Model Outputs'!$C$3*1000)</f>
        <v>6.5896603317096037E-5</v>
      </c>
      <c r="E82" s="133">
        <f>(E20+E21)/('Process Model Outputs'!$C$3*1000)</f>
        <v>0.36081329347519042</v>
      </c>
      <c r="F82" s="133">
        <f>(F20+F21)/('Process Model Outputs'!$C$3*1000)</f>
        <v>4.3715094576732212E-9</v>
      </c>
      <c r="G82" s="133">
        <f>(G20+G21)/('Process Model Outputs'!$C$3*1000)</f>
        <v>2.24364830828043E-9</v>
      </c>
      <c r="H82" s="133">
        <f>(H20+H21)/('Process Model Outputs'!$C$3*1000)</f>
        <v>6.937461621645831E-2</v>
      </c>
      <c r="I82" s="133">
        <f>(I20+I21)/('Process Model Outputs'!$C$3*1000)</f>
        <v>1.4490794259534618E-3</v>
      </c>
      <c r="J82" s="133">
        <f>(J20+J21)/('Process Model Outputs'!$C$3*1000)</f>
        <v>6.6606952141471375E-10</v>
      </c>
      <c r="K82" s="133">
        <f>(K20+K21)/('Process Model Outputs'!$C$3*1000)</f>
        <v>2.7994605772621345E-5</v>
      </c>
      <c r="L82" s="133">
        <f>(L20+L21)/('Process Model Outputs'!$C$3*1000)</f>
        <v>0.15659328567731712</v>
      </c>
    </row>
    <row r="83" x14ac:dyDescent="0.25">
      <c r="A83" s="117" t="s">
        <v>346</v>
      </c>
      <c r="B83" s="121" t="s">
        <v>409</v>
      </c>
      <c r="C83" s="128">
        <f>(C22+C23)/('Process Model Outputs'!$C$3*1000)</f>
        <v>2.9121201979838031E-5</v>
      </c>
      <c r="D83" s="128">
        <f>(D22+D23)/('Process Model Outputs'!$C$3*1000)</f>
        <v>2.1900113200213185E-4</v>
      </c>
      <c r="E83" s="128">
        <f>(E22+E23)/('Process Model Outputs'!$C$3*1000)</f>
        <v>1.4811556974336877</v>
      </c>
      <c r="F83" s="128">
        <f>(F22+F23)/('Process Model Outputs'!$C$3*1000)</f>
        <v>2.2822757307317824E-8</v>
      </c>
      <c r="G83" s="128">
        <f>(G22+G23)/('Process Model Outputs'!$C$3*1000)</f>
        <v>2.6394006925615879E-9</v>
      </c>
      <c r="H83" s="128">
        <f>(H22+H23)/('Process Model Outputs'!$C$3*1000)</f>
        <v>2.2176985645278386E-2</v>
      </c>
      <c r="I83" s="128">
        <f>(I22+I23)/('Process Model Outputs'!$C$3*1000)</f>
        <v>1.4280419429020454E-3</v>
      </c>
      <c r="J83" s="128">
        <f>(J22+J23)/('Process Model Outputs'!$C$3*1000)</f>
        <v>3.1168953782745267E-10</v>
      </c>
      <c r="K83" s="128">
        <f>(K22+K23)/('Process Model Outputs'!$C$3*1000)</f>
        <v>1.6421991384192315E-4</v>
      </c>
      <c r="L83" s="128">
        <f>(L22+L23)/('Process Model Outputs'!$C$3*1000)</f>
        <v>3.7156180398386932E-2</v>
      </c>
    </row>
    <row r="84" ht="15.75" thickBot="true" x14ac:dyDescent="0.3">
      <c r="A84" s="122" t="s">
        <v>351</v>
      </c>
      <c r="B84" s="123" t="s">
        <v>349</v>
      </c>
      <c r="C84" s="132">
        <f>C24/('Process Model Outputs'!$C$3*1000)</f>
        <v>9.4284668192894072E-8</v>
      </c>
      <c r="D84" s="132">
        <f>D24/('Process Model Outputs'!$C$3*1000)</f>
        <v>2.0091858767351342E-7</v>
      </c>
      <c r="E84" s="132">
        <f>E24/('Process Model Outputs'!$C$3*1000)</f>
        <v>5.7732419301086211E-4</v>
      </c>
      <c r="F84" s="132">
        <f>F24/('Process Model Outputs'!$C$3*1000)</f>
        <v>1.3158365288279611E-11</v>
      </c>
      <c r="G84" s="132">
        <f>G24/('Process Model Outputs'!$C$3*1000)</f>
        <v>4.9641201514478974E-12</v>
      </c>
      <c r="H84" s="132">
        <f>H24/('Process Model Outputs'!$C$3*1000)</f>
        <v>5.2671608795541029E-5</v>
      </c>
      <c r="I84" s="132">
        <f>I24/('Process Model Outputs'!$C$3*1000)</f>
        <v>2.1873668184357956E-6</v>
      </c>
      <c r="J84" s="132">
        <f>J24/('Process Model Outputs'!$C$3*1000)</f>
        <v>3.2755726419385811E-12</v>
      </c>
      <c r="K84" s="132">
        <f>K24/('Process Model Outputs'!$C$3*1000)</f>
        <v>3.0143277544590978E-7</v>
      </c>
      <c r="L84" s="132">
        <f>L24/('Process Model Outputs'!$C$3*1000)</f>
        <v>5.5114605492478972E-5</v>
      </c>
    </row>
    <row r="85" x14ac:dyDescent="0.25">
      <c r="A85" s="120" t="s">
        <v>326</v>
      </c>
      <c r="B85" s="121" t="s">
        <v>333</v>
      </c>
      <c r="C85" s="133">
        <f>C25/('Process Model Outputs'!$C$3*1000)</f>
        <v>1.6117498383970199E-4</v>
      </c>
      <c r="D85" s="133">
        <f>D25/('Process Model Outputs'!$C$3*1000)</f>
        <v>3.7826102840103485E-4</v>
      </c>
      <c r="E85" s="133">
        <f>E25/('Process Model Outputs'!$C$3*1000)</f>
        <v>0.81456726317556494</v>
      </c>
      <c r="F85" s="133">
        <f>F25/('Process Model Outputs'!$C$3*1000)</f>
        <v>2.9418117487305079E-8</v>
      </c>
      <c r="G85" s="133">
        <f>G25/('Process Model Outputs'!$C$3*1000)</f>
        <v>9.8312474893307482E-9</v>
      </c>
      <c r="H85" s="133">
        <f>H25/('Process Model Outputs'!$C$3*1000)</f>
        <v>0.18954733224719689</v>
      </c>
      <c r="I85" s="133">
        <f>I25/('Process Model Outputs'!$C$3*1000)</f>
        <v>4.7062068293955246E-3</v>
      </c>
      <c r="J85" s="133">
        <f>J25/('Process Model Outputs'!$C$3*1000)</f>
        <v>1.9435620036600017E-9</v>
      </c>
      <c r="K85" s="133">
        <f>K25/('Process Model Outputs'!$C$3*1000)</f>
        <v>6.1437318372854657E-4</v>
      </c>
      <c r="L85" s="133">
        <f>L25/('Process Model Outputs'!$C$3*1000)</f>
        <v>0.26822481205169507</v>
      </c>
    </row>
    <row r="86" x14ac:dyDescent="0.25">
      <c r="A86" s="117" t="s">
        <v>327</v>
      </c>
      <c r="B86" s="119" t="s">
        <v>334</v>
      </c>
      <c r="C86" s="128">
        <f>C26/('Process Model Outputs'!$C$3*1000)</f>
        <v>5.1990985136288024E-5</v>
      </c>
      <c r="D86" s="128">
        <f>D26/('Process Model Outputs'!$C$3*1000)</f>
        <v>1.2201746844779822E-4</v>
      </c>
      <c r="E86" s="128">
        <f>E26/('Process Model Outputs'!$C$3*1000)</f>
        <v>0.26275885663737575</v>
      </c>
      <c r="F86" s="128">
        <f>F26/('Process Model Outputs'!$C$3*1000)</f>
        <v>9.4895428098271629E-9</v>
      </c>
      <c r="G86" s="128">
        <f>G26/('Process Model Outputs'!$C$3*1000)</f>
        <v>3.1713125071401836E-9</v>
      </c>
      <c r="H86" s="128">
        <f>H26/('Process Model Outputs'!$C$3*1000)</f>
        <v>6.1143189214079241E-2</v>
      </c>
      <c r="I86" s="128">
        <f>I26/('Process Model Outputs'!$C$3*1000)</f>
        <v>1.5181036379612665E-3</v>
      </c>
      <c r="J86" s="128">
        <f>J26/('Process Model Outputs'!$C$3*1000)</f>
        <v>6.2694408795002096E-10</v>
      </c>
      <c r="K86" s="128">
        <f>K26/('Process Model Outputs'!$C$3*1000)</f>
        <v>1.9818129527553039E-4</v>
      </c>
      <c r="L86" s="128">
        <f>L26/('Process Model Outputs'!$C$3*1000)</f>
        <v>8.6522560042150962E-2</v>
      </c>
    </row>
    <row r="87" x14ac:dyDescent="0.25">
      <c r="A87" s="138" t="s">
        <v>328</v>
      </c>
      <c r="B87" s="139" t="s">
        <v>335</v>
      </c>
      <c r="C87" s="140">
        <f>C27/('Process Model Outputs'!$C$3*1000)</f>
        <v>1.4450263845452713E-7</v>
      </c>
      <c r="D87" s="140">
        <f>D27/('Process Model Outputs'!$C$3*1000)</f>
        <v>3.3913275699679715E-7</v>
      </c>
      <c r="E87" s="140">
        <f>E27/('Process Model Outputs'!$C$3*1000)</f>
        <v>7.3030637834354596E-4</v>
      </c>
      <c r="F87" s="140">
        <f>F27/('Process Model Outputs'!$C$3*1000)</f>
        <v>2.6375033482297187E-11</v>
      </c>
      <c r="G87" s="140">
        <f>G27/('Process Model Outputs'!$C$3*1000)</f>
        <v>8.8142785416417352E-12</v>
      </c>
      <c r="H87" s="140">
        <f>H27/('Process Model Outputs'!$C$3*1000)</f>
        <v>1.6994007983880353E-4</v>
      </c>
      <c r="I87" s="140">
        <f>I27/('Process Model Outputs'!$C$3*1000)</f>
        <v>4.2193849675625036E-6</v>
      </c>
      <c r="J87" s="140">
        <f>J27/('Process Model Outputs'!$C$3*1000)</f>
        <v>1.742515065539943E-12</v>
      </c>
      <c r="K87" s="140">
        <f>K27/('Process Model Outputs'!$C$3*1000)</f>
        <v>5.5082087759213576E-7</v>
      </c>
      <c r="L87" s="140">
        <f>L27/('Process Model Outputs'!$C$3*1000)</f>
        <v>2.4047896340407193E-4</v>
      </c>
    </row>
    <row r="88" x14ac:dyDescent="0.25">
      <c r="A88" s="130" t="s">
        <v>390</v>
      </c>
      <c r="B88" s="131"/>
      <c r="C88" s="134">
        <f>SUM(C81:C87)</f>
        <v>2.500490657260197E-4</v>
      </c>
      <c r="D88" s="134">
        <f t="shared" ref="D88:L88" si="26">SUM(D81:D87)</f>
        <v>7.857162835127313E-4</v>
      </c>
      <c r="E88" s="134">
        <f t="shared" si="26"/>
        <v>2.9206027412931737</v>
      </c>
      <c r="F88" s="134">
        <f t="shared" si="26"/>
        <v>6.6141460460893865E-8</v>
      </c>
      <c r="G88" s="134">
        <f t="shared" si="26"/>
        <v>1.7899387396006039E-8</v>
      </c>
      <c r="H88" s="134">
        <f>SUM(H81:H87)</f>
        <v>-1.1067775692882638</v>
      </c>
      <c r="I88" s="134">
        <f t="shared" si="26"/>
        <v>9.1078385879982977E-3</v>
      </c>
      <c r="J88" s="134">
        <f t="shared" si="26"/>
        <v>3.5532832385596671E-9</v>
      </c>
      <c r="K88" s="134">
        <f t="shared" si="26"/>
        <v>1.0056212522716597E-3</v>
      </c>
      <c r="L88" s="134">
        <f t="shared" si="26"/>
        <v>0.54879243173844661</v>
      </c>
    </row>
    <row r="89" x14ac:dyDescent="0.25">
      <c r="A89" s="210" t="s">
        <v>392</v>
      </c>
      <c r="B89" s="210"/>
      <c r="C89" s="108" t="s">
        <v>410</v>
      </c>
      <c r="D89" s="108" t="s">
        <v>411</v>
      </c>
      <c r="E89" s="108" t="s">
        <v>412</v>
      </c>
      <c r="F89" s="108" t="s">
        <v>413</v>
      </c>
      <c r="G89" s="108" t="s">
        <v>413</v>
      </c>
      <c r="H89" s="108" t="s">
        <v>414</v>
      </c>
      <c r="I89" s="108" t="s">
        <v>415</v>
      </c>
      <c r="J89" s="108" t="s">
        <v>416</v>
      </c>
      <c r="K89" s="108" t="s">
        <v>417</v>
      </c>
      <c r="L89" s="108" t="s">
        <v>418</v>
      </c>
    </row>
    <row r="90" ht="15.75" thickBot="true" x14ac:dyDescent="0.3">
      <c r="A90" s="150" t="s">
        <v>352</v>
      </c>
      <c r="B90" s="151" t="s">
        <v>353</v>
      </c>
      <c r="C90" s="132">
        <f>C39/('Process Model Outputs'!$C$3*1000)</f>
        <v>0</v>
      </c>
      <c r="D90" s="132">
        <f>D39/('Process Model Outputs'!$C$3*1000)</f>
        <v>0</v>
      </c>
      <c r="E90" s="132">
        <f>E39/('Process Model Outputs'!$C$3*1000)</f>
        <v>0</v>
      </c>
      <c r="F90" s="132">
        <f>F39/('Process Model Outputs'!$C$3*1000)</f>
        <v>0</v>
      </c>
      <c r="G90" s="132">
        <f>G39/('Process Model Outputs'!$C$3*1000)</f>
        <v>0</v>
      </c>
      <c r="H90" s="132">
        <f>H39/('Process Model Outputs'!$C$3*1000)</f>
        <v>-1.449242304299911</v>
      </c>
      <c r="I90" s="132">
        <f>I39/('Process Model Outputs'!$C$3*1000)</f>
        <v>0</v>
      </c>
      <c r="J90" s="132">
        <f>J39/('Process Model Outputs'!$C$3*1000)</f>
        <v>0</v>
      </c>
      <c r="K90" s="132">
        <f>K39/('Process Model Outputs'!$C$3*1000)</f>
        <v>0</v>
      </c>
      <c r="L90" s="132">
        <f>L39/('Process Model Outputs'!$C$3*1000)</f>
        <v>0</v>
      </c>
    </row>
    <row r="91" ht="15.75" thickBot="true" x14ac:dyDescent="0.3">
      <c r="A91" s="152" t="s">
        <v>66</v>
      </c>
      <c r="B91" s="153" t="s">
        <v>342</v>
      </c>
      <c r="C91" s="154">
        <f>C40/('Process Model Outputs'!$C$3*1000)</f>
        <v>3.6738594111575196E-5</v>
      </c>
      <c r="D91" s="154">
        <f>D40/('Process Model Outputs'!$C$3*1000)</f>
        <v>2.8509865390690141E-4</v>
      </c>
      <c r="E91" s="154">
        <f>E40/('Process Model Outputs'!$C$3*1000)</f>
        <v>1.8425463151018893</v>
      </c>
      <c r="F91" s="154">
        <f>F40/('Process Model Outputs'!$C$3*1000)</f>
        <v>2.7207425130279325E-8</v>
      </c>
      <c r="G91" s="154">
        <f>G40/('Process Model Outputs'!$C$3*1000)</f>
        <v>4.8880131209934648E-9</v>
      </c>
      <c r="H91" s="154">
        <f>H40/('Process Model Outputs'!$C$3*1000)</f>
        <v>9.1604273470532238E-2</v>
      </c>
      <c r="I91" s="154">
        <f>I40/('Process Model Outputs'!$C$3*1000)</f>
        <v>2.8793087356739429E-3</v>
      </c>
      <c r="J91" s="154">
        <f>J40/('Process Model Outputs'!$C$3*1000)</f>
        <v>9.8103463188410508E-10</v>
      </c>
      <c r="K91" s="154">
        <f>K40/('Process Model Outputs'!$C$3*1000)</f>
        <v>1.9251595238999042E-4</v>
      </c>
      <c r="L91" s="154">
        <f>L40/('Process Model Outputs'!$C$3*1000)</f>
        <v>0.19380458068119652</v>
      </c>
    </row>
    <row r="92" x14ac:dyDescent="0.25">
      <c r="A92" s="120" t="s">
        <v>339</v>
      </c>
      <c r="B92" s="121" t="s">
        <v>340</v>
      </c>
      <c r="C92" s="133">
        <f>C41/('Process Model Outputs'!$C$3*1000)</f>
        <v>2.1331047161444455E-4</v>
      </c>
      <c r="D92" s="133">
        <f>D41/('Process Model Outputs'!$C$3*1000)</f>
        <v>5.0061762960582979E-4</v>
      </c>
      <c r="E92" s="133">
        <f>E41/('Process Model Outputs'!$C$3*1000)</f>
        <v>1.0780564261912842</v>
      </c>
      <c r="F92" s="133">
        <f>F41/('Process Model Outputs'!$C$3*1000)</f>
        <v>3.893403533061454E-8</v>
      </c>
      <c r="G92" s="133">
        <f>G41/('Process Model Outputs'!$C$3*1000)</f>
        <v>1.3011374275012573E-8</v>
      </c>
      <c r="H92" s="133">
        <f>H41/('Process Model Outputs'!$C$3*1000)</f>
        <v>0.25086046154111497</v>
      </c>
      <c r="I92" s="133">
        <f>I41/('Process Model Outputs'!$C$3*1000)</f>
        <v>6.2285298523243535E-3</v>
      </c>
      <c r="J92" s="133">
        <f>J41/('Process Model Outputs'!$C$3*1000)</f>
        <v>2.5722486066755623E-9</v>
      </c>
      <c r="K92" s="133">
        <f>K41/('Process Model Outputs'!$C$3*1000)</f>
        <v>8.1310529988166914E-4</v>
      </c>
      <c r="L92" s="133">
        <f>L41/('Process Model Outputs'!$C$3*1000)</f>
        <v>0.35498785105725011</v>
      </c>
    </row>
    <row r="93" x14ac:dyDescent="0.25">
      <c r="A93" s="130" t="s">
        <v>390</v>
      </c>
      <c r="B93" s="131"/>
      <c r="C93" s="134">
        <f>SUM(C90:C92)</f>
        <v>2.5004906572601975E-4</v>
      </c>
      <c r="D93" s="134">
        <f t="shared" ref="D93:L93" si="27">SUM(D90:D92)</f>
        <v>7.8571628351273119E-4</v>
      </c>
      <c r="E93" s="134">
        <f t="shared" si="27"/>
        <v>2.9206027412931732</v>
      </c>
      <c r="F93" s="134">
        <f t="shared" si="27"/>
        <v>6.6141460460893865E-8</v>
      </c>
      <c r="G93" s="134">
        <f t="shared" si="27"/>
        <v>1.7899387396006036E-8</v>
      </c>
      <c r="H93" s="134">
        <f t="shared" si="27"/>
        <v>-1.1067775692882638</v>
      </c>
      <c r="I93" s="134">
        <f t="shared" si="27"/>
        <v>9.1078385879982959E-3</v>
      </c>
      <c r="J93" s="134">
        <f t="shared" si="27"/>
        <v>3.5532832385596675E-9</v>
      </c>
      <c r="K93" s="134">
        <f t="shared" si="27"/>
        <v>1.0056212522716597E-3</v>
      </c>
      <c r="L93" s="134">
        <f t="shared" si="27"/>
        <v>0.54879243173844661</v>
      </c>
    </row>
    <row r="97" x14ac:dyDescent="0.25">
      <c r="B97" s="204" t="s">
        <v>372</v>
      </c>
      <c r="C97" s="208" t="s">
        <v>325</v>
      </c>
      <c r="D97" s="208"/>
      <c r="E97" s="208"/>
      <c r="F97" s="208"/>
      <c r="G97" s="208"/>
      <c r="H97" s="208"/>
      <c r="I97" s="208"/>
      <c r="J97" s="208"/>
      <c r="K97" s="208"/>
      <c r="L97" s="208"/>
    </row>
    <row r="98" x14ac:dyDescent="0.25">
      <c r="B98" s="204"/>
      <c r="C98" s="108" t="s">
        <v>305</v>
      </c>
      <c r="D98" s="108" t="s">
        <v>308</v>
      </c>
      <c r="E98" s="108" t="s">
        <v>310</v>
      </c>
      <c r="F98" s="108" t="s">
        <v>312</v>
      </c>
      <c r="G98" s="108" t="s">
        <v>314</v>
      </c>
      <c r="H98" s="108" t="s">
        <v>315</v>
      </c>
      <c r="I98" s="108" t="s">
        <v>317</v>
      </c>
      <c r="J98" s="108" t="s">
        <v>319</v>
      </c>
      <c r="K98" s="108" t="s">
        <v>321</v>
      </c>
      <c r="L98" s="108" t="s">
        <v>323</v>
      </c>
    </row>
    <row r="99" x14ac:dyDescent="0.25">
      <c r="B99" s="204"/>
      <c r="C99" s="108" t="s">
        <v>363</v>
      </c>
      <c r="D99" s="108" t="s">
        <v>364</v>
      </c>
      <c r="E99" s="108" t="s">
        <v>365</v>
      </c>
      <c r="F99" s="108" t="s">
        <v>366</v>
      </c>
      <c r="G99" s="108" t="s">
        <v>366</v>
      </c>
      <c r="H99" s="108" t="s">
        <v>367</v>
      </c>
      <c r="I99" s="108" t="s">
        <v>368</v>
      </c>
      <c r="J99" s="108" t="s">
        <v>369</v>
      </c>
      <c r="K99" s="108" t="s">
        <v>370</v>
      </c>
      <c r="L99" s="108" t="s">
        <v>371</v>
      </c>
    </row>
    <row r="100" x14ac:dyDescent="0.25">
      <c r="B100" s="117" t="s">
        <v>221</v>
      </c>
      <c r="C100" s="135">
        <f>(C53+C54)/SUM(C$53:C$66)</f>
        <v>1.8947433797530708E-2</v>
      </c>
      <c r="D100" s="135">
        <f t="shared" ref="D100:L100" si="28">(D53+D54)/SUM(D$53:D$66)</f>
        <v>4.3600242480163198E-2</v>
      </c>
      <c r="E100" s="135">
        <f t="shared" si="28"/>
        <v>8.9316102432421024E-2</v>
      </c>
      <c r="F100" s="135">
        <f t="shared" si="28"/>
        <v>4.9603753315713109E-2</v>
      </c>
      <c r="G100" s="135">
        <f t="shared" si="28"/>
        <v>7.6931489739609463E-2</v>
      </c>
      <c r="H100" s="135">
        <f t="shared" si="28"/>
        <v>2.971074647107029E-2</v>
      </c>
      <c r="I100" s="135">
        <f t="shared" si="28"/>
        <v>9.078808738187398E-2</v>
      </c>
      <c r="J100" s="135">
        <f t="shared" si="28"/>
        <v>5.9320950898763374E-2</v>
      </c>
      <c r="K100" s="135">
        <f t="shared" si="28"/>
        <v>1.9947910394969997E-2</v>
      </c>
      <c r="L100" s="135">
        <f t="shared" si="28"/>
        <v>0.12337970830339287</v>
      </c>
    </row>
    <row r="101" x14ac:dyDescent="0.25">
      <c r="B101" s="117" t="s">
        <v>346</v>
      </c>
      <c r="C101" s="135">
        <f>(C55+C56)/SUM(C$53:C$66)</f>
        <v>7.3343634833251639E-2</v>
      </c>
      <c r="D101" s="135">
        <f t="shared" ref="D101:L101" si="29">(D55+D56)/SUM(D$53:D$66)</f>
        <v>0.14490128440726385</v>
      </c>
      <c r="E101" s="135">
        <f t="shared" si="29"/>
        <v>0.36664684029843719</v>
      </c>
      <c r="F101" s="135">
        <f t="shared" si="29"/>
        <v>0.25897105666086118</v>
      </c>
      <c r="G101" s="135">
        <f t="shared" si="29"/>
        <v>9.0501272658968165E-2</v>
      </c>
      <c r="H101" s="135">
        <f t="shared" si="29"/>
        <v>9.497635214926298E-3</v>
      </c>
      <c r="I101" s="135">
        <f t="shared" si="29"/>
        <v>8.9470041721050414E-2</v>
      </c>
      <c r="J101" s="135">
        <f t="shared" si="29"/>
        <v>2.77594442842076E-2</v>
      </c>
      <c r="K101" s="135">
        <f t="shared" si="29"/>
        <v>0.11701697652024606</v>
      </c>
      <c r="L101" s="135">
        <f t="shared" si="29"/>
        <v>2.9275320965343743E-2</v>
      </c>
    </row>
    <row r="102" x14ac:dyDescent="0.25">
      <c r="B102" s="117" t="s">
        <v>351</v>
      </c>
      <c r="C102" s="135">
        <f>C57/SUM(C$53:C$66)</f>
        <v>2.3746204841069478E-4</v>
      </c>
      <c r="D102" s="135">
        <f t="shared" ref="D102:L102" si="30">D57/SUM(D$53:D$66)</f>
        <v>1.3293703621085456E-4</v>
      </c>
      <c r="E102" s="135">
        <f t="shared" si="30"/>
        <v>1.4291143838695219E-4</v>
      </c>
      <c r="F102" s="135">
        <f t="shared" si="30"/>
        <v>1.4930867978615162E-4</v>
      </c>
      <c r="G102" s="135">
        <f t="shared" si="30"/>
        <v>1.702125761367631E-4</v>
      </c>
      <c r="H102" s="135">
        <f t="shared" si="30"/>
        <v>2.2557426627989888E-5</v>
      </c>
      <c r="I102" s="135">
        <f t="shared" si="30"/>
        <v>1.3704345413481734E-4</v>
      </c>
      <c r="J102" s="135">
        <f t="shared" si="30"/>
        <v>2.9172643036579998E-4</v>
      </c>
      <c r="K102" s="135">
        <f t="shared" si="30"/>
        <v>2.1478973640638924E-4</v>
      </c>
      <c r="L102" s="135">
        <f t="shared" si="30"/>
        <v>4.3424747871572562E-5</v>
      </c>
    </row>
    <row r="103" x14ac:dyDescent="0.25">
      <c r="B103" s="117" t="s">
        <v>326</v>
      </c>
      <c r="C103" s="135">
        <f>C58/SUM(C$53:C$66)</f>
        <v>0.40592964422205785</v>
      </c>
      <c r="D103" s="135">
        <f t="shared" ref="D103:L103" si="31">D58/SUM(D$53:D$66)</f>
        <v>0.25027500248715112</v>
      </c>
      <c r="E103" s="135">
        <f t="shared" si="31"/>
        <v>0.20163883768015381</v>
      </c>
      <c r="F103" s="135">
        <f t="shared" si="31"/>
        <v>0.3338089639247051</v>
      </c>
      <c r="G103" s="135">
        <f t="shared" si="31"/>
        <v>0.3370994074970135</v>
      </c>
      <c r="H103" s="135">
        <f t="shared" si="31"/>
        <v>8.1176560531777964E-2</v>
      </c>
      <c r="I103" s="135">
        <f t="shared" si="31"/>
        <v>0.29485444980574516</v>
      </c>
      <c r="J103" s="135">
        <f t="shared" si="31"/>
        <v>0.17309596443166456</v>
      </c>
      <c r="K103" s="135">
        <f t="shared" si="31"/>
        <v>0.4377793821292279</v>
      </c>
      <c r="L103" s="135">
        <f t="shared" si="31"/>
        <v>0.2113340870748725</v>
      </c>
    </row>
    <row r="104" x14ac:dyDescent="0.25">
      <c r="B104" s="117" t="s">
        <v>327</v>
      </c>
      <c r="C104" s="135">
        <f>C59/SUM(C$53:C$66)</f>
        <v>0.13094266614053174</v>
      </c>
      <c r="D104" s="135">
        <f t="shared" ref="D104:L104" si="32">D59/SUM(D$53:D$66)</f>
        <v>8.0732404150480108E-2</v>
      </c>
      <c r="E104" s="135">
        <f t="shared" si="32"/>
        <v>6.5043603932689889E-2</v>
      </c>
      <c r="F104" s="135">
        <f t="shared" si="32"/>
        <v>0.10767835347841372</v>
      </c>
      <c r="G104" s="135">
        <f t="shared" si="32"/>
        <v>0.10873976759358324</v>
      </c>
      <c r="H104" s="135">
        <f t="shared" si="32"/>
        <v>2.6185511246708974E-2</v>
      </c>
      <c r="I104" s="135">
        <f t="shared" si="32"/>
        <v>9.5112609612328189E-2</v>
      </c>
      <c r="J104" s="135">
        <f t="shared" si="32"/>
        <v>5.5836392841637106E-2</v>
      </c>
      <c r="K104" s="135">
        <f t="shared" si="32"/>
        <v>0.1412165883750966</v>
      </c>
      <c r="L104" s="135">
        <f t="shared" si="32"/>
        <v>6.8171046884226011E-2</v>
      </c>
    </row>
    <row r="105" x14ac:dyDescent="0.25">
      <c r="B105" s="117" t="s">
        <v>328</v>
      </c>
      <c r="C105" s="135">
        <f>C60/SUM(C$53:C$66)</f>
        <v>3.6393926166193124E-4</v>
      </c>
      <c r="D105" s="135">
        <f t="shared" ref="D105:L105" si="33">D60/SUM(D$53:D$66)</f>
        <v>2.2438592725143559E-4</v>
      </c>
      <c r="E105" s="135">
        <f t="shared" si="33"/>
        <v>1.807808095620171E-4</v>
      </c>
      <c r="F105" s="135">
        <f t="shared" si="33"/>
        <v>2.9927892578457318E-4</v>
      </c>
      <c r="G105" s="135">
        <f t="shared" si="33"/>
        <v>3.0222899760438607E-4</v>
      </c>
      <c r="H105" s="135">
        <f t="shared" si="33"/>
        <v>7.277945310155545E-5</v>
      </c>
      <c r="I105" s="135">
        <f t="shared" si="33"/>
        <v>2.643539645045879E-4</v>
      </c>
      <c r="J105" s="135">
        <f t="shared" si="33"/>
        <v>1.5519048285485317E-4</v>
      </c>
      <c r="K105" s="135">
        <f t="shared" si="33"/>
        <v>3.9249438263683754E-4</v>
      </c>
      <c r="L105" s="135">
        <f t="shared" si="33"/>
        <v>1.8947315799373692E-4</v>
      </c>
    </row>
    <row r="106" x14ac:dyDescent="0.25">
      <c r="B106" s="117" t="s">
        <v>385</v>
      </c>
      <c r="C106" s="135">
        <f>C61/SUM(C$53:C$66)</f>
        <v>1.6291263547389436E-3</v>
      </c>
      <c r="D106" s="135">
        <f t="shared" ref="D106:L106" si="34">D61/SUM(D$53:D$66)</f>
        <v>2.762442045845229E-3</v>
      </c>
      <c r="E106" s="135">
        <f t="shared" si="34"/>
        <v>2.6492782415634729E-3</v>
      </c>
      <c r="F106" s="135">
        <f t="shared" si="34"/>
        <v>1.9950935129872073E-3</v>
      </c>
      <c r="G106" s="135">
        <f t="shared" si="34"/>
        <v>8.0249324178041943E-3</v>
      </c>
      <c r="H106" s="135">
        <f t="shared" si="34"/>
        <v>1.2606777588929836E-3</v>
      </c>
      <c r="I106" s="135">
        <f t="shared" si="34"/>
        <v>6.1931748504342882E-3</v>
      </c>
      <c r="J106" s="135">
        <f t="shared" si="34"/>
        <v>4.3573336949122047E-3</v>
      </c>
      <c r="K106" s="135">
        <f t="shared" si="34"/>
        <v>1.3408555146180408E-3</v>
      </c>
      <c r="L106" s="135">
        <f t="shared" si="34"/>
        <v>2.9520471261577717E-2</v>
      </c>
    </row>
    <row r="107" x14ac:dyDescent="0.25">
      <c r="B107" s="118" t="s">
        <v>348</v>
      </c>
      <c r="C107" s="135">
        <f t="shared" ref="C107" si="35">C62/SUM(C$53:C$66)</f>
        <v>4.7689681221453228E-2</v>
      </c>
      <c r="D107" s="135">
        <f t="shared" ref="D107:L107" si="36">D62/SUM(D$53:D$66)</f>
        <v>8.2160221875268211E-2</v>
      </c>
      <c r="E107" s="135">
        <f t="shared" si="36"/>
        <v>0.14400987016748878</v>
      </c>
      <c r="F107" s="135">
        <f t="shared" si="36"/>
        <v>7.9837237911716069E-2</v>
      </c>
      <c r="G107" s="135">
        <f t="shared" si="36"/>
        <v>0.19819607032167716</v>
      </c>
      <c r="H107" s="135">
        <f t="shared" si="36"/>
        <v>9.7250680606669776E-2</v>
      </c>
      <c r="I107" s="135">
        <f t="shared" si="36"/>
        <v>0.14011260733891975</v>
      </c>
      <c r="J107" s="135">
        <f t="shared" si="36"/>
        <v>0.47396632394956567</v>
      </c>
      <c r="K107" s="135">
        <f t="shared" si="36"/>
        <v>3.4228492844892065E-2</v>
      </c>
      <c r="L107" s="135">
        <f t="shared" si="36"/>
        <v>0.46014760825931356</v>
      </c>
    </row>
    <row r="108" x14ac:dyDescent="0.25">
      <c r="B108" s="117" t="s">
        <v>350</v>
      </c>
      <c r="C108" s="135">
        <f>C63/SUM(C$53:C$66)</f>
        <v>0.13106065565537539</v>
      </c>
      <c r="D108" s="135">
        <f t="shared" ref="D108:L108" si="37">D63/SUM(D$53:D$66)</f>
        <v>7.3370945981835023E-2</v>
      </c>
      <c r="E108" s="135">
        <f t="shared" si="37"/>
        <v>7.8876043313046623E-2</v>
      </c>
      <c r="F108" s="135">
        <f t="shared" si="37"/>
        <v>8.2406825001220693E-2</v>
      </c>
      <c r="G108" s="135">
        <f t="shared" si="37"/>
        <v>9.394415646028749E-2</v>
      </c>
      <c r="H108" s="135">
        <f t="shared" si="37"/>
        <v>1.2449952080971051E-2</v>
      </c>
      <c r="I108" s="135">
        <f t="shared" si="37"/>
        <v>7.5637370570991846E-2</v>
      </c>
      <c r="J108" s="135">
        <f t="shared" si="37"/>
        <v>0.16101039088830663</v>
      </c>
      <c r="K108" s="135">
        <f t="shared" si="37"/>
        <v>0.11854729574630751</v>
      </c>
      <c r="L108" s="135">
        <f t="shared" si="37"/>
        <v>2.3967096914259342E-2</v>
      </c>
    </row>
    <row r="109" x14ac:dyDescent="0.25">
      <c r="B109" s="117" t="s">
        <v>330</v>
      </c>
      <c r="C109" s="135">
        <f t="shared" ref="C109" si="38">C64/SUM(C$53:C$66)</f>
        <v>0.10366873903286487</v>
      </c>
      <c r="D109" s="135">
        <f t="shared" ref="D109:L109" si="39">D64/SUM(D$53:D$66)</f>
        <v>6.3916726182965997E-2</v>
      </c>
      <c r="E109" s="135">
        <f t="shared" si="39"/>
        <v>5.1495731686250136E-2</v>
      </c>
      <c r="F109" s="135">
        <f t="shared" si="39"/>
        <v>8.5250128588812299E-2</v>
      </c>
      <c r="G109" s="135">
        <f t="shared" si="39"/>
        <v>8.6090461737315743E-2</v>
      </c>
      <c r="H109" s="135">
        <f t="shared" si="39"/>
        <v>2.0731355270892437E-2</v>
      </c>
      <c r="I109" s="135">
        <f t="shared" si="39"/>
        <v>7.5301691917995087E-2</v>
      </c>
      <c r="J109" s="135">
        <f t="shared" si="39"/>
        <v>4.4206282097722191E-2</v>
      </c>
      <c r="K109" s="135">
        <f t="shared" si="39"/>
        <v>0.111802715485093</v>
      </c>
      <c r="L109" s="135">
        <f t="shared" si="39"/>
        <v>5.3971762431148887E-2</v>
      </c>
    </row>
    <row r="110" x14ac:dyDescent="0.25">
      <c r="B110" s="117" t="s">
        <v>386</v>
      </c>
      <c r="C110" s="135">
        <f t="shared" ref="C110" si="40">C65/SUM(C$53:C$66)</f>
        <v>0</v>
      </c>
      <c r="D110" s="135">
        <f t="shared" ref="D110:L110" si="41">D65/SUM(D$53:D$66)</f>
        <v>0</v>
      </c>
      <c r="E110" s="135">
        <f t="shared" si="41"/>
        <v>0</v>
      </c>
      <c r="F110" s="135">
        <f t="shared" si="41"/>
        <v>0</v>
      </c>
      <c r="G110" s="135">
        <f t="shared" si="41"/>
        <v>0</v>
      </c>
      <c r="H110" s="135">
        <f t="shared" si="41"/>
        <v>0.7208299811906197</v>
      </c>
      <c r="I110" s="135">
        <f t="shared" si="41"/>
        <v>0</v>
      </c>
      <c r="J110" s="135">
        <f t="shared" si="41"/>
        <v>0</v>
      </c>
      <c r="K110" s="135">
        <f t="shared" si="41"/>
        <v>0</v>
      </c>
      <c r="L110" s="135">
        <f t="shared" si="41"/>
        <v>0</v>
      </c>
    </row>
    <row r="111" x14ac:dyDescent="0.25">
      <c r="B111" s="117" t="s">
        <v>387</v>
      </c>
      <c r="C111" s="135">
        <f t="shared" ref="C111" si="42">C66/SUM(C$53:C$66)</f>
        <v>8.6187017432123023E-2</v>
      </c>
      <c r="D111" s="135">
        <f t="shared" ref="D111:L111" si="43">D66/SUM(D$53:D$66)</f>
        <v>0.25792340742556502</v>
      </c>
      <c r="E111" s="135">
        <f t="shared" si="43"/>
        <v>0</v>
      </c>
      <c r="F111" s="135">
        <f t="shared" si="43"/>
        <v>0</v>
      </c>
      <c r="G111" s="135">
        <f t="shared" si="43"/>
        <v>0</v>
      </c>
      <c r="H111" s="135">
        <f t="shared" si="43"/>
        <v>8.1156274774102561E-4</v>
      </c>
      <c r="I111" s="135">
        <f t="shared" si="43"/>
        <v>0.13212856938202183</v>
      </c>
      <c r="J111" s="135">
        <f t="shared" si="43"/>
        <v>0</v>
      </c>
      <c r="K111" s="135">
        <f t="shared" si="43"/>
        <v>1.7512498870505634E-2</v>
      </c>
      <c r="L111" s="135">
        <f t="shared" si="43"/>
        <v>0</v>
      </c>
    </row>
    <row r="112" x14ac:dyDescent="0.25">
      <c r="B112" s="109" t="s">
        <v>295</v>
      </c>
      <c r="C112" s="135">
        <f>SUM(C100:C111)</f>
        <v>1</v>
      </c>
      <c r="D112" s="135">
        <f t="shared" ref="D112:L112" si="44">SUM(D100:D111)</f>
        <v>0.99999999999999978</v>
      </c>
      <c r="E112" s="135">
        <f t="shared" si="44"/>
        <v>0.99999999999999989</v>
      </c>
      <c r="F112" s="135">
        <f t="shared" si="44"/>
        <v>1</v>
      </c>
      <c r="G112" s="135">
        <f t="shared" si="44"/>
        <v>1.0000000000000002</v>
      </c>
      <c r="H112" s="135">
        <f t="shared" si="44"/>
        <v>1</v>
      </c>
      <c r="I112" s="135">
        <f t="shared" si="44"/>
        <v>0.99999999999999978</v>
      </c>
      <c r="J112" s="135">
        <f t="shared" si="44"/>
        <v>0.99999999999999989</v>
      </c>
      <c r="K112" s="135">
        <f t="shared" si="44"/>
        <v>1.0000000000000002</v>
      </c>
      <c r="L112" s="135">
        <f t="shared" si="44"/>
        <v>0.99999999999999989</v>
      </c>
    </row>
    <row r="113" x14ac:dyDescent="0.25">
      <c r="B113" s="107"/>
      <c r="C113" s="136"/>
      <c r="D113" s="107"/>
      <c r="E113" s="107"/>
      <c r="F113" s="107"/>
      <c r="G113" s="107"/>
      <c r="H113" s="107"/>
      <c r="I113" s="107"/>
      <c r="J113" s="107"/>
      <c r="K113" s="107"/>
      <c r="L113" s="107"/>
    </row>
    <row r="115" x14ac:dyDescent="0.25">
      <c r="B115" s="204" t="s">
        <v>372</v>
      </c>
      <c r="C115" s="208" t="s">
        <v>393</v>
      </c>
      <c r="D115" s="208"/>
      <c r="E115" s="208"/>
      <c r="F115" s="208"/>
      <c r="G115" s="208"/>
      <c r="H115" s="208"/>
      <c r="I115" s="208"/>
      <c r="J115" s="208"/>
      <c r="K115" s="208"/>
      <c r="L115" s="208"/>
    </row>
    <row r="116" x14ac:dyDescent="0.25">
      <c r="B116" s="204"/>
      <c r="C116" s="108" t="s">
        <v>305</v>
      </c>
      <c r="D116" s="108" t="s">
        <v>308</v>
      </c>
      <c r="E116" s="108" t="s">
        <v>310</v>
      </c>
      <c r="F116" s="108" t="s">
        <v>312</v>
      </c>
      <c r="G116" s="108" t="s">
        <v>314</v>
      </c>
      <c r="H116" s="108" t="s">
        <v>315</v>
      </c>
      <c r="I116" s="108" t="s">
        <v>317</v>
      </c>
      <c r="J116" s="108" t="s">
        <v>319</v>
      </c>
      <c r="K116" s="108" t="s">
        <v>321</v>
      </c>
      <c r="L116" s="108" t="s">
        <v>323</v>
      </c>
    </row>
    <row r="117" x14ac:dyDescent="0.25">
      <c r="B117" s="204"/>
      <c r="C117" s="108" t="s">
        <v>363</v>
      </c>
      <c r="D117" s="108" t="s">
        <v>364</v>
      </c>
      <c r="E117" s="108" t="s">
        <v>365</v>
      </c>
      <c r="F117" s="108" t="s">
        <v>366</v>
      </c>
      <c r="G117" s="108" t="s">
        <v>366</v>
      </c>
      <c r="H117" s="108" t="s">
        <v>367</v>
      </c>
      <c r="I117" s="108" t="s">
        <v>368</v>
      </c>
      <c r="J117" s="108" t="s">
        <v>369</v>
      </c>
      <c r="K117" s="108" t="s">
        <v>370</v>
      </c>
      <c r="L117" s="108" t="s">
        <v>371</v>
      </c>
    </row>
    <row r="118" x14ac:dyDescent="0.25">
      <c r="B118" s="117" t="s">
        <v>394</v>
      </c>
      <c r="C118" s="135">
        <f>(-1*C52)/(-1*SUM(C$52,C$67:C$69))</f>
        <v>0</v>
      </c>
      <c r="D118" s="135">
        <f t="shared" ref="D118:L118" si="45">(-1*D52)/(-1*SUM(D$52,D$67:D$69))</f>
        <v>0</v>
      </c>
      <c r="E118" s="135">
        <f t="shared" si="45"/>
        <v>0</v>
      </c>
      <c r="F118" s="135">
        <f t="shared" si="45"/>
        <v>0</v>
      </c>
      <c r="G118" s="135">
        <f t="shared" si="45"/>
        <v>0</v>
      </c>
      <c r="H118" s="135">
        <f t="shared" si="45"/>
        <v>0.77394737793902957</v>
      </c>
      <c r="I118" s="135">
        <f t="shared" si="45"/>
        <v>0</v>
      </c>
      <c r="J118" s="135">
        <f t="shared" si="45"/>
        <v>0</v>
      </c>
      <c r="K118" s="135">
        <f t="shared" si="45"/>
        <v>0</v>
      </c>
      <c r="L118" s="135">
        <f t="shared" si="45"/>
        <v>0</v>
      </c>
    </row>
    <row r="119" x14ac:dyDescent="0.25">
      <c r="B119" s="117" t="s">
        <v>395</v>
      </c>
      <c r="C119" s="135">
        <f>(-1*C67)/(-1*SUM(C$52,C$67:C$69))</f>
        <v>0.20530083873202665</v>
      </c>
      <c r="D119" s="135">
        <f t="shared" ref="D119:L119" si="46">(-1*D67)/(-1*SUM(D$52,D$67:D$69))</f>
        <v>0.23129914754406133</v>
      </c>
      <c r="E119" s="135">
        <f t="shared" si="46"/>
        <v>0.19588456442697669</v>
      </c>
      <c r="F119" s="135">
        <f t="shared" si="46"/>
        <v>0.16075114271008498</v>
      </c>
      <c r="G119" s="135">
        <f t="shared" si="46"/>
        <v>0.45947691859757561</v>
      </c>
      <c r="H119" s="135">
        <f t="shared" si="46"/>
        <v>3.3343680308661347E-2</v>
      </c>
      <c r="I119" s="135">
        <f t="shared" si="46"/>
        <v>0.50365599506232794</v>
      </c>
      <c r="J119" s="135">
        <f t="shared" si="46"/>
        <v>0.68122050633697517</v>
      </c>
      <c r="K119" s="135">
        <f t="shared" si="46"/>
        <v>0.14564251352349536</v>
      </c>
      <c r="L119" s="135">
        <f t="shared" si="46"/>
        <v>0.80822563720418161</v>
      </c>
    </row>
    <row r="120" x14ac:dyDescent="0.25">
      <c r="B120" s="117" t="s">
        <v>396</v>
      </c>
      <c r="C120" s="135">
        <f>(-1*C68)/(-1*SUM(C$52,C$67:C$69))</f>
        <v>0.79469916126797335</v>
      </c>
      <c r="D120" s="135">
        <f t="shared" ref="D120:L120" si="47">(-1*D68)/(-1*SUM(D$52,D$67:D$69))</f>
        <v>0.76870085245593855</v>
      </c>
      <c r="E120" s="135">
        <f t="shared" si="47"/>
        <v>0.80411543557302334</v>
      </c>
      <c r="F120" s="135">
        <f t="shared" si="47"/>
        <v>0.83924885728991505</v>
      </c>
      <c r="G120" s="135">
        <f t="shared" si="47"/>
        <v>0.54052308140242433</v>
      </c>
      <c r="H120" s="135">
        <f t="shared" si="47"/>
        <v>1.0658975283789313E-2</v>
      </c>
      <c r="I120" s="135">
        <f t="shared" si="47"/>
        <v>0.49634400493767206</v>
      </c>
      <c r="J120" s="135">
        <f t="shared" si="47"/>
        <v>0.31877949366302488</v>
      </c>
      <c r="K120" s="135">
        <f t="shared" si="47"/>
        <v>0.85435748647650456</v>
      </c>
      <c r="L120" s="135">
        <f t="shared" si="47"/>
        <v>0.19177436279581833</v>
      </c>
    </row>
    <row r="121" x14ac:dyDescent="0.25">
      <c r="B121" s="117" t="s">
        <v>433</v>
      </c>
      <c r="C121" s="135">
        <f>(-1*C69)/(-1*SUM(C$52,C$67:C$69))</f>
        <v>0</v>
      </c>
      <c r="D121" s="135">
        <f t="shared" ref="D121:L121" si="48">(-1*D69)/(-1*SUM(D$52,D$67:D$69))</f>
        <v>0</v>
      </c>
      <c r="E121" s="135">
        <f t="shared" si="48"/>
        <v>0</v>
      </c>
      <c r="F121" s="135">
        <f t="shared" si="48"/>
        <v>0</v>
      </c>
      <c r="G121" s="135">
        <f t="shared" si="48"/>
        <v>0</v>
      </c>
      <c r="H121" s="135">
        <f t="shared" si="48"/>
        <v>0.18204996646851976</v>
      </c>
      <c r="I121" s="135">
        <f t="shared" si="48"/>
        <v>0</v>
      </c>
      <c r="J121" s="135">
        <f t="shared" si="48"/>
        <v>0</v>
      </c>
      <c r="K121" s="135">
        <f t="shared" si="48"/>
        <v>0</v>
      </c>
      <c r="L121" s="135">
        <f t="shared" si="48"/>
        <v>0</v>
      </c>
    </row>
    <row r="122" x14ac:dyDescent="0.25">
      <c r="B122" s="117" t="s">
        <v>295</v>
      </c>
      <c r="C122" s="135">
        <f>SUM(C118:C121)</f>
        <v>1</v>
      </c>
      <c r="D122" s="135">
        <f t="shared" ref="D122:L122" si="49">SUM(D118:D121)</f>
        <v>0.99999999999999989</v>
      </c>
      <c r="E122" s="135">
        <f t="shared" si="49"/>
        <v>1</v>
      </c>
      <c r="F122" s="135">
        <f t="shared" si="49"/>
        <v>1</v>
      </c>
      <c r="G122" s="135">
        <f t="shared" si="49"/>
        <v>1</v>
      </c>
      <c r="H122" s="135">
        <f t="shared" si="49"/>
        <v>1</v>
      </c>
      <c r="I122" s="135">
        <f t="shared" si="49"/>
        <v>1</v>
      </c>
      <c r="J122" s="135">
        <f t="shared" si="49"/>
        <v>1</v>
      </c>
      <c r="K122" s="135">
        <f t="shared" si="49"/>
        <v>0.99999999999999989</v>
      </c>
      <c r="L122" s="135">
        <f t="shared" si="49"/>
        <v>1</v>
      </c>
    </row>
    <row r="123" x14ac:dyDescent="0.25">
      <c r="B123" s="142"/>
      <c r="C123" s="142"/>
      <c r="D123" s="142"/>
      <c r="E123" s="142"/>
      <c r="F123" s="142"/>
      <c r="G123" s="142"/>
      <c r="H123" s="142"/>
      <c r="I123" s="142"/>
      <c r="J123" s="142"/>
      <c r="K123" s="142"/>
      <c r="L123" s="142"/>
    </row>
    <row r="124" x14ac:dyDescent="0.25">
      <c r="B124" s="142"/>
      <c r="C124" s="142"/>
      <c r="D124" s="142"/>
      <c r="E124" s="142"/>
      <c r="F124" s="142"/>
      <c r="G124" s="142"/>
      <c r="H124" s="142"/>
      <c r="I124" s="142"/>
      <c r="J124" s="142"/>
      <c r="K124" s="142"/>
      <c r="L124" s="142"/>
    </row>
    <row r="125" x14ac:dyDescent="0.25">
      <c r="B125" s="142"/>
      <c r="C125" s="142"/>
      <c r="D125" s="142"/>
      <c r="E125" s="142"/>
      <c r="F125" s="142"/>
      <c r="G125" s="142"/>
      <c r="H125" s="142"/>
      <c r="I125" s="142"/>
      <c r="J125" s="142"/>
      <c r="K125" s="142"/>
      <c r="L125" s="142"/>
    </row>
    <row r="126" x14ac:dyDescent="0.25">
      <c r="B126" s="142"/>
      <c r="C126" s="142"/>
      <c r="D126" s="142"/>
      <c r="E126" s="142"/>
      <c r="F126" s="142"/>
      <c r="G126" s="142"/>
      <c r="H126" s="142"/>
      <c r="I126" s="142"/>
      <c r="J126" s="142"/>
      <c r="K126" s="142"/>
      <c r="L126" s="142"/>
    </row>
    <row r="127" x14ac:dyDescent="0.25">
      <c r="B127" s="142"/>
      <c r="C127" s="142"/>
      <c r="D127" s="142"/>
      <c r="E127" s="142"/>
      <c r="F127" s="142"/>
      <c r="G127" s="142"/>
      <c r="H127" s="142"/>
      <c r="I127" s="142"/>
      <c r="J127" s="142"/>
      <c r="K127" s="142"/>
      <c r="L127" s="142"/>
    </row>
    <row r="128" x14ac:dyDescent="0.25">
      <c r="B128" s="142"/>
      <c r="C128" s="142"/>
      <c r="D128" s="142"/>
      <c r="E128" s="142"/>
      <c r="F128" s="142"/>
      <c r="G128" s="142"/>
      <c r="H128" s="142"/>
      <c r="I128" s="142"/>
      <c r="J128" s="142"/>
      <c r="K128" s="142"/>
      <c r="L128" s="142"/>
    </row>
    <row r="129" x14ac:dyDescent="0.25">
      <c r="B129" s="142"/>
      <c r="C129" s="142"/>
      <c r="D129" s="142"/>
      <c r="E129" s="142"/>
      <c r="F129" s="142"/>
      <c r="G129" s="142"/>
      <c r="H129" s="142"/>
      <c r="I129" s="142"/>
      <c r="J129" s="142"/>
      <c r="K129" s="142"/>
      <c r="L129" s="142"/>
    </row>
    <row r="130" x14ac:dyDescent="0.25">
      <c r="B130" s="142"/>
      <c r="C130" s="142"/>
      <c r="D130" s="142"/>
      <c r="E130" s="142"/>
      <c r="F130" s="142"/>
      <c r="G130" s="142"/>
      <c r="H130" s="142"/>
      <c r="I130" s="142"/>
      <c r="J130" s="142"/>
      <c r="K130" s="142"/>
      <c r="L130" s="142"/>
    </row>
    <row r="131" x14ac:dyDescent="0.25">
      <c r="B131" s="142"/>
      <c r="C131" s="142"/>
      <c r="D131" s="142"/>
      <c r="E131" s="142"/>
      <c r="F131" s="142"/>
      <c r="G131" s="142"/>
      <c r="H131" s="142"/>
      <c r="I131" s="142"/>
      <c r="J131" s="142"/>
      <c r="K131" s="142"/>
      <c r="L131" s="142"/>
    </row>
  </sheetData>
  <mergeCells count="19">
    <mergeCell ref="A80:B80"/>
    <mergeCell ref="B115:B117"/>
    <mergeCell ref="C115:L115"/>
    <mergeCell ref="A89:B89"/>
    <mergeCell ref="B97:B99"/>
    <mergeCell ref="C97:L97"/>
    <mergeCell ref="A71:B71"/>
    <mergeCell ref="A5:D5"/>
    <mergeCell ref="A7:A9"/>
    <mergeCell ref="A38:B38"/>
    <mergeCell ref="A48:L48"/>
    <mergeCell ref="A49:A51"/>
    <mergeCell ref="B49:B51"/>
    <mergeCell ref="C49:L49"/>
    <mergeCell ref="A15:L15"/>
    <mergeCell ref="A16:A18"/>
    <mergeCell ref="C16:L16"/>
    <mergeCell ref="B16:B18"/>
    <mergeCell ref="A10:A11"/>
  </mergeCells>
  <pageMargins left="0.7" right="0.7" top="0.75" bottom="0.75" header="0.3" footer="0.3"/>
  <pageSetup orientation="portrait" r:id="rId1"/>
  <ignoredErrors>
    <ignoredError sqref="C42:L42 C44:L44 C40:L41 C75:L75 C73:L74 C77:L77" formulaRange="true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69994-53D6-4A69-8B8A-3AF2CF3E477F}">
  <dimension ref="A1:AH112"/>
  <sheetViews>
    <sheetView zoomScale="85" zoomScaleNormal="85" workbookViewId="0">
      <selection sqref="A1:H1"/>
    </sheetView>
  </sheetViews>
  <sheetFormatPr defaultRowHeight="15" x14ac:dyDescent="0.25"/>
  <sheetData>
    <row r="1" ht="23.25" x14ac:dyDescent="0.35">
      <c r="A1" s="211" t="s">
        <v>302</v>
      </c>
      <c r="B1" s="212"/>
      <c r="C1" s="212"/>
      <c r="D1" s="212"/>
      <c r="E1" s="212"/>
      <c r="F1" s="212"/>
      <c r="G1" s="212"/>
      <c r="H1" s="213"/>
      <c r="I1" s="214" t="s">
        <v>303</v>
      </c>
      <c r="J1" s="214"/>
      <c r="K1" s="214"/>
      <c r="L1" s="214"/>
      <c r="M1" s="214"/>
      <c r="N1" s="214"/>
      <c r="O1" s="214"/>
      <c r="P1" s="214"/>
      <c r="Q1" s="214"/>
      <c r="R1" s="214"/>
      <c r="S1" s="214"/>
      <c r="T1" s="214"/>
      <c r="U1" s="214"/>
      <c r="V1" s="214"/>
      <c r="W1" s="214"/>
      <c r="X1" s="214"/>
      <c r="Y1" s="214"/>
      <c r="Z1" s="214"/>
      <c r="AA1" s="214"/>
      <c r="AB1" s="214"/>
      <c r="AC1" s="214"/>
      <c r="AD1" s="214"/>
      <c r="AE1" s="214"/>
      <c r="AF1" s="214"/>
      <c r="AG1" s="215"/>
    </row>
    <row r="2" x14ac:dyDescent="0.25">
      <c r="A2" s="102"/>
      <c r="B2" s="137"/>
      <c r="C2" s="137"/>
      <c r="D2" s="137"/>
      <c r="E2" s="137"/>
      <c r="F2" s="137"/>
      <c r="G2" s="137"/>
      <c r="H2" s="103"/>
      <c r="I2" s="137"/>
      <c r="J2" s="137"/>
      <c r="K2" s="137"/>
      <c r="L2" s="137"/>
      <c r="M2" s="137"/>
      <c r="N2" s="137"/>
      <c r="O2" s="137"/>
      <c r="P2" s="137"/>
      <c r="Q2" s="137"/>
      <c r="R2" s="137"/>
      <c r="S2" s="137"/>
      <c r="T2" s="137"/>
      <c r="U2" s="137"/>
      <c r="V2" s="137"/>
      <c r="W2" s="137"/>
      <c r="X2" s="137"/>
      <c r="Y2" s="137"/>
      <c r="Z2" s="137"/>
      <c r="AA2" s="137"/>
      <c r="AB2" s="137"/>
      <c r="AC2" s="137"/>
      <c r="AD2" s="137"/>
      <c r="AE2" s="137"/>
      <c r="AF2" s="137"/>
      <c r="AG2" s="103"/>
    </row>
    <row r="3" x14ac:dyDescent="0.25">
      <c r="A3" s="102"/>
      <c r="B3" s="137"/>
      <c r="C3" s="137"/>
      <c r="D3" s="137"/>
      <c r="E3" s="137"/>
      <c r="F3" s="137"/>
      <c r="G3" s="137"/>
      <c r="H3" s="103"/>
      <c r="I3" s="137"/>
      <c r="J3" s="137"/>
      <c r="K3" s="137"/>
      <c r="L3" s="137"/>
      <c r="M3" s="137"/>
      <c r="N3" s="137"/>
      <c r="O3" s="137"/>
      <c r="P3" s="137"/>
      <c r="Q3" s="137"/>
      <c r="R3" s="137"/>
      <c r="S3" s="137"/>
      <c r="T3" s="137"/>
      <c r="U3" s="137"/>
      <c r="V3" s="137"/>
      <c r="W3" s="137"/>
      <c r="X3" s="137"/>
      <c r="Y3" s="137"/>
      <c r="Z3" s="137"/>
      <c r="AA3" s="137"/>
      <c r="AB3" s="137"/>
      <c r="AC3" s="137"/>
      <c r="AD3" s="137"/>
      <c r="AE3" s="137"/>
      <c r="AF3" s="137"/>
      <c r="AG3" s="103"/>
    </row>
    <row r="4" x14ac:dyDescent="0.25">
      <c r="A4" s="102"/>
      <c r="B4" s="137"/>
      <c r="C4" s="137"/>
      <c r="D4" s="137"/>
      <c r="E4" s="137"/>
      <c r="F4" s="137"/>
      <c r="G4" s="137"/>
      <c r="H4" s="103"/>
      <c r="I4" s="137"/>
      <c r="J4" s="137"/>
      <c r="K4" s="137"/>
      <c r="L4" s="137"/>
      <c r="M4" s="137"/>
      <c r="N4" s="137"/>
      <c r="O4" s="137"/>
      <c r="P4" s="137"/>
      <c r="Q4" s="137"/>
      <c r="R4" s="137"/>
      <c r="S4" s="137"/>
      <c r="T4" s="137"/>
      <c r="U4" s="137"/>
      <c r="V4" s="137"/>
      <c r="W4" s="137"/>
      <c r="X4" s="137"/>
      <c r="Y4" s="137"/>
      <c r="Z4" s="137"/>
      <c r="AA4" s="137"/>
      <c r="AB4" s="137"/>
      <c r="AC4" s="137"/>
      <c r="AD4" s="137"/>
      <c r="AE4" s="137"/>
      <c r="AF4" s="137"/>
      <c r="AG4" s="103"/>
    </row>
    <row r="5" x14ac:dyDescent="0.25">
      <c r="A5" s="102"/>
      <c r="B5" s="137"/>
      <c r="C5" s="137"/>
      <c r="D5" s="137"/>
      <c r="E5" s="137"/>
      <c r="F5" s="137"/>
      <c r="G5" s="137"/>
      <c r="H5" s="103"/>
      <c r="I5" s="137"/>
      <c r="J5" s="137"/>
      <c r="K5" s="137"/>
      <c r="L5" s="137"/>
      <c r="M5" s="137"/>
      <c r="N5" s="137"/>
      <c r="O5" s="137"/>
      <c r="P5" s="137"/>
      <c r="Q5" s="137"/>
      <c r="R5" s="137"/>
      <c r="S5" s="137"/>
      <c r="T5" s="137"/>
      <c r="U5" s="137"/>
      <c r="V5" s="137"/>
      <c r="W5" s="137"/>
      <c r="X5" s="137"/>
      <c r="Y5" s="137"/>
      <c r="Z5" s="137"/>
      <c r="AA5" s="137"/>
      <c r="AB5" s="137"/>
      <c r="AC5" s="137"/>
      <c r="AD5" s="137"/>
      <c r="AE5" s="137"/>
      <c r="AF5" s="137"/>
      <c r="AG5" s="103"/>
    </row>
    <row r="6" x14ac:dyDescent="0.25">
      <c r="A6" s="102"/>
      <c r="B6" s="137"/>
      <c r="C6" s="137"/>
      <c r="D6" s="137"/>
      <c r="E6" s="137"/>
      <c r="F6" s="137"/>
      <c r="G6" s="137"/>
      <c r="H6" s="103"/>
      <c r="I6" s="137"/>
      <c r="J6" s="137"/>
      <c r="K6" s="137"/>
      <c r="L6" s="137"/>
      <c r="M6" s="137"/>
      <c r="N6" s="137"/>
      <c r="O6" s="137"/>
      <c r="P6" s="137"/>
      <c r="Q6" s="137"/>
      <c r="R6" s="137"/>
      <c r="S6" s="137"/>
      <c r="T6" s="137"/>
      <c r="U6" s="137"/>
      <c r="V6" s="137"/>
      <c r="W6" s="137"/>
      <c r="X6" s="137"/>
      <c r="Y6" s="137"/>
      <c r="Z6" s="137"/>
      <c r="AA6" s="137"/>
      <c r="AB6" s="137"/>
      <c r="AC6" s="137"/>
      <c r="AD6" s="137"/>
      <c r="AE6" s="137"/>
      <c r="AF6" s="137"/>
      <c r="AG6" s="103"/>
    </row>
    <row r="7" x14ac:dyDescent="0.25">
      <c r="A7" s="102"/>
      <c r="B7" s="137"/>
      <c r="C7" s="137"/>
      <c r="D7" s="137"/>
      <c r="E7" s="137"/>
      <c r="F7" s="137"/>
      <c r="G7" s="137"/>
      <c r="H7" s="103"/>
      <c r="I7" s="137"/>
      <c r="J7" s="137"/>
      <c r="K7" s="137"/>
      <c r="L7" s="137"/>
      <c r="M7" s="137"/>
      <c r="N7" s="137"/>
      <c r="O7" s="137"/>
      <c r="P7" s="137"/>
      <c r="Q7" s="137"/>
      <c r="R7" s="137"/>
      <c r="S7" s="137"/>
      <c r="T7" s="137"/>
      <c r="U7" s="137"/>
      <c r="V7" s="137"/>
      <c r="W7" s="137"/>
      <c r="X7" s="137"/>
      <c r="Y7" s="137"/>
      <c r="Z7" s="137"/>
      <c r="AA7" s="137"/>
      <c r="AB7" s="137"/>
      <c r="AC7" s="137"/>
      <c r="AD7" s="137"/>
      <c r="AE7" s="137"/>
      <c r="AF7" s="137"/>
      <c r="AG7" s="103"/>
    </row>
    <row r="8" x14ac:dyDescent="0.25">
      <c r="A8" s="102"/>
      <c r="B8" s="137"/>
      <c r="C8" s="137"/>
      <c r="D8" s="137"/>
      <c r="E8" s="137"/>
      <c r="F8" s="137"/>
      <c r="G8" s="137"/>
      <c r="H8" s="103"/>
      <c r="I8" s="137"/>
      <c r="J8" s="137"/>
      <c r="K8" s="137"/>
      <c r="L8" s="137"/>
      <c r="M8" s="137"/>
      <c r="N8" s="137"/>
      <c r="O8" s="137"/>
      <c r="P8" s="137"/>
      <c r="Q8" s="137"/>
      <c r="R8" s="137"/>
      <c r="S8" s="137"/>
      <c r="T8" s="137"/>
      <c r="U8" s="137"/>
      <c r="V8" s="137"/>
      <c r="W8" s="137"/>
      <c r="X8" s="137"/>
      <c r="Y8" s="137"/>
      <c r="Z8" s="137"/>
      <c r="AA8" s="137"/>
      <c r="AB8" s="137"/>
      <c r="AC8" s="137"/>
      <c r="AD8" s="137"/>
      <c r="AE8" s="137"/>
      <c r="AF8" s="137"/>
      <c r="AG8" s="103"/>
    </row>
    <row r="9" x14ac:dyDescent="0.25">
      <c r="A9" s="102"/>
      <c r="B9" s="137"/>
      <c r="C9" s="137"/>
      <c r="D9" s="137"/>
      <c r="E9" s="137"/>
      <c r="F9" s="137"/>
      <c r="G9" s="137"/>
      <c r="H9" s="103"/>
      <c r="I9" s="137"/>
      <c r="J9" s="137"/>
      <c r="K9" s="137"/>
      <c r="L9" s="137"/>
      <c r="M9" s="137"/>
      <c r="N9" s="137"/>
      <c r="O9" s="137"/>
      <c r="P9" s="137"/>
      <c r="Q9" s="137"/>
      <c r="R9" s="137"/>
      <c r="S9" s="137"/>
      <c r="T9" s="137"/>
      <c r="U9" s="137"/>
      <c r="V9" s="137"/>
      <c r="W9" s="137"/>
      <c r="X9" s="137"/>
      <c r="Y9" s="137"/>
      <c r="Z9" s="137"/>
      <c r="AA9" s="137"/>
      <c r="AB9" s="137"/>
      <c r="AC9" s="137"/>
      <c r="AD9" s="137"/>
      <c r="AE9" s="137"/>
      <c r="AF9" s="137"/>
      <c r="AG9" s="103"/>
    </row>
    <row r="10" x14ac:dyDescent="0.25">
      <c r="A10" s="102"/>
      <c r="B10" s="137"/>
      <c r="C10" s="137"/>
      <c r="D10" s="137"/>
      <c r="E10" s="137"/>
      <c r="F10" s="137"/>
      <c r="G10" s="137"/>
      <c r="H10" s="103"/>
      <c r="I10" s="137"/>
      <c r="J10" s="137"/>
      <c r="K10" s="137"/>
      <c r="L10" s="137"/>
      <c r="M10" s="137"/>
      <c r="N10" s="137"/>
      <c r="O10" s="137"/>
      <c r="P10" s="137"/>
      <c r="Q10" s="137"/>
      <c r="R10" s="137"/>
      <c r="S10" s="137"/>
      <c r="T10" s="137"/>
      <c r="U10" s="137"/>
      <c r="V10" s="137"/>
      <c r="W10" s="137"/>
      <c r="X10" s="137"/>
      <c r="Y10" s="137"/>
      <c r="Z10" s="137"/>
      <c r="AA10" s="137"/>
      <c r="AB10" s="137"/>
      <c r="AC10" s="137"/>
      <c r="AD10" s="137"/>
      <c r="AE10" s="137"/>
      <c r="AF10" s="137"/>
      <c r="AG10" s="103"/>
    </row>
    <row r="11" x14ac:dyDescent="0.25">
      <c r="A11" s="102"/>
      <c r="B11" s="137"/>
      <c r="C11" s="137"/>
      <c r="D11" s="137"/>
      <c r="E11" s="137"/>
      <c r="F11" s="137"/>
      <c r="G11" s="137"/>
      <c r="H11" s="103"/>
      <c r="I11" s="137"/>
      <c r="J11" s="137"/>
      <c r="K11" s="137"/>
      <c r="L11" s="137"/>
      <c r="M11" s="137"/>
      <c r="N11" s="137"/>
      <c r="O11" s="137"/>
      <c r="P11" s="137"/>
      <c r="Q11" s="137"/>
      <c r="R11" s="137"/>
      <c r="S11" s="137"/>
      <c r="T11" s="137"/>
      <c r="U11" s="137"/>
      <c r="V11" s="137"/>
      <c r="W11" s="137"/>
      <c r="X11" s="137"/>
      <c r="Y11" s="137"/>
      <c r="Z11" s="137"/>
      <c r="AA11" s="137"/>
      <c r="AB11" s="137"/>
      <c r="AC11" s="137"/>
      <c r="AD11" s="137"/>
      <c r="AE11" s="137"/>
      <c r="AF11" s="137"/>
      <c r="AG11" s="103"/>
    </row>
    <row r="12" x14ac:dyDescent="0.25">
      <c r="A12" s="102"/>
      <c r="B12" s="137"/>
      <c r="C12" s="137"/>
      <c r="D12" s="137"/>
      <c r="E12" s="137"/>
      <c r="F12" s="137"/>
      <c r="G12" s="137"/>
      <c r="H12" s="103"/>
      <c r="I12" s="137"/>
      <c r="J12" s="137"/>
      <c r="K12" s="137"/>
      <c r="L12" s="137"/>
      <c r="M12" s="137"/>
      <c r="N12" s="137"/>
      <c r="O12" s="137"/>
      <c r="P12" s="137"/>
      <c r="Q12" s="137"/>
      <c r="R12" s="137"/>
      <c r="S12" s="137"/>
      <c r="T12" s="137"/>
      <c r="U12" s="137"/>
      <c r="V12" s="137"/>
      <c r="W12" s="137"/>
      <c r="X12" s="137"/>
      <c r="Y12" s="137"/>
      <c r="Z12" s="137"/>
      <c r="AA12" s="137"/>
      <c r="AB12" s="137"/>
      <c r="AC12" s="137"/>
      <c r="AD12" s="137"/>
      <c r="AE12" s="137"/>
      <c r="AF12" s="137"/>
      <c r="AG12" s="103"/>
    </row>
    <row r="13" x14ac:dyDescent="0.25">
      <c r="A13" s="102"/>
      <c r="B13" s="137"/>
      <c r="C13" s="137"/>
      <c r="D13" s="137"/>
      <c r="E13" s="137"/>
      <c r="F13" s="137"/>
      <c r="G13" s="137"/>
      <c r="H13" s="103"/>
      <c r="I13" s="137"/>
      <c r="J13" s="137"/>
      <c r="K13" s="137"/>
      <c r="L13" s="137"/>
      <c r="M13" s="137"/>
      <c r="N13" s="137"/>
      <c r="O13" s="137"/>
      <c r="P13" s="137"/>
      <c r="Q13" s="137"/>
      <c r="R13" s="137"/>
      <c r="S13" s="137"/>
      <c r="T13" s="137"/>
      <c r="U13" s="137"/>
      <c r="V13" s="137"/>
      <c r="W13" s="137"/>
      <c r="X13" s="137"/>
      <c r="Y13" s="137"/>
      <c r="Z13" s="137"/>
      <c r="AA13" s="137"/>
      <c r="AB13" s="137"/>
      <c r="AC13" s="137"/>
      <c r="AD13" s="137"/>
      <c r="AE13" s="137"/>
      <c r="AF13" s="137"/>
      <c r="AG13" s="103"/>
    </row>
    <row r="14" x14ac:dyDescent="0.25">
      <c r="A14" s="102"/>
      <c r="B14" s="137"/>
      <c r="C14" s="137"/>
      <c r="D14" s="137"/>
      <c r="E14" s="137"/>
      <c r="F14" s="137"/>
      <c r="G14" s="137"/>
      <c r="H14" s="103"/>
      <c r="I14" s="137"/>
      <c r="J14" s="137"/>
      <c r="K14" s="137"/>
      <c r="L14" s="137"/>
      <c r="M14" s="137"/>
      <c r="N14" s="137"/>
      <c r="O14" s="137"/>
      <c r="P14" s="137"/>
      <c r="Q14" s="137"/>
      <c r="R14" s="137"/>
      <c r="S14" s="137"/>
      <c r="T14" s="137"/>
      <c r="U14" s="137"/>
      <c r="V14" s="137"/>
      <c r="W14" s="137"/>
      <c r="X14" s="137"/>
      <c r="Y14" s="137"/>
      <c r="Z14" s="137"/>
      <c r="AA14" s="137"/>
      <c r="AB14" s="137"/>
      <c r="AC14" s="137"/>
      <c r="AD14" s="137"/>
      <c r="AE14" s="137"/>
      <c r="AF14" s="137"/>
      <c r="AG14" s="103"/>
    </row>
    <row r="15" x14ac:dyDescent="0.25">
      <c r="A15" s="102"/>
      <c r="B15" s="137"/>
      <c r="C15" s="137"/>
      <c r="D15" s="137"/>
      <c r="E15" s="137"/>
      <c r="F15" s="137"/>
      <c r="G15" s="137"/>
      <c r="H15" s="103"/>
      <c r="I15" s="137"/>
      <c r="J15" s="137"/>
      <c r="K15" s="137"/>
      <c r="L15" s="137"/>
      <c r="M15" s="137"/>
      <c r="N15" s="137"/>
      <c r="O15" s="137"/>
      <c r="P15" s="137"/>
      <c r="Q15" s="137"/>
      <c r="R15" s="137"/>
      <c r="S15" s="137"/>
      <c r="T15" s="137"/>
      <c r="U15" s="137"/>
      <c r="V15" s="137"/>
      <c r="W15" s="137"/>
      <c r="X15" s="137"/>
      <c r="Y15" s="137"/>
      <c r="Z15" s="137"/>
      <c r="AA15" s="137"/>
      <c r="AB15" s="137"/>
      <c r="AC15" s="137"/>
      <c r="AD15" s="137"/>
      <c r="AE15" s="137"/>
      <c r="AF15" s="137"/>
      <c r="AG15" s="103"/>
    </row>
    <row r="16" x14ac:dyDescent="0.25">
      <c r="A16" s="102"/>
      <c r="B16" s="137"/>
      <c r="C16" s="137"/>
      <c r="D16" s="137"/>
      <c r="E16" s="137"/>
      <c r="F16" s="137"/>
      <c r="G16" s="137"/>
      <c r="H16" s="103"/>
      <c r="I16" s="137"/>
      <c r="J16" s="137"/>
      <c r="K16" s="137"/>
      <c r="L16" s="137"/>
      <c r="M16" s="137"/>
      <c r="N16" s="137"/>
      <c r="O16" s="137"/>
      <c r="P16" s="137"/>
      <c r="Q16" s="137"/>
      <c r="R16" s="137"/>
      <c r="S16" s="137"/>
      <c r="T16" s="137"/>
      <c r="U16" s="137"/>
      <c r="V16" s="137"/>
      <c r="W16" s="137"/>
      <c r="X16" s="137"/>
      <c r="Y16" s="137"/>
      <c r="Z16" s="137"/>
      <c r="AA16" s="137"/>
      <c r="AB16" s="137"/>
      <c r="AC16" s="137"/>
      <c r="AD16" s="137"/>
      <c r="AE16" s="137"/>
      <c r="AF16" s="137"/>
      <c r="AG16" s="103"/>
    </row>
    <row r="17" x14ac:dyDescent="0.25">
      <c r="A17" s="102"/>
      <c r="B17" s="137"/>
      <c r="C17" s="137"/>
      <c r="D17" s="137"/>
      <c r="E17" s="137"/>
      <c r="F17" s="137"/>
      <c r="G17" s="137"/>
      <c r="H17" s="103"/>
      <c r="I17" s="137"/>
      <c r="J17" s="137"/>
      <c r="K17" s="137"/>
      <c r="L17" s="137"/>
      <c r="M17" s="137"/>
      <c r="N17" s="137"/>
      <c r="O17" s="137"/>
      <c r="P17" s="137"/>
      <c r="Q17" s="137"/>
      <c r="R17" s="137"/>
      <c r="S17" s="137"/>
      <c r="T17" s="137"/>
      <c r="U17" s="137"/>
      <c r="V17" s="137"/>
      <c r="W17" s="137"/>
      <c r="X17" s="137"/>
      <c r="Y17" s="137"/>
      <c r="Z17" s="137"/>
      <c r="AA17" s="137"/>
      <c r="AB17" s="137"/>
      <c r="AC17" s="137"/>
      <c r="AD17" s="137"/>
      <c r="AE17" s="137"/>
      <c r="AF17" s="137"/>
      <c r="AG17" s="103"/>
    </row>
    <row r="18" x14ac:dyDescent="0.25">
      <c r="A18" s="102"/>
      <c r="B18" s="137"/>
      <c r="C18" s="137"/>
      <c r="D18" s="137"/>
      <c r="E18" s="137"/>
      <c r="F18" s="137"/>
      <c r="G18" s="137"/>
      <c r="H18" s="103"/>
      <c r="I18" s="137"/>
      <c r="J18" s="137"/>
      <c r="K18" s="137"/>
      <c r="L18" s="137"/>
      <c r="M18" s="137"/>
      <c r="N18" s="137"/>
      <c r="O18" s="137"/>
      <c r="P18" s="137"/>
      <c r="Q18" s="137"/>
      <c r="R18" s="137"/>
      <c r="S18" s="137"/>
      <c r="T18" s="137"/>
      <c r="U18" s="137"/>
      <c r="V18" s="137"/>
      <c r="W18" s="137"/>
      <c r="X18" s="137"/>
      <c r="Y18" s="137"/>
      <c r="Z18" s="137"/>
      <c r="AA18" s="137"/>
      <c r="AB18" s="137"/>
      <c r="AC18" s="137"/>
      <c r="AD18" s="137"/>
      <c r="AE18" s="137"/>
      <c r="AF18" s="137"/>
      <c r="AG18" s="103"/>
    </row>
    <row r="19" x14ac:dyDescent="0.25">
      <c r="A19" s="102"/>
      <c r="B19" s="137"/>
      <c r="C19" s="137"/>
      <c r="D19" s="137"/>
      <c r="E19" s="137"/>
      <c r="F19" s="137"/>
      <c r="G19" s="137"/>
      <c r="H19" s="103"/>
      <c r="I19" s="137"/>
      <c r="J19" s="137"/>
      <c r="K19" s="137"/>
      <c r="L19" s="137"/>
      <c r="M19" s="137"/>
      <c r="N19" s="137"/>
      <c r="O19" s="137"/>
      <c r="P19" s="137"/>
      <c r="Q19" s="137"/>
      <c r="R19" s="137"/>
      <c r="S19" s="137"/>
      <c r="T19" s="137"/>
      <c r="U19" s="137"/>
      <c r="V19" s="137"/>
      <c r="W19" s="137"/>
      <c r="X19" s="137"/>
      <c r="Y19" s="137"/>
      <c r="Z19" s="137"/>
      <c r="AA19" s="137"/>
      <c r="AB19" s="137"/>
      <c r="AC19" s="137"/>
      <c r="AD19" s="137"/>
      <c r="AE19" s="137"/>
      <c r="AF19" s="137"/>
      <c r="AG19" s="103"/>
    </row>
    <row r="20" x14ac:dyDescent="0.25">
      <c r="A20" s="102"/>
      <c r="B20" s="137"/>
      <c r="C20" s="137"/>
      <c r="D20" s="137"/>
      <c r="E20" s="137"/>
      <c r="F20" s="137"/>
      <c r="G20" s="137"/>
      <c r="H20" s="103"/>
      <c r="I20" s="137"/>
      <c r="J20" s="137"/>
      <c r="K20" s="137"/>
      <c r="L20" s="137"/>
      <c r="M20" s="137"/>
      <c r="N20" s="137"/>
      <c r="O20" s="137"/>
      <c r="P20" s="137"/>
      <c r="Q20" s="137"/>
      <c r="R20" s="137"/>
      <c r="S20" s="137"/>
      <c r="T20" s="137"/>
      <c r="U20" s="137"/>
      <c r="V20" s="137"/>
      <c r="W20" s="137"/>
      <c r="X20" s="137"/>
      <c r="Y20" s="137"/>
      <c r="Z20" s="137"/>
      <c r="AA20" s="137"/>
      <c r="AB20" s="137"/>
      <c r="AC20" s="137"/>
      <c r="AD20" s="137"/>
      <c r="AE20" s="137"/>
      <c r="AF20" s="137"/>
      <c r="AG20" s="103"/>
    </row>
    <row r="21" x14ac:dyDescent="0.25">
      <c r="A21" s="102"/>
      <c r="B21" s="137"/>
      <c r="C21" s="137"/>
      <c r="D21" s="137"/>
      <c r="E21" s="137"/>
      <c r="F21" s="137"/>
      <c r="G21" s="137"/>
      <c r="H21" s="103"/>
      <c r="I21" s="137"/>
      <c r="J21" s="137"/>
      <c r="K21" s="137"/>
      <c r="L21" s="137"/>
      <c r="M21" s="137"/>
      <c r="N21" s="137"/>
      <c r="O21" s="137"/>
      <c r="P21" s="137"/>
      <c r="Q21" s="137"/>
      <c r="R21" s="137"/>
      <c r="S21" s="137"/>
      <c r="T21" s="137"/>
      <c r="U21" s="137"/>
      <c r="V21" s="137"/>
      <c r="W21" s="137"/>
      <c r="X21" s="137"/>
      <c r="Y21" s="137"/>
      <c r="Z21" s="137"/>
      <c r="AA21" s="137"/>
      <c r="AB21" s="137"/>
      <c r="AC21" s="137"/>
      <c r="AD21" s="137"/>
      <c r="AE21" s="137"/>
      <c r="AF21" s="137"/>
      <c r="AG21" s="103"/>
    </row>
    <row r="22" x14ac:dyDescent="0.25">
      <c r="A22" s="102"/>
      <c r="B22" s="137"/>
      <c r="C22" s="137"/>
      <c r="D22" s="137"/>
      <c r="E22" s="137"/>
      <c r="F22" s="137"/>
      <c r="G22" s="137"/>
      <c r="H22" s="103"/>
      <c r="I22" s="137"/>
      <c r="J22" s="137"/>
      <c r="K22" s="137"/>
      <c r="L22" s="137"/>
      <c r="M22" s="137"/>
      <c r="N22" s="137"/>
      <c r="O22" s="137"/>
      <c r="P22" s="137"/>
      <c r="Q22" s="137"/>
      <c r="R22" s="137"/>
      <c r="S22" s="137"/>
      <c r="T22" s="137"/>
      <c r="U22" s="137"/>
      <c r="V22" s="137"/>
      <c r="W22" s="137"/>
      <c r="X22" s="137"/>
      <c r="Y22" s="137"/>
      <c r="Z22" s="137"/>
      <c r="AA22" s="137"/>
      <c r="AB22" s="137"/>
      <c r="AC22" s="137"/>
      <c r="AD22" s="137"/>
      <c r="AE22" s="137"/>
      <c r="AF22" s="137"/>
      <c r="AG22" s="103"/>
    </row>
    <row r="23" x14ac:dyDescent="0.25">
      <c r="A23" s="102"/>
      <c r="B23" s="137"/>
      <c r="C23" s="137"/>
      <c r="D23" s="137"/>
      <c r="E23" s="137"/>
      <c r="F23" s="137"/>
      <c r="G23" s="137"/>
      <c r="H23" s="103"/>
      <c r="I23" s="137"/>
      <c r="J23" s="137"/>
      <c r="K23" s="137"/>
      <c r="L23" s="137"/>
      <c r="M23" s="137"/>
      <c r="N23" s="137"/>
      <c r="O23" s="137"/>
      <c r="P23" s="137"/>
      <c r="Q23" s="137"/>
      <c r="R23" s="137"/>
      <c r="S23" s="137"/>
      <c r="T23" s="137"/>
      <c r="U23" s="137"/>
      <c r="V23" s="137"/>
      <c r="W23" s="137"/>
      <c r="X23" s="137"/>
      <c r="Y23" s="137"/>
      <c r="Z23" s="137"/>
      <c r="AA23" s="137"/>
      <c r="AB23" s="137"/>
      <c r="AC23" s="137"/>
      <c r="AD23" s="137"/>
      <c r="AE23" s="137"/>
      <c r="AF23" s="137"/>
      <c r="AG23" s="103"/>
    </row>
    <row r="24" x14ac:dyDescent="0.25">
      <c r="A24" s="102"/>
      <c r="B24" s="137"/>
      <c r="C24" s="137"/>
      <c r="D24" s="137"/>
      <c r="E24" s="137"/>
      <c r="F24" s="137"/>
      <c r="G24" s="137"/>
      <c r="H24" s="103"/>
      <c r="I24" s="137"/>
      <c r="J24" s="137"/>
      <c r="K24" s="137"/>
      <c r="L24" s="137"/>
      <c r="M24" s="137"/>
      <c r="N24" s="137"/>
      <c r="O24" s="137"/>
      <c r="P24" s="137"/>
      <c r="Q24" s="137"/>
      <c r="R24" s="137"/>
      <c r="S24" s="137"/>
      <c r="T24" s="137"/>
      <c r="U24" s="137"/>
      <c r="V24" s="137"/>
      <c r="W24" s="137"/>
      <c r="X24" s="137"/>
      <c r="Y24" s="137"/>
      <c r="Z24" s="137"/>
      <c r="AA24" s="137"/>
      <c r="AB24" s="137"/>
      <c r="AC24" s="137"/>
      <c r="AD24" s="137"/>
      <c r="AE24" s="137"/>
      <c r="AF24" s="137"/>
      <c r="AG24" s="103"/>
    </row>
    <row r="25" x14ac:dyDescent="0.25">
      <c r="A25" s="102"/>
      <c r="B25" s="137"/>
      <c r="C25" s="137"/>
      <c r="D25" s="137"/>
      <c r="E25" s="137"/>
      <c r="F25" s="137"/>
      <c r="G25" s="137"/>
      <c r="H25" s="103"/>
      <c r="I25" s="137"/>
      <c r="J25" s="137"/>
      <c r="K25" s="137"/>
      <c r="L25" s="137"/>
      <c r="M25" s="137"/>
      <c r="N25" s="137"/>
      <c r="O25" s="137"/>
      <c r="P25" s="137"/>
      <c r="Q25" s="137"/>
      <c r="R25" s="137"/>
      <c r="S25" s="137"/>
      <c r="T25" s="137"/>
      <c r="U25" s="137"/>
      <c r="V25" s="137"/>
      <c r="W25" s="137"/>
      <c r="X25" s="137"/>
      <c r="Y25" s="137"/>
      <c r="Z25" s="137"/>
      <c r="AA25" s="137"/>
      <c r="AB25" s="137"/>
      <c r="AC25" s="137"/>
      <c r="AD25" s="137"/>
      <c r="AE25" s="137"/>
      <c r="AF25" s="137"/>
      <c r="AG25" s="103"/>
    </row>
    <row r="26" x14ac:dyDescent="0.25">
      <c r="A26" s="102"/>
      <c r="B26" s="137"/>
      <c r="C26" s="137"/>
      <c r="D26" s="137"/>
      <c r="E26" s="137"/>
      <c r="F26" s="137"/>
      <c r="G26" s="137"/>
      <c r="H26" s="103"/>
      <c r="I26" s="137"/>
      <c r="J26" s="137"/>
      <c r="K26" s="137"/>
      <c r="L26" s="137"/>
      <c r="M26" s="137"/>
      <c r="N26" s="137"/>
      <c r="O26" s="137"/>
      <c r="P26" s="137"/>
      <c r="Q26" s="137"/>
      <c r="R26" s="137"/>
      <c r="S26" s="137"/>
      <c r="T26" s="137"/>
      <c r="U26" s="137"/>
      <c r="V26" s="137"/>
      <c r="W26" s="137"/>
      <c r="X26" s="137"/>
      <c r="Y26" s="137"/>
      <c r="Z26" s="137"/>
      <c r="AA26" s="137"/>
      <c r="AB26" s="137"/>
      <c r="AC26" s="137"/>
      <c r="AD26" s="137"/>
      <c r="AE26" s="137"/>
      <c r="AF26" s="137"/>
      <c r="AG26" s="103"/>
    </row>
    <row r="27" x14ac:dyDescent="0.25">
      <c r="A27" s="102"/>
      <c r="B27" s="137"/>
      <c r="C27" s="137"/>
      <c r="D27" s="137"/>
      <c r="E27" s="137"/>
      <c r="F27" s="137"/>
      <c r="G27" s="137"/>
      <c r="H27" s="103"/>
      <c r="I27" s="137"/>
      <c r="J27" s="137"/>
      <c r="K27" s="137"/>
      <c r="L27" s="137"/>
      <c r="M27" s="137"/>
      <c r="N27" s="137"/>
      <c r="O27" s="137"/>
      <c r="P27" s="137"/>
      <c r="Q27" s="137"/>
      <c r="R27" s="137"/>
      <c r="S27" s="137"/>
      <c r="T27" s="137"/>
      <c r="U27" s="137"/>
      <c r="V27" s="137"/>
      <c r="W27" s="137"/>
      <c r="X27" s="137"/>
      <c r="Y27" s="137"/>
      <c r="Z27" s="137"/>
      <c r="AA27" s="137"/>
      <c r="AB27" s="137"/>
      <c r="AC27" s="137"/>
      <c r="AD27" s="137"/>
      <c r="AE27" s="137"/>
      <c r="AF27" s="137"/>
      <c r="AG27" s="103"/>
    </row>
    <row r="28" x14ac:dyDescent="0.25">
      <c r="A28" s="102"/>
      <c r="B28" s="137"/>
      <c r="C28" s="137"/>
      <c r="D28" s="137"/>
      <c r="E28" s="137"/>
      <c r="F28" s="137"/>
      <c r="G28" s="137"/>
      <c r="H28" s="103"/>
      <c r="I28" s="137"/>
      <c r="J28" s="137"/>
      <c r="K28" s="137"/>
      <c r="L28" s="137"/>
      <c r="M28" s="137"/>
      <c r="N28" s="137"/>
      <c r="O28" s="137"/>
      <c r="P28" s="137"/>
      <c r="Q28" s="137"/>
      <c r="R28" s="137"/>
      <c r="S28" s="137"/>
      <c r="T28" s="137"/>
      <c r="U28" s="137"/>
      <c r="V28" s="137"/>
      <c r="W28" s="137"/>
      <c r="X28" s="137"/>
      <c r="Y28" s="137"/>
      <c r="Z28" s="137"/>
      <c r="AA28" s="137"/>
      <c r="AB28" s="137"/>
      <c r="AC28" s="137"/>
      <c r="AD28" s="137"/>
      <c r="AE28" s="137"/>
      <c r="AF28" s="137"/>
      <c r="AG28" s="103"/>
    </row>
    <row r="29" x14ac:dyDescent="0.25">
      <c r="A29" s="102"/>
      <c r="B29" s="137"/>
      <c r="C29" s="137"/>
      <c r="D29" s="137"/>
      <c r="E29" s="137"/>
      <c r="F29" s="137"/>
      <c r="G29" s="137"/>
      <c r="H29" s="103"/>
      <c r="I29" s="137"/>
      <c r="J29" s="137"/>
      <c r="K29" s="137"/>
      <c r="L29" s="137"/>
      <c r="M29" s="137"/>
      <c r="N29" s="137"/>
      <c r="O29" s="137"/>
      <c r="P29" s="137"/>
      <c r="Q29" s="137"/>
      <c r="R29" s="137"/>
      <c r="S29" s="137"/>
      <c r="T29" s="137"/>
      <c r="U29" s="137"/>
      <c r="V29" s="137"/>
      <c r="W29" s="137"/>
      <c r="X29" s="137"/>
      <c r="Y29" s="137"/>
      <c r="Z29" s="137"/>
      <c r="AA29" s="137"/>
      <c r="AB29" s="137"/>
      <c r="AC29" s="137"/>
      <c r="AD29" s="137"/>
      <c r="AE29" s="137"/>
      <c r="AF29" s="137"/>
      <c r="AG29" s="103"/>
    </row>
    <row r="30" x14ac:dyDescent="0.25">
      <c r="A30" s="102"/>
      <c r="B30" s="137"/>
      <c r="C30" s="137"/>
      <c r="D30" s="137"/>
      <c r="E30" s="137"/>
      <c r="F30" s="137"/>
      <c r="G30" s="137"/>
      <c r="H30" s="103"/>
      <c r="I30" s="137"/>
      <c r="J30" s="137"/>
      <c r="K30" s="137"/>
      <c r="L30" s="137"/>
      <c r="M30" s="137"/>
      <c r="N30" s="137"/>
      <c r="O30" s="137"/>
      <c r="P30" s="137"/>
      <c r="Q30" s="137"/>
      <c r="R30" s="137"/>
      <c r="S30" s="137"/>
      <c r="T30" s="137"/>
      <c r="U30" s="137"/>
      <c r="V30" s="137"/>
      <c r="W30" s="137"/>
      <c r="X30" s="137"/>
      <c r="Y30" s="137"/>
      <c r="Z30" s="137"/>
      <c r="AA30" s="137"/>
      <c r="AB30" s="137"/>
      <c r="AC30" s="137"/>
      <c r="AD30" s="137"/>
      <c r="AE30" s="137"/>
      <c r="AF30" s="137"/>
      <c r="AG30" s="103"/>
    </row>
    <row r="31" x14ac:dyDescent="0.25">
      <c r="A31" s="102"/>
      <c r="B31" s="137"/>
      <c r="C31" s="137"/>
      <c r="D31" s="137"/>
      <c r="E31" s="137"/>
      <c r="F31" s="137"/>
      <c r="G31" s="137"/>
      <c r="H31" s="103"/>
      <c r="I31" s="137"/>
      <c r="J31" s="137"/>
      <c r="K31" s="137"/>
      <c r="L31" s="137"/>
      <c r="M31" s="137"/>
      <c r="N31" s="137"/>
      <c r="O31" s="137"/>
      <c r="P31" s="137"/>
      <c r="Q31" s="137"/>
      <c r="R31" s="137"/>
      <c r="S31" s="137"/>
      <c r="T31" s="137"/>
      <c r="U31" s="137"/>
      <c r="V31" s="137"/>
      <c r="W31" s="137"/>
      <c r="X31" s="137"/>
      <c r="Y31" s="137"/>
      <c r="Z31" s="137"/>
      <c r="AA31" s="137"/>
      <c r="AB31" s="137"/>
      <c r="AC31" s="137"/>
      <c r="AD31" s="137"/>
      <c r="AE31" s="137"/>
      <c r="AF31" s="137"/>
      <c r="AG31" s="103"/>
    </row>
    <row r="32" x14ac:dyDescent="0.25">
      <c r="A32" s="102"/>
      <c r="B32" s="137"/>
      <c r="C32" s="137"/>
      <c r="D32" s="137"/>
      <c r="E32" s="137"/>
      <c r="F32" s="137"/>
      <c r="G32" s="137"/>
      <c r="H32" s="103"/>
      <c r="I32" s="137"/>
      <c r="J32" s="137"/>
      <c r="K32" s="137"/>
      <c r="L32" s="137"/>
      <c r="M32" s="137"/>
      <c r="N32" s="137"/>
      <c r="O32" s="137"/>
      <c r="P32" s="137"/>
      <c r="Q32" s="137"/>
      <c r="R32" s="137"/>
      <c r="S32" s="137"/>
      <c r="T32" s="137"/>
      <c r="U32" s="137"/>
      <c r="V32" s="137"/>
      <c r="W32" s="137"/>
      <c r="X32" s="137"/>
      <c r="Y32" s="137"/>
      <c r="Z32" s="137"/>
      <c r="AA32" s="137"/>
      <c r="AB32" s="137"/>
      <c r="AC32" s="137"/>
      <c r="AD32" s="137"/>
      <c r="AE32" s="137"/>
      <c r="AF32" s="137"/>
      <c r="AG32" s="103"/>
    </row>
    <row r="33" x14ac:dyDescent="0.25">
      <c r="A33" s="102"/>
      <c r="B33" s="137"/>
      <c r="C33" s="137"/>
      <c r="D33" s="137"/>
      <c r="E33" s="137"/>
      <c r="F33" s="137"/>
      <c r="G33" s="137"/>
      <c r="H33" s="103"/>
      <c r="I33" s="137"/>
      <c r="J33" s="137"/>
      <c r="K33" s="137"/>
      <c r="L33" s="137"/>
      <c r="M33" s="137"/>
      <c r="N33" s="137"/>
      <c r="O33" s="137"/>
      <c r="P33" s="137"/>
      <c r="Q33" s="137"/>
      <c r="R33" s="137"/>
      <c r="S33" s="137"/>
      <c r="T33" s="137"/>
      <c r="U33" s="137"/>
      <c r="V33" s="137"/>
      <c r="W33" s="137"/>
      <c r="X33" s="137"/>
      <c r="Y33" s="137"/>
      <c r="Z33" s="137"/>
      <c r="AA33" s="137"/>
      <c r="AB33" s="137"/>
      <c r="AC33" s="137"/>
      <c r="AD33" s="137"/>
      <c r="AE33" s="137"/>
      <c r="AF33" s="137"/>
      <c r="AG33" s="103"/>
    </row>
    <row r="34" x14ac:dyDescent="0.25">
      <c r="A34" s="102"/>
      <c r="B34" s="137"/>
      <c r="C34" s="137"/>
      <c r="D34" s="137"/>
      <c r="E34" s="137"/>
      <c r="F34" s="137"/>
      <c r="G34" s="137"/>
      <c r="H34" s="103"/>
      <c r="I34" s="137"/>
      <c r="J34" s="137"/>
      <c r="K34" s="137"/>
      <c r="L34" s="137"/>
      <c r="M34" s="137"/>
      <c r="N34" s="137"/>
      <c r="O34" s="137"/>
      <c r="P34" s="137"/>
      <c r="Q34" s="137"/>
      <c r="R34" s="137"/>
      <c r="S34" s="137"/>
      <c r="T34" s="137"/>
      <c r="U34" s="137"/>
      <c r="V34" s="137"/>
      <c r="W34" s="137"/>
      <c r="X34" s="137"/>
      <c r="Y34" s="137"/>
      <c r="Z34" s="137"/>
      <c r="AA34" s="137"/>
      <c r="AB34" s="137"/>
      <c r="AC34" s="137"/>
      <c r="AD34" s="137"/>
      <c r="AE34" s="137"/>
      <c r="AF34" s="137"/>
      <c r="AG34" s="103"/>
    </row>
    <row r="35" x14ac:dyDescent="0.25">
      <c r="A35" s="102"/>
      <c r="B35" s="137"/>
      <c r="C35" s="137"/>
      <c r="D35" s="137"/>
      <c r="E35" s="137"/>
      <c r="F35" s="137"/>
      <c r="G35" s="137"/>
      <c r="H35" s="103"/>
      <c r="I35" s="137"/>
      <c r="J35" s="137"/>
      <c r="K35" s="137"/>
      <c r="L35" s="137"/>
      <c r="M35" s="137"/>
      <c r="N35" s="137"/>
      <c r="O35" s="137"/>
      <c r="P35" s="137"/>
      <c r="Q35" s="137"/>
      <c r="R35" s="137"/>
      <c r="S35" s="137"/>
      <c r="T35" s="137"/>
      <c r="U35" s="137"/>
      <c r="V35" s="137"/>
      <c r="W35" s="137"/>
      <c r="X35" s="137"/>
      <c r="Y35" s="137"/>
      <c r="Z35" s="137"/>
      <c r="AA35" s="137"/>
      <c r="AB35" s="137"/>
      <c r="AC35" s="137"/>
      <c r="AD35" s="137"/>
      <c r="AE35" s="137"/>
      <c r="AF35" s="137"/>
      <c r="AG35" s="103"/>
    </row>
    <row r="36" x14ac:dyDescent="0.25">
      <c r="A36" s="102"/>
      <c r="B36" s="137"/>
      <c r="C36" s="137"/>
      <c r="D36" s="137"/>
      <c r="E36" s="137"/>
      <c r="F36" s="137"/>
      <c r="G36" s="137"/>
      <c r="H36" s="103"/>
      <c r="I36" s="137"/>
      <c r="J36" s="137"/>
      <c r="K36" s="137"/>
      <c r="L36" s="137"/>
      <c r="M36" s="137"/>
      <c r="N36" s="137"/>
      <c r="O36" s="137"/>
      <c r="P36" s="137"/>
      <c r="Q36" s="137"/>
      <c r="R36" s="137"/>
      <c r="S36" s="137"/>
      <c r="T36" s="137"/>
      <c r="U36" s="137"/>
      <c r="V36" s="137"/>
      <c r="W36" s="137"/>
      <c r="X36" s="137"/>
      <c r="Y36" s="137"/>
      <c r="Z36" s="137"/>
      <c r="AA36" s="137"/>
      <c r="AB36" s="137"/>
      <c r="AC36" s="137"/>
      <c r="AD36" s="137"/>
      <c r="AE36" s="137"/>
      <c r="AF36" s="137"/>
      <c r="AG36" s="103"/>
    </row>
    <row r="37" x14ac:dyDescent="0.25">
      <c r="A37" s="102"/>
      <c r="B37" s="137"/>
      <c r="C37" s="137"/>
      <c r="D37" s="137"/>
      <c r="E37" s="137"/>
      <c r="F37" s="137"/>
      <c r="G37" s="137"/>
      <c r="H37" s="103"/>
      <c r="I37" s="137"/>
      <c r="J37" s="137"/>
      <c r="K37" s="137"/>
      <c r="L37" s="137"/>
      <c r="M37" s="137"/>
      <c r="N37" s="137"/>
      <c r="O37" s="137"/>
      <c r="P37" s="137"/>
      <c r="Q37" s="137"/>
      <c r="R37" s="137"/>
      <c r="S37" s="137"/>
      <c r="T37" s="137"/>
      <c r="U37" s="137"/>
      <c r="V37" s="137"/>
      <c r="W37" s="137"/>
      <c r="X37" s="137"/>
      <c r="Y37" s="137"/>
      <c r="Z37" s="137"/>
      <c r="AA37" s="137"/>
      <c r="AB37" s="137"/>
      <c r="AC37" s="137"/>
      <c r="AD37" s="137"/>
      <c r="AE37" s="137"/>
      <c r="AF37" s="137"/>
      <c r="AG37" s="103"/>
    </row>
    <row r="38" x14ac:dyDescent="0.25">
      <c r="A38" s="102"/>
      <c r="B38" s="137"/>
      <c r="C38" s="137"/>
      <c r="D38" s="137"/>
      <c r="E38" s="137"/>
      <c r="F38" s="137"/>
      <c r="G38" s="137"/>
      <c r="H38" s="103"/>
      <c r="I38" s="137"/>
      <c r="J38" s="137"/>
      <c r="K38" s="137"/>
      <c r="L38" s="137"/>
      <c r="M38" s="137"/>
      <c r="N38" s="137"/>
      <c r="O38" s="137"/>
      <c r="P38" s="137"/>
      <c r="Q38" s="137"/>
      <c r="R38" s="137"/>
      <c r="S38" s="137"/>
      <c r="T38" s="137"/>
      <c r="U38" s="137"/>
      <c r="V38" s="137"/>
      <c r="W38" s="137"/>
      <c r="X38" s="137"/>
      <c r="Y38" s="137"/>
      <c r="Z38" s="137"/>
      <c r="AA38" s="137"/>
      <c r="AB38" s="137"/>
      <c r="AC38" s="137"/>
      <c r="AD38" s="137"/>
      <c r="AE38" s="137"/>
      <c r="AF38" s="137"/>
      <c r="AG38" s="103"/>
    </row>
    <row r="39" x14ac:dyDescent="0.25">
      <c r="A39" s="102"/>
      <c r="B39" s="137"/>
      <c r="C39" s="137"/>
      <c r="D39" s="137"/>
      <c r="E39" s="137"/>
      <c r="F39" s="137"/>
      <c r="G39" s="137"/>
      <c r="H39" s="103"/>
      <c r="I39" s="137"/>
      <c r="J39" s="137"/>
      <c r="K39" s="137"/>
      <c r="L39" s="137"/>
      <c r="M39" s="137"/>
      <c r="N39" s="137"/>
      <c r="O39" s="137"/>
      <c r="P39" s="137"/>
      <c r="Q39" s="137"/>
      <c r="R39" s="137"/>
      <c r="S39" s="137"/>
      <c r="T39" s="137"/>
      <c r="U39" s="137"/>
      <c r="V39" s="137"/>
      <c r="W39" s="137"/>
      <c r="X39" s="137"/>
      <c r="Y39" s="137"/>
      <c r="Z39" s="137"/>
      <c r="AA39" s="137"/>
      <c r="AB39" s="137"/>
      <c r="AC39" s="137"/>
      <c r="AD39" s="137"/>
      <c r="AE39" s="137"/>
      <c r="AF39" s="137"/>
      <c r="AG39" s="103"/>
    </row>
    <row r="40" x14ac:dyDescent="0.25">
      <c r="A40" s="102"/>
      <c r="B40" s="137"/>
      <c r="C40" s="137"/>
      <c r="D40" s="137"/>
      <c r="E40" s="137"/>
      <c r="F40" s="137"/>
      <c r="G40" s="137"/>
      <c r="H40" s="103"/>
      <c r="I40" s="137"/>
      <c r="J40" s="137"/>
      <c r="K40" s="137"/>
      <c r="L40" s="137"/>
      <c r="M40" s="137"/>
      <c r="N40" s="137"/>
      <c r="O40" s="137"/>
      <c r="P40" s="137"/>
      <c r="Q40" s="137"/>
      <c r="R40" s="137"/>
      <c r="S40" s="137"/>
      <c r="T40" s="137"/>
      <c r="U40" s="137"/>
      <c r="V40" s="137"/>
      <c r="W40" s="137"/>
      <c r="X40" s="137"/>
      <c r="Y40" s="137"/>
      <c r="Z40" s="137"/>
      <c r="AA40" s="137"/>
      <c r="AB40" s="137"/>
      <c r="AC40" s="137"/>
      <c r="AD40" s="137"/>
      <c r="AE40" s="137"/>
      <c r="AF40" s="137"/>
      <c r="AG40" s="103"/>
    </row>
    <row r="41" x14ac:dyDescent="0.25">
      <c r="A41" s="102"/>
      <c r="B41" s="137"/>
      <c r="C41" s="137"/>
      <c r="D41" s="137"/>
      <c r="E41" s="137"/>
      <c r="F41" s="137"/>
      <c r="G41" s="137"/>
      <c r="H41" s="103"/>
      <c r="I41" s="137"/>
      <c r="J41" s="137"/>
      <c r="K41" s="137"/>
      <c r="L41" s="137"/>
      <c r="M41" s="137"/>
      <c r="N41" s="137"/>
      <c r="O41" s="137"/>
      <c r="P41" s="137"/>
      <c r="Q41" s="137"/>
      <c r="R41" s="137"/>
      <c r="S41" s="137"/>
      <c r="T41" s="137"/>
      <c r="U41" s="137"/>
      <c r="V41" s="137"/>
      <c r="W41" s="137"/>
      <c r="X41" s="137"/>
      <c r="Y41" s="137"/>
      <c r="Z41" s="137"/>
      <c r="AA41" s="137"/>
      <c r="AB41" s="137"/>
      <c r="AC41" s="137"/>
      <c r="AD41" s="137"/>
      <c r="AE41" s="137"/>
      <c r="AF41" s="137"/>
      <c r="AG41" s="103"/>
    </row>
    <row r="42" x14ac:dyDescent="0.25">
      <c r="A42" s="102"/>
      <c r="B42" s="137"/>
      <c r="C42" s="137"/>
      <c r="D42" s="137"/>
      <c r="E42" s="137"/>
      <c r="F42" s="137"/>
      <c r="G42" s="137"/>
      <c r="H42" s="103"/>
      <c r="I42" s="137"/>
      <c r="J42" s="137"/>
      <c r="K42" s="137"/>
      <c r="L42" s="137"/>
      <c r="M42" s="137"/>
      <c r="N42" s="137"/>
      <c r="O42" s="137"/>
      <c r="P42" s="137"/>
      <c r="Q42" s="137"/>
      <c r="R42" s="137"/>
      <c r="S42" s="137"/>
      <c r="T42" s="137"/>
      <c r="U42" s="137"/>
      <c r="V42" s="137"/>
      <c r="W42" s="137"/>
      <c r="X42" s="137"/>
      <c r="Y42" s="137"/>
      <c r="Z42" s="137"/>
      <c r="AA42" s="137"/>
      <c r="AB42" s="137"/>
      <c r="AC42" s="137"/>
      <c r="AD42" s="137"/>
      <c r="AE42" s="137"/>
      <c r="AF42" s="137"/>
      <c r="AG42" s="141"/>
    </row>
    <row r="43" x14ac:dyDescent="0.25">
      <c r="A43" s="102"/>
      <c r="B43" s="137"/>
      <c r="C43" s="137"/>
      <c r="D43" s="137"/>
      <c r="E43" s="137"/>
      <c r="F43" s="137"/>
      <c r="G43" s="137"/>
      <c r="H43" s="103"/>
      <c r="I43" s="137"/>
      <c r="J43" s="137"/>
      <c r="K43" s="137"/>
      <c r="L43" s="137"/>
      <c r="M43" s="137"/>
      <c r="N43" s="137"/>
      <c r="O43" s="137"/>
      <c r="P43" s="137"/>
      <c r="Q43" s="137"/>
      <c r="R43" s="137"/>
      <c r="S43" s="137"/>
      <c r="T43" s="137"/>
      <c r="U43" s="137"/>
      <c r="V43" s="137"/>
      <c r="W43" s="137"/>
      <c r="X43" s="137"/>
      <c r="Y43" s="137"/>
      <c r="Z43" s="137"/>
      <c r="AA43" s="137"/>
      <c r="AB43" s="137"/>
      <c r="AC43" s="137"/>
      <c r="AD43" s="137"/>
      <c r="AE43" s="137"/>
      <c r="AF43" s="137"/>
      <c r="AG43" s="103"/>
    </row>
    <row r="44" ht="15.75" thickBot="true" x14ac:dyDescent="0.3">
      <c r="A44" s="104"/>
      <c r="B44" s="105"/>
      <c r="C44" s="105"/>
      <c r="D44" s="105"/>
      <c r="E44" s="105"/>
      <c r="F44" s="105"/>
      <c r="G44" s="105"/>
      <c r="H44" s="106"/>
      <c r="I44" s="105"/>
      <c r="J44" s="105"/>
      <c r="K44" s="105"/>
      <c r="L44" s="105"/>
      <c r="M44" s="105"/>
      <c r="N44" s="105"/>
      <c r="O44" s="105"/>
      <c r="P44" s="105"/>
      <c r="Q44" s="105"/>
      <c r="R44" s="105"/>
      <c r="S44" s="105"/>
      <c r="T44" s="105"/>
      <c r="U44" s="105"/>
      <c r="V44" s="105"/>
      <c r="W44" s="105"/>
      <c r="X44" s="105"/>
      <c r="Y44" s="105"/>
      <c r="Z44" s="105"/>
      <c r="AA44" s="105"/>
      <c r="AB44" s="105"/>
      <c r="AC44" s="105"/>
      <c r="AD44" s="105"/>
      <c r="AE44" s="105"/>
      <c r="AF44" s="105"/>
      <c r="AG44" s="106"/>
    </row>
    <row r="45" ht="23.25" x14ac:dyDescent="0.35">
      <c r="A45" s="216" t="s">
        <v>304</v>
      </c>
      <c r="B45" s="217"/>
      <c r="C45" s="217"/>
      <c r="D45" s="217"/>
      <c r="E45" s="217"/>
      <c r="F45" s="217"/>
      <c r="G45" s="217"/>
      <c r="H45" s="217"/>
      <c r="I45" s="217"/>
      <c r="J45" s="217"/>
      <c r="K45" s="217"/>
      <c r="L45" s="217"/>
      <c r="M45" s="217"/>
      <c r="N45" s="217"/>
      <c r="O45" s="217"/>
      <c r="P45" s="217"/>
      <c r="Q45" s="217"/>
      <c r="R45" s="217"/>
      <c r="S45" s="217"/>
      <c r="T45" s="217"/>
      <c r="U45" s="217"/>
      <c r="V45" s="217"/>
      <c r="W45" s="217"/>
      <c r="X45" s="217"/>
      <c r="Y45" s="217"/>
      <c r="Z45" s="217"/>
      <c r="AA45" s="217"/>
      <c r="AB45" s="217"/>
      <c r="AC45" s="217"/>
      <c r="AD45" s="217"/>
      <c r="AE45" s="217"/>
      <c r="AF45" s="217"/>
      <c r="AG45" s="218"/>
    </row>
    <row r="46" x14ac:dyDescent="0.25">
      <c r="A46" s="102"/>
      <c r="B46" s="137"/>
      <c r="C46" s="137"/>
      <c r="D46" s="137"/>
      <c r="E46" s="137"/>
      <c r="F46" s="137"/>
      <c r="G46" s="137"/>
      <c r="H46" s="137"/>
      <c r="I46" s="137"/>
      <c r="J46" s="137"/>
      <c r="K46" s="137"/>
      <c r="L46" s="137"/>
      <c r="M46" s="137"/>
      <c r="N46" s="137"/>
      <c r="O46" s="137"/>
      <c r="P46" s="137"/>
      <c r="Q46" s="137"/>
      <c r="R46" s="137"/>
      <c r="S46" s="137"/>
      <c r="T46" s="137"/>
      <c r="U46" s="137"/>
      <c r="V46" s="137"/>
      <c r="W46" s="137"/>
      <c r="X46" s="137"/>
      <c r="Y46" s="137"/>
      <c r="Z46" s="137"/>
      <c r="AA46" s="137"/>
      <c r="AB46" s="137"/>
      <c r="AC46" s="137"/>
      <c r="AD46" s="137"/>
      <c r="AE46" s="137"/>
      <c r="AF46" s="137"/>
      <c r="AG46" s="103"/>
    </row>
    <row r="47" x14ac:dyDescent="0.25">
      <c r="A47" s="102"/>
      <c r="B47" s="137"/>
      <c r="C47" s="137"/>
      <c r="D47" s="137"/>
      <c r="E47" s="137"/>
      <c r="F47" s="137"/>
      <c r="G47" s="137"/>
      <c r="H47" s="137"/>
      <c r="I47" s="137"/>
      <c r="J47" s="137"/>
      <c r="K47" s="137"/>
      <c r="L47" s="137"/>
      <c r="M47" s="137"/>
      <c r="N47" s="137"/>
      <c r="O47" s="137"/>
      <c r="P47" s="137"/>
      <c r="Q47" s="137"/>
      <c r="R47" s="137"/>
      <c r="S47" s="137"/>
      <c r="T47" s="137"/>
      <c r="U47" s="137"/>
      <c r="V47" s="137"/>
      <c r="W47" s="137"/>
      <c r="X47" s="137"/>
      <c r="Y47" s="137"/>
      <c r="Z47" s="137"/>
      <c r="AA47" s="137"/>
      <c r="AB47" s="137"/>
      <c r="AC47" s="137"/>
      <c r="AD47" s="137"/>
      <c r="AE47" s="137"/>
      <c r="AF47" s="137"/>
      <c r="AG47" s="103"/>
    </row>
    <row r="48" x14ac:dyDescent="0.25">
      <c r="A48" s="102"/>
      <c r="B48" s="137"/>
      <c r="C48" s="137"/>
      <c r="D48" s="137"/>
      <c r="E48" s="137"/>
      <c r="F48" s="137"/>
      <c r="G48" s="137"/>
      <c r="H48" s="137"/>
      <c r="I48" s="137"/>
      <c r="J48" s="137"/>
      <c r="K48" s="137"/>
      <c r="L48" s="137"/>
      <c r="M48" s="137"/>
      <c r="N48" s="137"/>
      <c r="O48" s="137"/>
      <c r="P48" s="137"/>
      <c r="Q48" s="137"/>
      <c r="R48" s="137"/>
      <c r="S48" s="137"/>
      <c r="T48" s="137"/>
      <c r="U48" s="137"/>
      <c r="V48" s="137"/>
      <c r="W48" s="137"/>
      <c r="X48" s="137"/>
      <c r="Y48" s="137"/>
      <c r="Z48" s="137"/>
      <c r="AA48" s="137"/>
      <c r="AB48" s="137"/>
      <c r="AC48" s="137"/>
      <c r="AD48" s="137"/>
      <c r="AE48" s="137"/>
      <c r="AF48" s="137"/>
      <c r="AG48" s="103"/>
    </row>
    <row r="49" x14ac:dyDescent="0.25">
      <c r="A49" s="102"/>
      <c r="B49" s="137"/>
      <c r="C49" s="137"/>
      <c r="D49" s="137"/>
      <c r="E49" s="137"/>
      <c r="F49" s="137"/>
      <c r="G49" s="137"/>
      <c r="H49" s="137"/>
      <c r="I49" s="137"/>
      <c r="J49" s="137"/>
      <c r="K49" s="137"/>
      <c r="L49" s="137"/>
      <c r="M49" s="137"/>
      <c r="N49" s="137"/>
      <c r="O49" s="137"/>
      <c r="P49" s="137"/>
      <c r="Q49" s="137"/>
      <c r="R49" s="137"/>
      <c r="S49" s="137"/>
      <c r="T49" s="137"/>
      <c r="U49" s="137"/>
      <c r="V49" s="137"/>
      <c r="W49" s="137"/>
      <c r="X49" s="137"/>
      <c r="Y49" s="137"/>
      <c r="Z49" s="137"/>
      <c r="AA49" s="137"/>
      <c r="AB49" s="137"/>
      <c r="AC49" s="137"/>
      <c r="AD49" s="137"/>
      <c r="AE49" s="137"/>
      <c r="AF49" s="137"/>
      <c r="AG49" s="103"/>
    </row>
    <row r="50" x14ac:dyDescent="0.25">
      <c r="A50" s="102"/>
      <c r="B50" s="137"/>
      <c r="C50" s="137"/>
      <c r="D50" s="137"/>
      <c r="E50" s="137"/>
      <c r="F50" s="137"/>
      <c r="G50" s="137"/>
      <c r="H50" s="137"/>
      <c r="I50" s="137"/>
      <c r="J50" s="137"/>
      <c r="K50" s="137"/>
      <c r="L50" s="137"/>
      <c r="M50" s="137"/>
      <c r="N50" s="137"/>
      <c r="O50" s="137"/>
      <c r="P50" s="137"/>
      <c r="Q50" s="137"/>
      <c r="R50" s="137"/>
      <c r="S50" s="137"/>
      <c r="T50" s="137"/>
      <c r="U50" s="137"/>
      <c r="V50" s="137"/>
      <c r="W50" s="137"/>
      <c r="X50" s="137"/>
      <c r="Y50" s="137"/>
      <c r="Z50" s="137"/>
      <c r="AA50" s="137"/>
      <c r="AB50" s="137"/>
      <c r="AC50" s="137"/>
      <c r="AD50" s="137"/>
      <c r="AE50" s="137"/>
      <c r="AF50" s="137"/>
      <c r="AG50" s="103"/>
    </row>
    <row r="51" x14ac:dyDescent="0.25">
      <c r="A51" s="102"/>
      <c r="B51" s="137"/>
      <c r="C51" s="137"/>
      <c r="D51" s="137"/>
      <c r="E51" s="137"/>
      <c r="F51" s="137"/>
      <c r="G51" s="137"/>
      <c r="H51" s="137"/>
      <c r="I51" s="137"/>
      <c r="J51" s="137"/>
      <c r="K51" s="137"/>
      <c r="L51" s="137"/>
      <c r="M51" s="137"/>
      <c r="N51" s="137"/>
      <c r="O51" s="137"/>
      <c r="P51" s="137"/>
      <c r="Q51" s="137"/>
      <c r="R51" s="137"/>
      <c r="S51" s="137"/>
      <c r="T51" s="137"/>
      <c r="U51" s="137"/>
      <c r="V51" s="137"/>
      <c r="W51" s="137"/>
      <c r="X51" s="137"/>
      <c r="Y51" s="137"/>
      <c r="Z51" s="137"/>
      <c r="AA51" s="137"/>
      <c r="AB51" s="137"/>
      <c r="AC51" s="137"/>
      <c r="AD51" s="137"/>
      <c r="AE51" s="137"/>
      <c r="AF51" s="137"/>
      <c r="AG51" s="103"/>
    </row>
    <row r="52" x14ac:dyDescent="0.25">
      <c r="A52" s="102"/>
      <c r="B52" s="137"/>
      <c r="C52" s="137"/>
      <c r="D52" s="137"/>
      <c r="E52" s="137"/>
      <c r="F52" s="137"/>
      <c r="G52" s="137"/>
      <c r="H52" s="137"/>
      <c r="I52" s="137"/>
      <c r="J52" s="137"/>
      <c r="K52" s="137"/>
      <c r="L52" s="137"/>
      <c r="M52" s="137"/>
      <c r="N52" s="137"/>
      <c r="O52" s="137"/>
      <c r="P52" s="137"/>
      <c r="Q52" s="137"/>
      <c r="R52" s="137"/>
      <c r="S52" s="137"/>
      <c r="T52" s="137"/>
      <c r="U52" s="137"/>
      <c r="V52" s="137"/>
      <c r="W52" s="137"/>
      <c r="X52" s="137"/>
      <c r="Y52" s="137"/>
      <c r="Z52" s="137"/>
      <c r="AA52" s="137"/>
      <c r="AB52" s="137"/>
      <c r="AC52" s="137"/>
      <c r="AD52" s="137"/>
      <c r="AE52" s="137"/>
      <c r="AF52" s="137"/>
      <c r="AG52" s="103"/>
    </row>
    <row r="53" x14ac:dyDescent="0.25">
      <c r="A53" s="102"/>
      <c r="B53" s="137"/>
      <c r="C53" s="137"/>
      <c r="D53" s="137"/>
      <c r="E53" s="137"/>
      <c r="F53" s="137"/>
      <c r="G53" s="137"/>
      <c r="H53" s="137"/>
      <c r="I53" s="137"/>
      <c r="J53" s="137"/>
      <c r="K53" s="137"/>
      <c r="L53" s="137"/>
      <c r="M53" s="137"/>
      <c r="N53" s="137"/>
      <c r="O53" s="137"/>
      <c r="P53" s="137"/>
      <c r="Q53" s="137"/>
      <c r="R53" s="137"/>
      <c r="S53" s="137"/>
      <c r="T53" s="137"/>
      <c r="U53" s="137"/>
      <c r="V53" s="137"/>
      <c r="W53" s="137"/>
      <c r="X53" s="137"/>
      <c r="Y53" s="137"/>
      <c r="Z53" s="137"/>
      <c r="AA53" s="137"/>
      <c r="AB53" s="137"/>
      <c r="AC53" s="137"/>
      <c r="AD53" s="137"/>
      <c r="AE53" s="137"/>
      <c r="AF53" s="137"/>
      <c r="AG53" s="103"/>
    </row>
    <row r="54" x14ac:dyDescent="0.25">
      <c r="A54" s="102"/>
      <c r="B54" s="137"/>
      <c r="C54" s="137"/>
      <c r="D54" s="137"/>
      <c r="E54" s="137"/>
      <c r="F54" s="137"/>
      <c r="G54" s="137"/>
      <c r="H54" s="137"/>
      <c r="I54" s="137"/>
      <c r="J54" s="137"/>
      <c r="K54" s="137"/>
      <c r="L54" s="137"/>
      <c r="M54" s="137"/>
      <c r="N54" s="137"/>
      <c r="O54" s="137"/>
      <c r="P54" s="137"/>
      <c r="Q54" s="137"/>
      <c r="R54" s="137"/>
      <c r="S54" s="137"/>
      <c r="T54" s="137"/>
      <c r="U54" s="137"/>
      <c r="V54" s="137"/>
      <c r="W54" s="137"/>
      <c r="X54" s="137"/>
      <c r="Y54" s="137"/>
      <c r="Z54" s="137"/>
      <c r="AA54" s="137"/>
      <c r="AB54" s="137"/>
      <c r="AC54" s="137"/>
      <c r="AD54" s="137"/>
      <c r="AE54" s="137"/>
      <c r="AF54" s="137"/>
      <c r="AG54" s="103"/>
    </row>
    <row r="55" x14ac:dyDescent="0.25">
      <c r="A55" s="102"/>
      <c r="B55" s="137"/>
      <c r="C55" s="137"/>
      <c r="D55" s="137"/>
      <c r="E55" s="137"/>
      <c r="F55" s="137"/>
      <c r="G55" s="137"/>
      <c r="H55" s="137"/>
      <c r="I55" s="137"/>
      <c r="J55" s="137"/>
      <c r="K55" s="137"/>
      <c r="L55" s="137"/>
      <c r="M55" s="137"/>
      <c r="N55" s="137"/>
      <c r="O55" s="137"/>
      <c r="P55" s="137"/>
      <c r="Q55" s="137"/>
      <c r="R55" s="137"/>
      <c r="S55" s="137"/>
      <c r="T55" s="137"/>
      <c r="U55" s="137"/>
      <c r="V55" s="137"/>
      <c r="W55" s="137"/>
      <c r="X55" s="137"/>
      <c r="Y55" s="137"/>
      <c r="Z55" s="137"/>
      <c r="AA55" s="137"/>
      <c r="AB55" s="137"/>
      <c r="AC55" s="137"/>
      <c r="AD55" s="137"/>
      <c r="AE55" s="137"/>
      <c r="AF55" s="137"/>
      <c r="AG55" s="103"/>
    </row>
    <row r="56" x14ac:dyDescent="0.25">
      <c r="A56" s="102"/>
      <c r="B56" s="137"/>
      <c r="C56" s="137"/>
      <c r="D56" s="137"/>
      <c r="E56" s="137"/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37"/>
      <c r="R56" s="137"/>
      <c r="S56" s="137"/>
      <c r="T56" s="137"/>
      <c r="U56" s="137"/>
      <c r="V56" s="137"/>
      <c r="W56" s="137"/>
      <c r="X56" s="137"/>
      <c r="Y56" s="137"/>
      <c r="Z56" s="137"/>
      <c r="AA56" s="137"/>
      <c r="AB56" s="137"/>
      <c r="AC56" s="137"/>
      <c r="AD56" s="137"/>
      <c r="AE56" s="137"/>
      <c r="AF56" s="137"/>
      <c r="AG56" s="103"/>
    </row>
    <row r="57" x14ac:dyDescent="0.25">
      <c r="A57" s="102"/>
      <c r="B57" s="137"/>
      <c r="C57" s="137"/>
      <c r="D57" s="137"/>
      <c r="E57" s="137"/>
      <c r="F57" s="137"/>
      <c r="G57" s="137"/>
      <c r="H57" s="137"/>
      <c r="I57" s="137"/>
      <c r="J57" s="137"/>
      <c r="K57" s="137"/>
      <c r="L57" s="137"/>
      <c r="M57" s="137"/>
      <c r="N57" s="137"/>
      <c r="O57" s="137"/>
      <c r="P57" s="137"/>
      <c r="Q57" s="137"/>
      <c r="R57" s="137"/>
      <c r="S57" s="137"/>
      <c r="T57" s="137"/>
      <c r="U57" s="137"/>
      <c r="V57" s="137"/>
      <c r="W57" s="137"/>
      <c r="X57" s="137"/>
      <c r="Y57" s="137"/>
      <c r="Z57" s="137"/>
      <c r="AA57" s="137"/>
      <c r="AB57" s="137"/>
      <c r="AC57" s="137"/>
      <c r="AD57" s="137"/>
      <c r="AE57" s="137"/>
      <c r="AF57" s="137"/>
      <c r="AG57" s="103"/>
    </row>
    <row r="58" x14ac:dyDescent="0.25">
      <c r="A58" s="102"/>
      <c r="B58" s="137"/>
      <c r="C58" s="137"/>
      <c r="D58" s="137"/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  <c r="AC58" s="137"/>
      <c r="AD58" s="137"/>
      <c r="AE58" s="137"/>
      <c r="AF58" s="137"/>
      <c r="AG58" s="103"/>
    </row>
    <row r="59" x14ac:dyDescent="0.25">
      <c r="A59" s="102"/>
      <c r="B59" s="137"/>
      <c r="C59" s="137"/>
      <c r="D59" s="137"/>
      <c r="E59" s="137"/>
      <c r="F59" s="137"/>
      <c r="G59" s="137"/>
      <c r="H59" s="137"/>
      <c r="I59" s="137"/>
      <c r="J59" s="137"/>
      <c r="K59" s="137"/>
      <c r="L59" s="137"/>
      <c r="M59" s="137"/>
      <c r="N59" s="137"/>
      <c r="O59" s="137"/>
      <c r="P59" s="137"/>
      <c r="Q59" s="137"/>
      <c r="R59" s="137"/>
      <c r="S59" s="137"/>
      <c r="T59" s="137"/>
      <c r="U59" s="137"/>
      <c r="V59" s="137"/>
      <c r="W59" s="137"/>
      <c r="X59" s="137"/>
      <c r="Y59" s="137"/>
      <c r="Z59" s="137"/>
      <c r="AA59" s="137"/>
      <c r="AB59" s="137"/>
      <c r="AC59" s="137"/>
      <c r="AD59" s="137"/>
      <c r="AE59" s="137"/>
      <c r="AF59" s="137"/>
      <c r="AG59" s="103"/>
    </row>
    <row r="60" x14ac:dyDescent="0.25">
      <c r="A60" s="102"/>
      <c r="B60" s="137"/>
      <c r="C60" s="137"/>
      <c r="D60" s="137"/>
      <c r="E60" s="137"/>
      <c r="F60" s="137"/>
      <c r="G60" s="137"/>
      <c r="H60" s="137"/>
      <c r="I60" s="137"/>
      <c r="J60" s="137"/>
      <c r="K60" s="137"/>
      <c r="L60" s="137"/>
      <c r="M60" s="137"/>
      <c r="N60" s="137"/>
      <c r="O60" s="137"/>
      <c r="P60" s="137"/>
      <c r="Q60" s="137"/>
      <c r="R60" s="137"/>
      <c r="S60" s="137"/>
      <c r="T60" s="137"/>
      <c r="U60" s="137"/>
      <c r="V60" s="137"/>
      <c r="W60" s="137"/>
      <c r="X60" s="137"/>
      <c r="Y60" s="137"/>
      <c r="Z60" s="137"/>
      <c r="AA60" s="137"/>
      <c r="AB60" s="137"/>
      <c r="AC60" s="137"/>
      <c r="AD60" s="137"/>
      <c r="AE60" s="137"/>
      <c r="AF60" s="137"/>
      <c r="AG60" s="103"/>
    </row>
    <row r="61" x14ac:dyDescent="0.25">
      <c r="A61" s="102"/>
      <c r="B61" s="137"/>
      <c r="C61" s="137"/>
      <c r="D61" s="137"/>
      <c r="E61" s="137"/>
      <c r="F61" s="137"/>
      <c r="G61" s="137"/>
      <c r="H61" s="137"/>
      <c r="I61" s="137"/>
      <c r="J61" s="137"/>
      <c r="K61" s="137"/>
      <c r="L61" s="137"/>
      <c r="M61" s="137"/>
      <c r="N61" s="137"/>
      <c r="O61" s="137"/>
      <c r="P61" s="137"/>
      <c r="Q61" s="137"/>
      <c r="R61" s="137"/>
      <c r="S61" s="137"/>
      <c r="T61" s="137"/>
      <c r="U61" s="137"/>
      <c r="V61" s="137"/>
      <c r="W61" s="137"/>
      <c r="X61" s="137"/>
      <c r="Y61" s="137"/>
      <c r="Z61" s="137"/>
      <c r="AA61" s="137"/>
      <c r="AB61" s="137"/>
      <c r="AC61" s="137"/>
      <c r="AD61" s="137"/>
      <c r="AE61" s="137"/>
      <c r="AF61" s="137"/>
      <c r="AG61" s="103"/>
    </row>
    <row r="62" x14ac:dyDescent="0.25">
      <c r="A62" s="102"/>
      <c r="B62" s="137"/>
      <c r="C62" s="137"/>
      <c r="D62" s="137"/>
      <c r="E62" s="137"/>
      <c r="F62" s="137"/>
      <c r="G62" s="137"/>
      <c r="H62" s="137"/>
      <c r="I62" s="137"/>
      <c r="J62" s="137"/>
      <c r="K62" s="137"/>
      <c r="L62" s="137"/>
      <c r="M62" s="137"/>
      <c r="N62" s="137"/>
      <c r="O62" s="137"/>
      <c r="P62" s="137"/>
      <c r="Q62" s="137"/>
      <c r="R62" s="137"/>
      <c r="S62" s="137"/>
      <c r="T62" s="137"/>
      <c r="U62" s="137"/>
      <c r="V62" s="137"/>
      <c r="W62" s="137"/>
      <c r="X62" s="137"/>
      <c r="Y62" s="137"/>
      <c r="Z62" s="137"/>
      <c r="AA62" s="137"/>
      <c r="AB62" s="137"/>
      <c r="AC62" s="137"/>
      <c r="AD62" s="137"/>
      <c r="AE62" s="137"/>
      <c r="AF62" s="137"/>
      <c r="AG62" s="103"/>
    </row>
    <row r="63" x14ac:dyDescent="0.25">
      <c r="A63" s="102"/>
      <c r="B63" s="137"/>
      <c r="C63" s="137"/>
      <c r="D63" s="137"/>
      <c r="E63" s="137"/>
      <c r="F63" s="137"/>
      <c r="G63" s="137"/>
      <c r="H63" s="137"/>
      <c r="I63" s="137"/>
      <c r="J63" s="137"/>
      <c r="K63" s="137"/>
      <c r="L63" s="137"/>
      <c r="M63" s="137"/>
      <c r="N63" s="137"/>
      <c r="O63" s="137"/>
      <c r="P63" s="137"/>
      <c r="Q63" s="137"/>
      <c r="R63" s="137"/>
      <c r="S63" s="137"/>
      <c r="T63" s="137"/>
      <c r="U63" s="137"/>
      <c r="V63" s="137"/>
      <c r="W63" s="137"/>
      <c r="X63" s="137"/>
      <c r="Y63" s="137"/>
      <c r="Z63" s="137"/>
      <c r="AA63" s="137"/>
      <c r="AB63" s="137"/>
      <c r="AC63" s="137"/>
      <c r="AD63" s="137"/>
      <c r="AE63" s="137"/>
      <c r="AF63" s="137"/>
      <c r="AG63" s="103"/>
    </row>
    <row r="64" x14ac:dyDescent="0.25">
      <c r="A64" s="102"/>
      <c r="B64" s="137"/>
      <c r="C64" s="137"/>
      <c r="D64" s="137"/>
      <c r="E64" s="137"/>
      <c r="F64" s="137"/>
      <c r="G64" s="137"/>
      <c r="H64" s="137"/>
      <c r="I64" s="137"/>
      <c r="J64" s="137"/>
      <c r="K64" s="137"/>
      <c r="L64" s="137"/>
      <c r="M64" s="137"/>
      <c r="N64" s="137"/>
      <c r="O64" s="137"/>
      <c r="P64" s="137"/>
      <c r="Q64" s="137"/>
      <c r="R64" s="137"/>
      <c r="S64" s="137"/>
      <c r="T64" s="137"/>
      <c r="U64" s="137"/>
      <c r="V64" s="137"/>
      <c r="W64" s="137"/>
      <c r="X64" s="137"/>
      <c r="Y64" s="137"/>
      <c r="Z64" s="137"/>
      <c r="AA64" s="137"/>
      <c r="AB64" s="137"/>
      <c r="AC64" s="137"/>
      <c r="AD64" s="137"/>
      <c r="AE64" s="137"/>
      <c r="AF64" s="137"/>
      <c r="AG64" s="103"/>
    </row>
    <row r="65" x14ac:dyDescent="0.25">
      <c r="A65" s="102"/>
      <c r="B65" s="137"/>
      <c r="C65" s="137"/>
      <c r="D65" s="137"/>
      <c r="E65" s="137"/>
      <c r="F65" s="137"/>
      <c r="G65" s="137"/>
      <c r="H65" s="137"/>
      <c r="I65" s="137"/>
      <c r="J65" s="137"/>
      <c r="K65" s="137"/>
      <c r="L65" s="137"/>
      <c r="M65" s="137"/>
      <c r="N65" s="137"/>
      <c r="O65" s="137"/>
      <c r="P65" s="137"/>
      <c r="Q65" s="137"/>
      <c r="R65" s="137"/>
      <c r="S65" s="137"/>
      <c r="T65" s="137"/>
      <c r="U65" s="137"/>
      <c r="V65" s="137"/>
      <c r="W65" s="137"/>
      <c r="X65" s="137"/>
      <c r="Y65" s="137"/>
      <c r="Z65" s="137"/>
      <c r="AA65" s="137"/>
      <c r="AB65" s="137"/>
      <c r="AC65" s="137"/>
      <c r="AD65" s="137"/>
      <c r="AE65" s="137"/>
      <c r="AF65" s="137"/>
      <c r="AG65" s="103"/>
    </row>
    <row r="66" x14ac:dyDescent="0.25">
      <c r="A66" s="102"/>
      <c r="B66" s="137"/>
      <c r="C66" s="137"/>
      <c r="D66" s="137"/>
      <c r="E66" s="137"/>
      <c r="F66" s="137"/>
      <c r="G66" s="137"/>
      <c r="H66" s="137"/>
      <c r="I66" s="137"/>
      <c r="J66" s="137"/>
      <c r="K66" s="137"/>
      <c r="L66" s="137"/>
      <c r="M66" s="137"/>
      <c r="N66" s="137"/>
      <c r="O66" s="137"/>
      <c r="P66" s="137"/>
      <c r="Q66" s="137"/>
      <c r="R66" s="137"/>
      <c r="S66" s="137"/>
      <c r="T66" s="137"/>
      <c r="U66" s="137"/>
      <c r="V66" s="137"/>
      <c r="W66" s="137"/>
      <c r="X66" s="137"/>
      <c r="Y66" s="137"/>
      <c r="Z66" s="137"/>
      <c r="AA66" s="137"/>
      <c r="AB66" s="137"/>
      <c r="AC66" s="137"/>
      <c r="AD66" s="137"/>
      <c r="AE66" s="137"/>
      <c r="AF66" s="137"/>
      <c r="AG66" s="103"/>
    </row>
    <row r="67" x14ac:dyDescent="0.25">
      <c r="A67" s="102"/>
      <c r="B67" s="137"/>
      <c r="C67" s="137"/>
      <c r="D67" s="137"/>
      <c r="E67" s="137"/>
      <c r="F67" s="137"/>
      <c r="G67" s="137"/>
      <c r="H67" s="137"/>
      <c r="I67" s="137"/>
      <c r="J67" s="137"/>
      <c r="K67" s="137"/>
      <c r="L67" s="137"/>
      <c r="M67" s="137"/>
      <c r="N67" s="137"/>
      <c r="O67" s="137"/>
      <c r="P67" s="137"/>
      <c r="Q67" s="137"/>
      <c r="R67" s="137"/>
      <c r="S67" s="137"/>
      <c r="T67" s="137"/>
      <c r="U67" s="137"/>
      <c r="V67" s="137"/>
      <c r="W67" s="137"/>
      <c r="X67" s="137"/>
      <c r="Y67" s="137"/>
      <c r="Z67" s="137"/>
      <c r="AA67" s="137"/>
      <c r="AB67" s="137"/>
      <c r="AC67" s="137"/>
      <c r="AD67" s="137"/>
      <c r="AE67" s="137"/>
      <c r="AF67" s="137"/>
      <c r="AG67" s="103"/>
    </row>
    <row r="68" x14ac:dyDescent="0.25">
      <c r="A68" s="102"/>
      <c r="B68" s="137"/>
      <c r="C68" s="137"/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137"/>
      <c r="AC68" s="137"/>
      <c r="AD68" s="137"/>
      <c r="AE68" s="137"/>
      <c r="AF68" s="137"/>
      <c r="AG68" s="103"/>
    </row>
    <row r="69" x14ac:dyDescent="0.25">
      <c r="A69" s="102"/>
      <c r="B69" s="137"/>
      <c r="C69" s="137"/>
      <c r="D69" s="137"/>
      <c r="E69" s="137"/>
      <c r="F69" s="137"/>
      <c r="G69" s="137"/>
      <c r="H69" s="137"/>
      <c r="I69" s="137"/>
      <c r="J69" s="137"/>
      <c r="K69" s="137"/>
      <c r="L69" s="137"/>
      <c r="M69" s="137"/>
      <c r="N69" s="137"/>
      <c r="O69" s="137"/>
      <c r="P69" s="137"/>
      <c r="Q69" s="137"/>
      <c r="R69" s="137"/>
      <c r="S69" s="137"/>
      <c r="T69" s="137"/>
      <c r="U69" s="137"/>
      <c r="V69" s="137"/>
      <c r="W69" s="137"/>
      <c r="X69" s="137"/>
      <c r="Y69" s="137"/>
      <c r="Z69" s="137"/>
      <c r="AA69" s="137"/>
      <c r="AB69" s="137"/>
      <c r="AC69" s="137"/>
      <c r="AD69" s="137"/>
      <c r="AE69" s="137"/>
      <c r="AF69" s="137"/>
      <c r="AG69" s="103"/>
    </row>
    <row r="70" x14ac:dyDescent="0.25">
      <c r="A70" s="102"/>
      <c r="B70" s="137"/>
      <c r="C70" s="137"/>
      <c r="D70" s="137"/>
      <c r="E70" s="137"/>
      <c r="F70" s="137"/>
      <c r="G70" s="137"/>
      <c r="H70" s="137"/>
      <c r="I70" s="137"/>
      <c r="J70" s="137"/>
      <c r="K70" s="137"/>
      <c r="L70" s="137"/>
      <c r="M70" s="137"/>
      <c r="N70" s="137"/>
      <c r="O70" s="137"/>
      <c r="P70" s="137"/>
      <c r="Q70" s="137"/>
      <c r="R70" s="137"/>
      <c r="S70" s="137"/>
      <c r="T70" s="137"/>
      <c r="U70" s="137"/>
      <c r="V70" s="137"/>
      <c r="W70" s="137"/>
      <c r="X70" s="137"/>
      <c r="Y70" s="137"/>
      <c r="Z70" s="137"/>
      <c r="AA70" s="137"/>
      <c r="AB70" s="137"/>
      <c r="AC70" s="137"/>
      <c r="AD70" s="137"/>
      <c r="AE70" s="137"/>
      <c r="AF70" s="137"/>
      <c r="AG70" s="103"/>
    </row>
    <row r="71" x14ac:dyDescent="0.25">
      <c r="A71" s="102"/>
      <c r="B71" s="137"/>
      <c r="C71" s="137"/>
      <c r="D71" s="137"/>
      <c r="E71" s="137"/>
      <c r="F71" s="137"/>
      <c r="G71" s="137"/>
      <c r="H71" s="137"/>
      <c r="I71" s="137"/>
      <c r="J71" s="137"/>
      <c r="K71" s="137"/>
      <c r="L71" s="137"/>
      <c r="M71" s="137"/>
      <c r="N71" s="137"/>
      <c r="O71" s="137"/>
      <c r="P71" s="137"/>
      <c r="Q71" s="137"/>
      <c r="R71" s="137"/>
      <c r="S71" s="137"/>
      <c r="T71" s="137"/>
      <c r="U71" s="137"/>
      <c r="V71" s="137"/>
      <c r="W71" s="137"/>
      <c r="X71" s="137"/>
      <c r="Y71" s="137"/>
      <c r="Z71" s="137"/>
      <c r="AA71" s="137"/>
      <c r="AB71" s="137"/>
      <c r="AC71" s="137"/>
      <c r="AD71" s="137"/>
      <c r="AE71" s="137"/>
      <c r="AF71" s="137"/>
      <c r="AG71" s="103"/>
    </row>
    <row r="72" x14ac:dyDescent="0.25">
      <c r="A72" s="102"/>
      <c r="B72" s="137"/>
      <c r="C72" s="137"/>
      <c r="D72" s="137"/>
      <c r="E72" s="137"/>
      <c r="F72" s="137"/>
      <c r="G72" s="137"/>
      <c r="H72" s="137"/>
      <c r="I72" s="137"/>
      <c r="J72" s="137"/>
      <c r="K72" s="137"/>
      <c r="L72" s="137"/>
      <c r="M72" s="137"/>
      <c r="N72" s="137"/>
      <c r="O72" s="137"/>
      <c r="P72" s="137"/>
      <c r="Q72" s="137"/>
      <c r="R72" s="137"/>
      <c r="S72" s="137"/>
      <c r="T72" s="137"/>
      <c r="U72" s="137"/>
      <c r="V72" s="137"/>
      <c r="W72" s="137"/>
      <c r="X72" s="137"/>
      <c r="Y72" s="137"/>
      <c r="Z72" s="137"/>
      <c r="AA72" s="137"/>
      <c r="AB72" s="137"/>
      <c r="AC72" s="137"/>
      <c r="AD72" s="137"/>
      <c r="AE72" s="137"/>
      <c r="AF72" s="137"/>
      <c r="AG72" s="103"/>
    </row>
    <row r="73" x14ac:dyDescent="0.25">
      <c r="A73" s="102"/>
      <c r="B73" s="137"/>
      <c r="C73" s="137"/>
      <c r="D73" s="137"/>
      <c r="E73" s="137"/>
      <c r="F73" s="137"/>
      <c r="G73" s="137"/>
      <c r="H73" s="137"/>
      <c r="I73" s="137"/>
      <c r="J73" s="137"/>
      <c r="K73" s="137"/>
      <c r="L73" s="137"/>
      <c r="M73" s="137"/>
      <c r="N73" s="137"/>
      <c r="O73" s="137"/>
      <c r="P73" s="137"/>
      <c r="Q73" s="137"/>
      <c r="R73" s="137"/>
      <c r="S73" s="137"/>
      <c r="T73" s="137"/>
      <c r="U73" s="137"/>
      <c r="V73" s="137"/>
      <c r="W73" s="137"/>
      <c r="X73" s="137"/>
      <c r="Y73" s="137"/>
      <c r="Z73" s="137"/>
      <c r="AA73" s="137"/>
      <c r="AB73" s="137"/>
      <c r="AC73" s="137"/>
      <c r="AD73" s="137"/>
      <c r="AE73" s="137"/>
      <c r="AF73" s="137"/>
      <c r="AG73" s="103"/>
    </row>
    <row r="74" x14ac:dyDescent="0.25">
      <c r="A74" s="102"/>
      <c r="B74" s="137"/>
      <c r="C74" s="137"/>
      <c r="D74" s="137"/>
      <c r="E74" s="137"/>
      <c r="F74" s="137"/>
      <c r="G74" s="137"/>
      <c r="H74" s="137"/>
      <c r="I74" s="137"/>
      <c r="J74" s="137"/>
      <c r="K74" s="137"/>
      <c r="L74" s="137"/>
      <c r="M74" s="137"/>
      <c r="N74" s="137"/>
      <c r="O74" s="137"/>
      <c r="P74" s="137"/>
      <c r="Q74" s="137"/>
      <c r="R74" s="137"/>
      <c r="S74" s="137"/>
      <c r="T74" s="137"/>
      <c r="U74" s="137"/>
      <c r="V74" s="137"/>
      <c r="W74" s="137"/>
      <c r="X74" s="137"/>
      <c r="Y74" s="137"/>
      <c r="Z74" s="137"/>
      <c r="AA74" s="137"/>
      <c r="AB74" s="137"/>
      <c r="AC74" s="137"/>
      <c r="AD74" s="137"/>
      <c r="AE74" s="137"/>
      <c r="AF74" s="137"/>
      <c r="AG74" s="103"/>
    </row>
    <row r="75" x14ac:dyDescent="0.25">
      <c r="A75" s="102"/>
      <c r="B75" s="137"/>
      <c r="C75" s="137"/>
      <c r="D75" s="137"/>
      <c r="E75" s="137"/>
      <c r="F75" s="137"/>
      <c r="G75" s="137"/>
      <c r="H75" s="137"/>
      <c r="I75" s="137"/>
      <c r="J75" s="137"/>
      <c r="K75" s="137"/>
      <c r="L75" s="137"/>
      <c r="M75" s="137"/>
      <c r="N75" s="137"/>
      <c r="O75" s="137"/>
      <c r="P75" s="137"/>
      <c r="Q75" s="137"/>
      <c r="R75" s="137"/>
      <c r="S75" s="137"/>
      <c r="T75" s="137"/>
      <c r="U75" s="137"/>
      <c r="V75" s="137"/>
      <c r="W75" s="137"/>
      <c r="X75" s="137"/>
      <c r="Y75" s="137"/>
      <c r="Z75" s="137"/>
      <c r="AA75" s="137"/>
      <c r="AB75" s="137"/>
      <c r="AC75" s="137"/>
      <c r="AD75" s="137"/>
      <c r="AE75" s="137"/>
      <c r="AF75" s="137"/>
      <c r="AG75" s="103"/>
    </row>
    <row r="76" x14ac:dyDescent="0.25">
      <c r="A76" s="102"/>
      <c r="B76" s="137"/>
      <c r="C76" s="137"/>
      <c r="D76" s="137"/>
      <c r="E76" s="137"/>
      <c r="F76" s="137"/>
      <c r="G76" s="137"/>
      <c r="H76" s="137"/>
      <c r="I76" s="137"/>
      <c r="J76" s="137"/>
      <c r="K76" s="137"/>
      <c r="L76" s="137"/>
      <c r="M76" s="137"/>
      <c r="N76" s="137"/>
      <c r="O76" s="137"/>
      <c r="P76" s="137"/>
      <c r="Q76" s="137"/>
      <c r="R76" s="137"/>
      <c r="S76" s="137"/>
      <c r="T76" s="137"/>
      <c r="U76" s="137"/>
      <c r="V76" s="137"/>
      <c r="W76" s="137"/>
      <c r="X76" s="137"/>
      <c r="Y76" s="137"/>
      <c r="Z76" s="137"/>
      <c r="AA76" s="137"/>
      <c r="AB76" s="137"/>
      <c r="AC76" s="137"/>
      <c r="AD76" s="137"/>
      <c r="AE76" s="137"/>
      <c r="AF76" s="137"/>
      <c r="AG76" s="103"/>
    </row>
    <row r="77" x14ac:dyDescent="0.25">
      <c r="A77" s="102"/>
      <c r="B77" s="137"/>
      <c r="C77" s="137"/>
      <c r="D77" s="137"/>
      <c r="E77" s="137"/>
      <c r="F77" s="137"/>
      <c r="G77" s="137"/>
      <c r="H77" s="137"/>
      <c r="I77" s="137"/>
      <c r="J77" s="137"/>
      <c r="K77" s="137"/>
      <c r="L77" s="137"/>
      <c r="M77" s="137"/>
      <c r="N77" s="137"/>
      <c r="O77" s="137"/>
      <c r="P77" s="137"/>
      <c r="Q77" s="137"/>
      <c r="R77" s="137"/>
      <c r="S77" s="137"/>
      <c r="T77" s="137"/>
      <c r="U77" s="137"/>
      <c r="V77" s="137"/>
      <c r="W77" s="137"/>
      <c r="X77" s="137"/>
      <c r="Y77" s="137"/>
      <c r="Z77" s="137"/>
      <c r="AA77" s="137"/>
      <c r="AB77" s="137"/>
      <c r="AC77" s="137"/>
      <c r="AD77" s="137"/>
      <c r="AE77" s="137"/>
      <c r="AF77" s="137"/>
      <c r="AG77" s="103"/>
    </row>
    <row r="78" x14ac:dyDescent="0.25">
      <c r="A78" s="102"/>
      <c r="B78" s="137"/>
      <c r="C78" s="137"/>
      <c r="D78" s="137"/>
      <c r="E78" s="137"/>
      <c r="F78" s="137"/>
      <c r="G78" s="137"/>
      <c r="H78" s="137"/>
      <c r="I78" s="137"/>
      <c r="J78" s="137"/>
      <c r="K78" s="137"/>
      <c r="L78" s="137"/>
      <c r="M78" s="137"/>
      <c r="N78" s="137"/>
      <c r="O78" s="137"/>
      <c r="P78" s="137"/>
      <c r="Q78" s="137"/>
      <c r="R78" s="137"/>
      <c r="S78" s="137"/>
      <c r="T78" s="137"/>
      <c r="U78" s="137"/>
      <c r="V78" s="137"/>
      <c r="W78" s="137"/>
      <c r="X78" s="137"/>
      <c r="Y78" s="137"/>
      <c r="Z78" s="137"/>
      <c r="AA78" s="137"/>
      <c r="AB78" s="137"/>
      <c r="AC78" s="137"/>
      <c r="AD78" s="137"/>
      <c r="AE78" s="137"/>
      <c r="AF78" s="137"/>
      <c r="AG78" s="103"/>
    </row>
    <row r="79" x14ac:dyDescent="0.25">
      <c r="A79" s="102"/>
      <c r="B79" s="137"/>
      <c r="C79" s="137"/>
      <c r="D79" s="137"/>
      <c r="E79" s="137"/>
      <c r="F79" s="137"/>
      <c r="G79" s="137"/>
      <c r="H79" s="137"/>
      <c r="I79" s="137"/>
      <c r="J79" s="137"/>
      <c r="K79" s="137"/>
      <c r="L79" s="137"/>
      <c r="M79" s="137"/>
      <c r="N79" s="137"/>
      <c r="O79" s="137"/>
      <c r="P79" s="137"/>
      <c r="Q79" s="137"/>
      <c r="R79" s="137"/>
      <c r="S79" s="137"/>
      <c r="T79" s="137"/>
      <c r="U79" s="137"/>
      <c r="V79" s="137"/>
      <c r="W79" s="137"/>
      <c r="X79" s="137"/>
      <c r="Y79" s="137"/>
      <c r="Z79" s="137"/>
      <c r="AA79" s="137"/>
      <c r="AB79" s="137"/>
      <c r="AC79" s="137"/>
      <c r="AD79" s="137"/>
      <c r="AE79" s="137"/>
      <c r="AF79" s="137"/>
      <c r="AG79" s="103"/>
    </row>
    <row r="80" x14ac:dyDescent="0.25">
      <c r="A80" s="102"/>
      <c r="B80" s="137"/>
      <c r="C80" s="137"/>
      <c r="D80" s="137"/>
      <c r="E80" s="137"/>
      <c r="F80" s="137"/>
      <c r="G80" s="137"/>
      <c r="H80" s="137"/>
      <c r="I80" s="137"/>
      <c r="J80" s="137"/>
      <c r="K80" s="137"/>
      <c r="L80" s="137"/>
      <c r="M80" s="137"/>
      <c r="N80" s="137"/>
      <c r="O80" s="137"/>
      <c r="P80" s="137"/>
      <c r="Q80" s="137"/>
      <c r="R80" s="137"/>
      <c r="S80" s="137"/>
      <c r="T80" s="137"/>
      <c r="U80" s="137"/>
      <c r="V80" s="137"/>
      <c r="W80" s="137"/>
      <c r="X80" s="137"/>
      <c r="Y80" s="137"/>
      <c r="Z80" s="137"/>
      <c r="AA80" s="137"/>
      <c r="AB80" s="137"/>
      <c r="AC80" s="137"/>
      <c r="AD80" s="137"/>
      <c r="AE80" s="137"/>
      <c r="AF80" s="137"/>
      <c r="AG80" s="103"/>
    </row>
    <row r="81" x14ac:dyDescent="0.25">
      <c r="A81" s="102"/>
      <c r="B81" s="137"/>
      <c r="C81" s="137"/>
      <c r="D81" s="137"/>
      <c r="E81" s="137"/>
      <c r="F81" s="137"/>
      <c r="G81" s="137"/>
      <c r="H81" s="137"/>
      <c r="I81" s="137"/>
      <c r="J81" s="137"/>
      <c r="K81" s="137"/>
      <c r="L81" s="137"/>
      <c r="M81" s="137"/>
      <c r="N81" s="137"/>
      <c r="O81" s="137"/>
      <c r="P81" s="137"/>
      <c r="Q81" s="137"/>
      <c r="R81" s="137"/>
      <c r="S81" s="137"/>
      <c r="T81" s="137"/>
      <c r="U81" s="137"/>
      <c r="V81" s="137"/>
      <c r="W81" s="137"/>
      <c r="X81" s="137"/>
      <c r="Y81" s="137"/>
      <c r="Z81" s="137"/>
      <c r="AA81" s="137"/>
      <c r="AB81" s="137"/>
      <c r="AC81" s="137"/>
      <c r="AD81" s="137"/>
      <c r="AE81" s="137"/>
      <c r="AF81" s="137"/>
      <c r="AG81" s="103"/>
    </row>
    <row r="82" x14ac:dyDescent="0.25">
      <c r="A82" s="102"/>
      <c r="B82" s="137"/>
      <c r="C82" s="137"/>
      <c r="D82" s="137"/>
      <c r="E82" s="137"/>
      <c r="F82" s="137"/>
      <c r="G82" s="137"/>
      <c r="H82" s="137"/>
      <c r="I82" s="137"/>
      <c r="J82" s="137"/>
      <c r="K82" s="137"/>
      <c r="L82" s="137"/>
      <c r="M82" s="137"/>
      <c r="N82" s="137"/>
      <c r="O82" s="137"/>
      <c r="P82" s="137"/>
      <c r="Q82" s="137"/>
      <c r="R82" s="137"/>
      <c r="S82" s="137"/>
      <c r="T82" s="137"/>
      <c r="U82" s="137"/>
      <c r="V82" s="137"/>
      <c r="W82" s="137"/>
      <c r="X82" s="137"/>
      <c r="Y82" s="137"/>
      <c r="Z82" s="137"/>
      <c r="AA82" s="137"/>
      <c r="AB82" s="137"/>
      <c r="AC82" s="137"/>
      <c r="AD82" s="137"/>
      <c r="AE82" s="137"/>
      <c r="AF82" s="137"/>
      <c r="AG82" s="103"/>
    </row>
    <row r="83" x14ac:dyDescent="0.25">
      <c r="A83" s="102"/>
      <c r="B83" s="137"/>
      <c r="C83" s="137"/>
      <c r="D83" s="137"/>
      <c r="E83" s="137"/>
      <c r="F83" s="137"/>
      <c r="G83" s="137"/>
      <c r="H83" s="137"/>
      <c r="I83" s="137"/>
      <c r="J83" s="137"/>
      <c r="K83" s="137"/>
      <c r="L83" s="137"/>
      <c r="M83" s="137"/>
      <c r="N83" s="137"/>
      <c r="O83" s="137"/>
      <c r="P83" s="137"/>
      <c r="Q83" s="137"/>
      <c r="R83" s="137"/>
      <c r="S83" s="137"/>
      <c r="T83" s="137"/>
      <c r="U83" s="137"/>
      <c r="V83" s="137"/>
      <c r="W83" s="137"/>
      <c r="X83" s="137"/>
      <c r="Y83" s="137"/>
      <c r="Z83" s="137"/>
      <c r="AA83" s="137"/>
      <c r="AB83" s="137"/>
      <c r="AC83" s="137"/>
      <c r="AD83" s="137"/>
      <c r="AE83" s="137"/>
      <c r="AF83" s="137"/>
      <c r="AG83" s="103"/>
    </row>
    <row r="84" x14ac:dyDescent="0.25">
      <c r="A84" s="102"/>
      <c r="B84" s="137"/>
      <c r="C84" s="137"/>
      <c r="D84" s="137"/>
      <c r="E84" s="137"/>
      <c r="F84" s="137"/>
      <c r="G84" s="137"/>
      <c r="H84" s="137"/>
      <c r="I84" s="137"/>
      <c r="J84" s="137"/>
      <c r="K84" s="137"/>
      <c r="L84" s="137"/>
      <c r="M84" s="137"/>
      <c r="N84" s="137"/>
      <c r="O84" s="137"/>
      <c r="P84" s="137"/>
      <c r="Q84" s="137"/>
      <c r="R84" s="137"/>
      <c r="S84" s="137"/>
      <c r="T84" s="137"/>
      <c r="U84" s="137"/>
      <c r="V84" s="137"/>
      <c r="W84" s="137"/>
      <c r="X84" s="137"/>
      <c r="Y84" s="137"/>
      <c r="Z84" s="137"/>
      <c r="AA84" s="137"/>
      <c r="AB84" s="137"/>
      <c r="AC84" s="137"/>
      <c r="AD84" s="137"/>
      <c r="AE84" s="137"/>
      <c r="AF84" s="137"/>
      <c r="AG84" s="103"/>
    </row>
    <row r="85" x14ac:dyDescent="0.25">
      <c r="A85" s="102"/>
      <c r="B85" s="137"/>
      <c r="C85" s="137"/>
      <c r="D85" s="137"/>
      <c r="E85" s="137"/>
      <c r="F85" s="137"/>
      <c r="G85" s="137"/>
      <c r="H85" s="137"/>
      <c r="I85" s="137"/>
      <c r="J85" s="137"/>
      <c r="K85" s="137"/>
      <c r="L85" s="137"/>
      <c r="M85" s="137"/>
      <c r="N85" s="137"/>
      <c r="O85" s="137"/>
      <c r="P85" s="137"/>
      <c r="Q85" s="137"/>
      <c r="R85" s="137"/>
      <c r="S85" s="137"/>
      <c r="T85" s="137"/>
      <c r="U85" s="137"/>
      <c r="V85" s="137"/>
      <c r="W85" s="137"/>
      <c r="X85" s="137"/>
      <c r="Y85" s="137"/>
      <c r="Z85" s="137"/>
      <c r="AA85" s="137"/>
      <c r="AB85" s="137"/>
      <c r="AC85" s="137"/>
      <c r="AD85" s="137"/>
      <c r="AE85" s="137"/>
      <c r="AF85" s="137"/>
      <c r="AG85" s="103"/>
    </row>
    <row r="86" x14ac:dyDescent="0.25">
      <c r="A86" s="102"/>
      <c r="B86" s="137"/>
      <c r="C86" s="137"/>
      <c r="D86" s="137"/>
      <c r="E86" s="137"/>
      <c r="F86" s="137"/>
      <c r="G86" s="137"/>
      <c r="H86" s="137"/>
      <c r="I86" s="137"/>
      <c r="J86" s="137"/>
      <c r="K86" s="137"/>
      <c r="L86" s="137"/>
      <c r="M86" s="137"/>
      <c r="N86" s="137"/>
      <c r="O86" s="137"/>
      <c r="P86" s="137"/>
      <c r="Q86" s="137"/>
      <c r="R86" s="137"/>
      <c r="S86" s="137"/>
      <c r="T86" s="137"/>
      <c r="U86" s="137"/>
      <c r="V86" s="137"/>
      <c r="W86" s="137"/>
      <c r="X86" s="137"/>
      <c r="Y86" s="137"/>
      <c r="Z86" s="137"/>
      <c r="AA86" s="137"/>
      <c r="AB86" s="137"/>
      <c r="AC86" s="137"/>
      <c r="AD86" s="137"/>
      <c r="AE86" s="137"/>
      <c r="AF86" s="137"/>
      <c r="AG86" s="103"/>
    </row>
    <row r="87" x14ac:dyDescent="0.25">
      <c r="A87" s="102"/>
      <c r="B87" s="137"/>
      <c r="C87" s="137"/>
      <c r="D87" s="137"/>
      <c r="E87" s="137"/>
      <c r="F87" s="137"/>
      <c r="G87" s="137"/>
      <c r="H87" s="137"/>
      <c r="I87" s="137"/>
      <c r="J87" s="137"/>
      <c r="K87" s="137"/>
      <c r="L87" s="137"/>
      <c r="M87" s="137"/>
      <c r="N87" s="137"/>
      <c r="O87" s="137"/>
      <c r="P87" s="137"/>
      <c r="Q87" s="137"/>
      <c r="R87" s="137"/>
      <c r="S87" s="137"/>
      <c r="T87" s="137"/>
      <c r="U87" s="137"/>
      <c r="V87" s="137"/>
      <c r="W87" s="137"/>
      <c r="X87" s="137"/>
      <c r="Y87" s="137"/>
      <c r="Z87" s="137"/>
      <c r="AA87" s="137"/>
      <c r="AB87" s="137"/>
      <c r="AC87" s="137"/>
      <c r="AD87" s="137"/>
      <c r="AE87" s="137"/>
      <c r="AF87" s="137"/>
      <c r="AG87" s="103"/>
    </row>
    <row r="88" x14ac:dyDescent="0.25">
      <c r="A88" s="102"/>
      <c r="B88" s="137"/>
      <c r="C88" s="137"/>
      <c r="D88" s="137"/>
      <c r="E88" s="137"/>
      <c r="F88" s="137"/>
      <c r="G88" s="137"/>
      <c r="H88" s="137"/>
      <c r="I88" s="137"/>
      <c r="J88" s="137"/>
      <c r="K88" s="137"/>
      <c r="L88" s="137"/>
      <c r="M88" s="137"/>
      <c r="N88" s="137"/>
      <c r="O88" s="137"/>
      <c r="P88" s="137"/>
      <c r="Q88" s="137"/>
      <c r="R88" s="137"/>
      <c r="S88" s="137"/>
      <c r="T88" s="137"/>
      <c r="U88" s="137"/>
      <c r="V88" s="137"/>
      <c r="W88" s="137"/>
      <c r="X88" s="137"/>
      <c r="Y88" s="137"/>
      <c r="Z88" s="137"/>
      <c r="AA88" s="137"/>
      <c r="AB88" s="137"/>
      <c r="AC88" s="137"/>
      <c r="AD88" s="137"/>
      <c r="AE88" s="137"/>
      <c r="AF88" s="137"/>
      <c r="AG88" s="103"/>
    </row>
    <row r="89" x14ac:dyDescent="0.25">
      <c r="A89" s="102"/>
      <c r="B89" s="137"/>
      <c r="C89" s="137"/>
      <c r="D89" s="137"/>
      <c r="E89" s="137"/>
      <c r="F89" s="137"/>
      <c r="G89" s="137"/>
      <c r="H89" s="137"/>
      <c r="I89" s="137"/>
      <c r="J89" s="137"/>
      <c r="K89" s="137"/>
      <c r="L89" s="137"/>
      <c r="M89" s="137"/>
      <c r="N89" s="137"/>
      <c r="O89" s="137"/>
      <c r="P89" s="137"/>
      <c r="Q89" s="137"/>
      <c r="R89" s="137"/>
      <c r="S89" s="137"/>
      <c r="T89" s="137"/>
      <c r="U89" s="137"/>
      <c r="V89" s="137"/>
      <c r="W89" s="137"/>
      <c r="X89" s="137"/>
      <c r="Y89" s="137"/>
      <c r="Z89" s="137"/>
      <c r="AA89" s="137"/>
      <c r="AB89" s="137"/>
      <c r="AC89" s="137"/>
      <c r="AD89" s="137"/>
      <c r="AE89" s="137"/>
      <c r="AF89" s="137"/>
      <c r="AG89" s="103"/>
    </row>
    <row r="90" x14ac:dyDescent="0.25">
      <c r="A90" s="102"/>
      <c r="B90" s="137"/>
      <c r="C90" s="137"/>
      <c r="D90" s="137"/>
      <c r="E90" s="137"/>
      <c r="F90" s="137"/>
      <c r="G90" s="137"/>
      <c r="H90" s="137"/>
      <c r="I90" s="137"/>
      <c r="J90" s="137"/>
      <c r="K90" s="137"/>
      <c r="L90" s="137"/>
      <c r="M90" s="137"/>
      <c r="N90" s="137"/>
      <c r="O90" s="137"/>
      <c r="P90" s="137"/>
      <c r="Q90" s="137"/>
      <c r="R90" s="137"/>
      <c r="S90" s="137"/>
      <c r="T90" s="137"/>
      <c r="U90" s="137"/>
      <c r="V90" s="137"/>
      <c r="W90" s="137"/>
      <c r="X90" s="137"/>
      <c r="Y90" s="137"/>
      <c r="Z90" s="137"/>
      <c r="AA90" s="137"/>
      <c r="AB90" s="137"/>
      <c r="AC90" s="137"/>
      <c r="AD90" s="137"/>
      <c r="AE90" s="137"/>
      <c r="AF90" s="137"/>
      <c r="AG90" s="103"/>
    </row>
    <row r="91" x14ac:dyDescent="0.25">
      <c r="A91" s="102"/>
      <c r="B91" s="137"/>
      <c r="C91" s="137"/>
      <c r="D91" s="137"/>
      <c r="E91" s="137"/>
      <c r="F91" s="137"/>
      <c r="G91" s="137"/>
      <c r="H91" s="137"/>
      <c r="I91" s="137"/>
      <c r="J91" s="137"/>
      <c r="K91" s="137"/>
      <c r="L91" s="137"/>
      <c r="M91" s="137"/>
      <c r="N91" s="137"/>
      <c r="O91" s="137"/>
      <c r="P91" s="137"/>
      <c r="Q91" s="137"/>
      <c r="R91" s="137"/>
      <c r="S91" s="137"/>
      <c r="T91" s="137"/>
      <c r="U91" s="137"/>
      <c r="V91" s="137"/>
      <c r="W91" s="137"/>
      <c r="X91" s="137"/>
      <c r="Y91" s="137"/>
      <c r="Z91" s="137"/>
      <c r="AA91" s="137"/>
      <c r="AB91" s="137"/>
      <c r="AC91" s="137"/>
      <c r="AD91" s="137"/>
      <c r="AE91" s="137"/>
      <c r="AF91" s="137"/>
      <c r="AG91" s="103"/>
    </row>
    <row r="92" x14ac:dyDescent="0.25">
      <c r="A92" s="102"/>
      <c r="B92" s="137"/>
      <c r="C92" s="137"/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  <c r="P92" s="137"/>
      <c r="Q92" s="137"/>
      <c r="R92" s="137"/>
      <c r="S92" s="137"/>
      <c r="T92" s="137"/>
      <c r="U92" s="137"/>
      <c r="V92" s="137"/>
      <c r="W92" s="137"/>
      <c r="X92" s="137"/>
      <c r="Y92" s="137"/>
      <c r="Z92" s="137"/>
      <c r="AA92" s="137"/>
      <c r="AB92" s="137"/>
      <c r="AC92" s="137"/>
      <c r="AD92" s="137"/>
      <c r="AE92" s="137"/>
      <c r="AF92" s="137"/>
      <c r="AG92" s="103"/>
    </row>
    <row r="93" x14ac:dyDescent="0.25">
      <c r="A93" s="102"/>
      <c r="B93" s="137"/>
      <c r="C93" s="137"/>
      <c r="D93" s="137"/>
      <c r="E93" s="137"/>
      <c r="F93" s="137"/>
      <c r="G93" s="137"/>
      <c r="H93" s="137"/>
      <c r="I93" s="137"/>
      <c r="J93" s="137"/>
      <c r="K93" s="137"/>
      <c r="L93" s="137"/>
      <c r="M93" s="137"/>
      <c r="N93" s="137"/>
      <c r="O93" s="137"/>
      <c r="P93" s="137"/>
      <c r="Q93" s="137"/>
      <c r="R93" s="137"/>
      <c r="S93" s="137"/>
      <c r="T93" s="137"/>
      <c r="U93" s="137"/>
      <c r="V93" s="137"/>
      <c r="W93" s="137"/>
      <c r="X93" s="137"/>
      <c r="Y93" s="137"/>
      <c r="Z93" s="137"/>
      <c r="AA93" s="137"/>
      <c r="AB93" s="137"/>
      <c r="AC93" s="137"/>
      <c r="AD93" s="137"/>
      <c r="AE93" s="137"/>
      <c r="AF93" s="137"/>
      <c r="AG93" s="103"/>
    </row>
    <row r="94" x14ac:dyDescent="0.25">
      <c r="A94" s="102"/>
      <c r="B94" s="137"/>
      <c r="C94" s="137"/>
      <c r="D94" s="137"/>
      <c r="E94" s="137"/>
      <c r="F94" s="137"/>
      <c r="G94" s="137"/>
      <c r="H94" s="137"/>
      <c r="I94" s="137"/>
      <c r="J94" s="137"/>
      <c r="K94" s="137"/>
      <c r="L94" s="137"/>
      <c r="M94" s="137"/>
      <c r="N94" s="137"/>
      <c r="O94" s="137"/>
      <c r="P94" s="137"/>
      <c r="Q94" s="137"/>
      <c r="R94" s="137"/>
      <c r="S94" s="137"/>
      <c r="T94" s="137"/>
      <c r="U94" s="137"/>
      <c r="V94" s="137"/>
      <c r="W94" s="137"/>
      <c r="X94" s="137"/>
      <c r="Y94" s="137"/>
      <c r="Z94" s="137"/>
      <c r="AA94" s="137"/>
      <c r="AB94" s="137"/>
      <c r="AC94" s="137"/>
      <c r="AD94" s="137"/>
      <c r="AE94" s="137"/>
      <c r="AF94" s="137"/>
      <c r="AG94" s="103"/>
    </row>
    <row r="95" x14ac:dyDescent="0.25">
      <c r="A95" s="102"/>
      <c r="B95" s="137"/>
      <c r="C95" s="137"/>
      <c r="D95" s="137"/>
      <c r="E95" s="137"/>
      <c r="F95" s="137"/>
      <c r="G95" s="137"/>
      <c r="H95" s="137"/>
      <c r="I95" s="137"/>
      <c r="J95" s="137"/>
      <c r="K95" s="137"/>
      <c r="L95" s="137"/>
      <c r="M95" s="137"/>
      <c r="N95" s="137"/>
      <c r="O95" s="137"/>
      <c r="P95" s="137"/>
      <c r="Q95" s="137"/>
      <c r="R95" s="137"/>
      <c r="S95" s="137"/>
      <c r="T95" s="137"/>
      <c r="U95" s="137"/>
      <c r="V95" s="137"/>
      <c r="W95" s="137"/>
      <c r="X95" s="137"/>
      <c r="Y95" s="137"/>
      <c r="Z95" s="137"/>
      <c r="AA95" s="137"/>
      <c r="AB95" s="137"/>
      <c r="AC95" s="137"/>
      <c r="AD95" s="137"/>
      <c r="AE95" s="137"/>
      <c r="AF95" s="137"/>
      <c r="AG95" s="103"/>
    </row>
    <row r="96" x14ac:dyDescent="0.25">
      <c r="A96" s="102"/>
      <c r="B96" s="137"/>
      <c r="C96" s="137"/>
      <c r="D96" s="137"/>
      <c r="E96" s="137"/>
      <c r="F96" s="137"/>
      <c r="G96" s="137"/>
      <c r="H96" s="137"/>
      <c r="I96" s="137"/>
      <c r="J96" s="137"/>
      <c r="K96" s="137"/>
      <c r="L96" s="137"/>
      <c r="M96" s="137"/>
      <c r="N96" s="137"/>
      <c r="O96" s="137"/>
      <c r="P96" s="137"/>
      <c r="Q96" s="137"/>
      <c r="R96" s="137"/>
      <c r="S96" s="137"/>
      <c r="T96" s="137"/>
      <c r="U96" s="137"/>
      <c r="V96" s="137"/>
      <c r="W96" s="137"/>
      <c r="X96" s="137"/>
      <c r="Y96" s="137"/>
      <c r="Z96" s="137"/>
      <c r="AA96" s="137"/>
      <c r="AB96" s="137"/>
      <c r="AC96" s="137"/>
      <c r="AD96" s="137"/>
      <c r="AE96" s="137"/>
      <c r="AF96" s="137"/>
      <c r="AG96" s="103"/>
      <c r="AH96" s="107"/>
    </row>
    <row r="97" x14ac:dyDescent="0.25">
      <c r="A97" s="102"/>
      <c r="B97" s="137"/>
      <c r="C97" s="137"/>
      <c r="D97" s="137"/>
      <c r="E97" s="137"/>
      <c r="F97" s="137"/>
      <c r="G97" s="137"/>
      <c r="H97" s="137"/>
      <c r="I97" s="137"/>
      <c r="J97" s="137"/>
      <c r="K97" s="137"/>
      <c r="L97" s="137"/>
      <c r="M97" s="137"/>
      <c r="N97" s="137"/>
      <c r="O97" s="137"/>
      <c r="P97" s="137"/>
      <c r="Q97" s="137"/>
      <c r="R97" s="137"/>
      <c r="S97" s="137"/>
      <c r="T97" s="137"/>
      <c r="U97" s="137"/>
      <c r="V97" s="137"/>
      <c r="W97" s="137"/>
      <c r="X97" s="137"/>
      <c r="Y97" s="137"/>
      <c r="Z97" s="137"/>
      <c r="AA97" s="137"/>
      <c r="AB97" s="137"/>
      <c r="AC97" s="137"/>
      <c r="AD97" s="137"/>
      <c r="AE97" s="137"/>
      <c r="AF97" s="137"/>
      <c r="AG97" s="103"/>
      <c r="AH97" s="107"/>
    </row>
    <row r="98" x14ac:dyDescent="0.25">
      <c r="A98" s="102"/>
      <c r="B98" s="137"/>
      <c r="C98" s="137"/>
      <c r="D98" s="137"/>
      <c r="E98" s="137"/>
      <c r="F98" s="137"/>
      <c r="G98" s="137"/>
      <c r="H98" s="137"/>
      <c r="I98" s="137"/>
      <c r="J98" s="137"/>
      <c r="K98" s="137"/>
      <c r="L98" s="137"/>
      <c r="M98" s="137"/>
      <c r="N98" s="137"/>
      <c r="O98" s="137"/>
      <c r="P98" s="137"/>
      <c r="Q98" s="137"/>
      <c r="R98" s="137"/>
      <c r="S98" s="137"/>
      <c r="T98" s="137"/>
      <c r="U98" s="137"/>
      <c r="V98" s="137"/>
      <c r="W98" s="137"/>
      <c r="X98" s="137"/>
      <c r="Y98" s="137"/>
      <c r="Z98" s="137"/>
      <c r="AA98" s="137"/>
      <c r="AB98" s="137"/>
      <c r="AC98" s="137"/>
      <c r="AD98" s="137"/>
      <c r="AE98" s="137"/>
      <c r="AF98" s="137"/>
      <c r="AG98" s="103"/>
      <c r="AH98" s="107"/>
    </row>
    <row r="99" x14ac:dyDescent="0.25">
      <c r="A99" s="102"/>
      <c r="B99" s="137"/>
      <c r="C99" s="137"/>
      <c r="D99" s="137"/>
      <c r="E99" s="137"/>
      <c r="F99" s="137"/>
      <c r="G99" s="137"/>
      <c r="H99" s="137"/>
      <c r="I99" s="137"/>
      <c r="J99" s="137"/>
      <c r="K99" s="137"/>
      <c r="L99" s="137"/>
      <c r="M99" s="137"/>
      <c r="N99" s="137"/>
      <c r="O99" s="137"/>
      <c r="P99" s="137"/>
      <c r="Q99" s="137"/>
      <c r="R99" s="137"/>
      <c r="S99" s="137"/>
      <c r="T99" s="137"/>
      <c r="U99" s="137"/>
      <c r="V99" s="137"/>
      <c r="W99" s="137"/>
      <c r="X99" s="137"/>
      <c r="Y99" s="137"/>
      <c r="Z99" s="137"/>
      <c r="AA99" s="137"/>
      <c r="AB99" s="137"/>
      <c r="AC99" s="137"/>
      <c r="AD99" s="137"/>
      <c r="AE99" s="137"/>
      <c r="AF99" s="137"/>
      <c r="AG99" s="103"/>
      <c r="AH99" s="107"/>
    </row>
    <row r="100" x14ac:dyDescent="0.25">
      <c r="A100" s="102"/>
      <c r="B100" s="137"/>
      <c r="C100" s="137"/>
      <c r="D100" s="137"/>
      <c r="E100" s="137"/>
      <c r="F100" s="137"/>
      <c r="G100" s="137"/>
      <c r="H100" s="137"/>
      <c r="I100" s="137"/>
      <c r="J100" s="137"/>
      <c r="K100" s="137"/>
      <c r="L100" s="137"/>
      <c r="M100" s="137"/>
      <c r="N100" s="137"/>
      <c r="O100" s="137"/>
      <c r="P100" s="137"/>
      <c r="Q100" s="137"/>
      <c r="R100" s="137"/>
      <c r="S100" s="137"/>
      <c r="T100" s="137"/>
      <c r="U100" s="137"/>
      <c r="V100" s="137"/>
      <c r="W100" s="137"/>
      <c r="X100" s="137"/>
      <c r="Y100" s="137"/>
      <c r="Z100" s="137"/>
      <c r="AA100" s="137"/>
      <c r="AB100" s="137"/>
      <c r="AC100" s="137"/>
      <c r="AD100" s="137"/>
      <c r="AE100" s="137"/>
      <c r="AF100" s="137"/>
      <c r="AG100" s="103"/>
      <c r="AH100" s="107"/>
    </row>
    <row r="101" x14ac:dyDescent="0.25">
      <c r="A101" s="102"/>
      <c r="B101" s="137"/>
      <c r="C101" s="137"/>
      <c r="D101" s="137"/>
      <c r="E101" s="137"/>
      <c r="F101" s="137"/>
      <c r="G101" s="137"/>
      <c r="H101" s="137"/>
      <c r="I101" s="137"/>
      <c r="J101" s="137"/>
      <c r="K101" s="137"/>
      <c r="L101" s="137"/>
      <c r="M101" s="137"/>
      <c r="N101" s="137"/>
      <c r="O101" s="137"/>
      <c r="P101" s="137"/>
      <c r="Q101" s="137"/>
      <c r="R101" s="137"/>
      <c r="S101" s="137"/>
      <c r="T101" s="137"/>
      <c r="U101" s="137"/>
      <c r="V101" s="137"/>
      <c r="W101" s="137"/>
      <c r="X101" s="137"/>
      <c r="Y101" s="137"/>
      <c r="Z101" s="137"/>
      <c r="AA101" s="137"/>
      <c r="AB101" s="137"/>
      <c r="AC101" s="137"/>
      <c r="AD101" s="137"/>
      <c r="AE101" s="137"/>
      <c r="AF101" s="137"/>
      <c r="AG101" s="103"/>
      <c r="AH101" s="107"/>
    </row>
    <row r="102" x14ac:dyDescent="0.25">
      <c r="A102" s="102"/>
      <c r="B102" s="137"/>
      <c r="C102" s="137"/>
      <c r="D102" s="137"/>
      <c r="E102" s="137"/>
      <c r="F102" s="137"/>
      <c r="G102" s="137"/>
      <c r="H102" s="137"/>
      <c r="I102" s="137"/>
      <c r="J102" s="137"/>
      <c r="K102" s="137"/>
      <c r="L102" s="137"/>
      <c r="M102" s="137"/>
      <c r="N102" s="137"/>
      <c r="O102" s="137"/>
      <c r="P102" s="137"/>
      <c r="Q102" s="137"/>
      <c r="R102" s="137"/>
      <c r="S102" s="137"/>
      <c r="T102" s="137"/>
      <c r="U102" s="137"/>
      <c r="V102" s="137"/>
      <c r="W102" s="137"/>
      <c r="X102" s="137"/>
      <c r="Y102" s="137"/>
      <c r="Z102" s="137"/>
      <c r="AA102" s="137"/>
      <c r="AB102" s="137"/>
      <c r="AC102" s="137"/>
      <c r="AD102" s="137"/>
      <c r="AE102" s="137"/>
      <c r="AF102" s="137"/>
      <c r="AG102" s="103"/>
      <c r="AH102" s="107"/>
    </row>
    <row r="103" x14ac:dyDescent="0.25">
      <c r="A103" s="102"/>
      <c r="B103" s="137"/>
      <c r="C103" s="137"/>
      <c r="D103" s="137"/>
      <c r="E103" s="137"/>
      <c r="F103" s="137"/>
      <c r="G103" s="137"/>
      <c r="H103" s="137"/>
      <c r="I103" s="137"/>
      <c r="J103" s="137"/>
      <c r="K103" s="137"/>
      <c r="L103" s="137"/>
      <c r="M103" s="137"/>
      <c r="N103" s="137"/>
      <c r="O103" s="137"/>
      <c r="P103" s="137"/>
      <c r="Q103" s="137"/>
      <c r="R103" s="137"/>
      <c r="S103" s="137"/>
      <c r="T103" s="137"/>
      <c r="U103" s="137"/>
      <c r="V103" s="137"/>
      <c r="W103" s="137"/>
      <c r="X103" s="137"/>
      <c r="Y103" s="137"/>
      <c r="Z103" s="137"/>
      <c r="AA103" s="137"/>
      <c r="AB103" s="137"/>
      <c r="AC103" s="137"/>
      <c r="AD103" s="137"/>
      <c r="AE103" s="137"/>
      <c r="AF103" s="137"/>
      <c r="AG103" s="103"/>
      <c r="AH103" s="107"/>
    </row>
    <row r="104" x14ac:dyDescent="0.25">
      <c r="A104" s="102"/>
      <c r="B104" s="137"/>
      <c r="C104" s="137"/>
      <c r="D104" s="137"/>
      <c r="E104" s="137"/>
      <c r="F104" s="137"/>
      <c r="G104" s="137"/>
      <c r="H104" s="137"/>
      <c r="I104" s="137"/>
      <c r="J104" s="137"/>
      <c r="K104" s="137"/>
      <c r="L104" s="137"/>
      <c r="M104" s="137"/>
      <c r="N104" s="137"/>
      <c r="O104" s="137"/>
      <c r="P104" s="137"/>
      <c r="Q104" s="137"/>
      <c r="R104" s="137"/>
      <c r="S104" s="137"/>
      <c r="T104" s="137"/>
      <c r="U104" s="137"/>
      <c r="V104" s="137"/>
      <c r="W104" s="137"/>
      <c r="X104" s="137"/>
      <c r="Y104" s="137"/>
      <c r="Z104" s="137"/>
      <c r="AA104" s="137"/>
      <c r="AB104" s="137"/>
      <c r="AC104" s="137"/>
      <c r="AD104" s="137"/>
      <c r="AE104" s="137"/>
      <c r="AF104" s="137"/>
      <c r="AG104" s="103"/>
      <c r="AH104" s="107"/>
    </row>
    <row r="105" ht="15.75" thickBot="true" x14ac:dyDescent="0.3">
      <c r="A105" s="104"/>
      <c r="B105" s="105"/>
      <c r="C105" s="105"/>
      <c r="D105" s="105"/>
      <c r="E105" s="105"/>
      <c r="F105" s="105"/>
      <c r="G105" s="105"/>
      <c r="H105" s="105"/>
      <c r="I105" s="105"/>
      <c r="J105" s="105"/>
      <c r="K105" s="105"/>
      <c r="L105" s="105"/>
      <c r="M105" s="105"/>
      <c r="N105" s="105"/>
      <c r="O105" s="105"/>
      <c r="P105" s="105"/>
      <c r="Q105" s="105"/>
      <c r="R105" s="105"/>
      <c r="S105" s="105"/>
      <c r="T105" s="105"/>
      <c r="U105" s="105"/>
      <c r="V105" s="105"/>
      <c r="W105" s="105"/>
      <c r="X105" s="105"/>
      <c r="Y105" s="105"/>
      <c r="Z105" s="105"/>
      <c r="AA105" s="105"/>
      <c r="AB105" s="105"/>
      <c r="AC105" s="105"/>
      <c r="AD105" s="105"/>
      <c r="AE105" s="105"/>
      <c r="AF105" s="105"/>
      <c r="AG105" s="106"/>
      <c r="AH105" s="107"/>
    </row>
    <row r="106" x14ac:dyDescent="0.25">
      <c r="A106" s="107"/>
      <c r="B106" s="107"/>
      <c r="C106" s="107"/>
      <c r="D106" s="107"/>
      <c r="E106" s="107"/>
      <c r="F106" s="107"/>
      <c r="G106" s="107"/>
      <c r="H106" s="107"/>
      <c r="I106" s="107"/>
      <c r="J106" s="107"/>
      <c r="K106" s="107"/>
      <c r="L106" s="107"/>
      <c r="M106" s="107"/>
      <c r="N106" s="107"/>
      <c r="O106" s="107"/>
      <c r="P106" s="107"/>
      <c r="Q106" s="107"/>
      <c r="R106" s="107"/>
      <c r="S106" s="107"/>
      <c r="T106" s="107"/>
      <c r="U106" s="107"/>
      <c r="V106" s="107"/>
      <c r="W106" s="107"/>
      <c r="X106" s="107"/>
      <c r="Y106" s="107"/>
      <c r="Z106" s="107"/>
      <c r="AA106" s="107"/>
      <c r="AB106" s="107"/>
      <c r="AC106" s="107"/>
      <c r="AD106" s="107"/>
      <c r="AE106" s="107"/>
      <c r="AF106" s="107"/>
      <c r="AG106" s="107"/>
      <c r="AH106" s="107"/>
    </row>
    <row r="107" x14ac:dyDescent="0.25">
      <c r="A107" s="107"/>
      <c r="B107" s="107"/>
      <c r="C107" s="107"/>
      <c r="D107" s="107"/>
      <c r="E107" s="107"/>
      <c r="F107" s="107"/>
      <c r="G107" s="107"/>
      <c r="H107" s="107"/>
      <c r="I107" s="107"/>
      <c r="J107" s="107"/>
      <c r="K107" s="107"/>
      <c r="L107" s="107"/>
      <c r="M107" s="107"/>
      <c r="N107" s="107"/>
      <c r="O107" s="107"/>
      <c r="P107" s="107"/>
      <c r="Q107" s="107"/>
      <c r="R107" s="107"/>
      <c r="S107" s="107"/>
      <c r="T107" s="107"/>
      <c r="U107" s="107"/>
      <c r="V107" s="107"/>
      <c r="W107" s="107"/>
      <c r="X107" s="107"/>
      <c r="Y107" s="107"/>
      <c r="Z107" s="107"/>
      <c r="AA107" s="107"/>
      <c r="AB107" s="107"/>
      <c r="AC107" s="107"/>
      <c r="AD107" s="107"/>
      <c r="AE107" s="107"/>
      <c r="AF107" s="107"/>
      <c r="AG107" s="107"/>
      <c r="AH107" s="107"/>
    </row>
    <row r="108" x14ac:dyDescent="0.25">
      <c r="A108" s="107"/>
      <c r="B108" s="107"/>
      <c r="C108" s="107"/>
      <c r="D108" s="107"/>
      <c r="E108" s="107"/>
      <c r="F108" s="107"/>
      <c r="G108" s="107"/>
      <c r="H108" s="107"/>
      <c r="I108" s="107"/>
      <c r="J108" s="107"/>
      <c r="K108" s="107"/>
      <c r="L108" s="107"/>
      <c r="M108" s="107"/>
      <c r="N108" s="107"/>
      <c r="O108" s="107"/>
      <c r="P108" s="107"/>
      <c r="Q108" s="107"/>
      <c r="R108" s="107"/>
      <c r="S108" s="107"/>
      <c r="T108" s="107"/>
      <c r="U108" s="107"/>
      <c r="V108" s="107"/>
      <c r="W108" s="107"/>
      <c r="X108" s="107"/>
      <c r="Y108" s="107"/>
      <c r="Z108" s="107"/>
      <c r="AA108" s="107"/>
      <c r="AB108" s="107"/>
      <c r="AC108" s="107"/>
      <c r="AD108" s="107"/>
      <c r="AE108" s="107"/>
      <c r="AF108" s="107"/>
      <c r="AG108" s="107"/>
      <c r="AH108" s="107"/>
    </row>
    <row r="109" x14ac:dyDescent="0.25">
      <c r="A109" s="107"/>
      <c r="B109" s="107"/>
      <c r="C109" s="107"/>
      <c r="D109" s="107"/>
      <c r="E109" s="107"/>
      <c r="F109" s="107"/>
      <c r="G109" s="107"/>
      <c r="H109" s="107"/>
      <c r="I109" s="107"/>
      <c r="J109" s="107"/>
      <c r="K109" s="107"/>
      <c r="L109" s="107"/>
      <c r="M109" s="107"/>
      <c r="N109" s="107"/>
      <c r="O109" s="107"/>
      <c r="P109" s="107"/>
      <c r="Q109" s="107"/>
      <c r="R109" s="107"/>
      <c r="S109" s="107"/>
      <c r="T109" s="107"/>
      <c r="U109" s="107"/>
      <c r="V109" s="107"/>
      <c r="W109" s="107"/>
      <c r="X109" s="107"/>
      <c r="Y109" s="107"/>
      <c r="Z109" s="107"/>
      <c r="AA109" s="107"/>
      <c r="AB109" s="107"/>
      <c r="AC109" s="107"/>
      <c r="AD109" s="107"/>
      <c r="AE109" s="107"/>
      <c r="AF109" s="107"/>
      <c r="AG109" s="107"/>
      <c r="AH109" s="107"/>
    </row>
    <row r="110" x14ac:dyDescent="0.25">
      <c r="A110" s="107"/>
      <c r="B110" s="107"/>
      <c r="C110" s="107"/>
      <c r="D110" s="107"/>
      <c r="E110" s="107"/>
      <c r="F110" s="107"/>
      <c r="G110" s="107"/>
      <c r="H110" s="107"/>
      <c r="I110" s="107"/>
      <c r="J110" s="107"/>
      <c r="K110" s="107"/>
      <c r="L110" s="107"/>
      <c r="M110" s="107"/>
      <c r="N110" s="107"/>
      <c r="O110" s="107"/>
      <c r="P110" s="107"/>
      <c r="Q110" s="107"/>
      <c r="R110" s="107"/>
      <c r="S110" s="107"/>
      <c r="T110" s="107"/>
      <c r="U110" s="107"/>
      <c r="V110" s="107"/>
      <c r="W110" s="107"/>
      <c r="X110" s="107"/>
      <c r="Y110" s="107"/>
      <c r="Z110" s="107"/>
      <c r="AA110" s="107"/>
      <c r="AB110" s="107"/>
      <c r="AC110" s="107"/>
      <c r="AD110" s="107"/>
      <c r="AE110" s="107"/>
      <c r="AF110" s="107"/>
      <c r="AG110" s="107"/>
      <c r="AH110" s="107"/>
    </row>
    <row r="111" x14ac:dyDescent="0.25">
      <c r="A111" s="107"/>
      <c r="B111" s="107"/>
      <c r="C111" s="107"/>
      <c r="D111" s="107"/>
      <c r="E111" s="107"/>
      <c r="F111" s="107"/>
      <c r="G111" s="107"/>
      <c r="H111" s="107"/>
      <c r="I111" s="107"/>
      <c r="J111" s="107"/>
      <c r="K111" s="107"/>
      <c r="L111" s="107"/>
      <c r="M111" s="107"/>
      <c r="N111" s="107"/>
      <c r="O111" s="107"/>
      <c r="P111" s="107"/>
      <c r="Q111" s="107"/>
      <c r="R111" s="107"/>
      <c r="S111" s="107"/>
      <c r="T111" s="107"/>
      <c r="U111" s="107"/>
      <c r="V111" s="107"/>
      <c r="W111" s="107"/>
      <c r="X111" s="107"/>
      <c r="Y111" s="107"/>
      <c r="Z111" s="107"/>
      <c r="AA111" s="107"/>
      <c r="AB111" s="107"/>
      <c r="AC111" s="107"/>
      <c r="AD111" s="107"/>
      <c r="AE111" s="107"/>
      <c r="AF111" s="107"/>
      <c r="AG111" s="107"/>
      <c r="AH111" s="107"/>
    </row>
    <row r="112" x14ac:dyDescent="0.25">
      <c r="A112" s="107"/>
      <c r="B112" s="107"/>
      <c r="C112" s="107"/>
      <c r="D112" s="107"/>
      <c r="E112" s="107"/>
      <c r="F112" s="107"/>
      <c r="G112" s="107"/>
      <c r="H112" s="107"/>
      <c r="I112" s="107"/>
      <c r="J112" s="107"/>
      <c r="K112" s="107"/>
      <c r="L112" s="107"/>
      <c r="M112" s="107"/>
      <c r="N112" s="107"/>
      <c r="O112" s="107"/>
      <c r="P112" s="107"/>
      <c r="Q112" s="107"/>
      <c r="R112" s="107"/>
      <c r="S112" s="107"/>
      <c r="T112" s="107"/>
      <c r="U112" s="107"/>
      <c r="V112" s="107"/>
      <c r="W112" s="107"/>
      <c r="X112" s="107"/>
      <c r="Y112" s="107"/>
      <c r="Z112" s="107"/>
      <c r="AA112" s="107"/>
      <c r="AB112" s="107"/>
      <c r="AC112" s="107"/>
      <c r="AD112" s="107"/>
      <c r="AE112" s="107"/>
      <c r="AF112" s="107"/>
      <c r="AG112" s="107"/>
      <c r="AH112" s="107"/>
    </row>
  </sheetData>
  <mergeCells count="3">
    <mergeCell ref="A1:H1"/>
    <mergeCell ref="I1:AG1"/>
    <mergeCell ref="A45:AG45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Model Inputs</vt:lpstr>
      <vt:lpstr>Process Model Outputs</vt:lpstr>
      <vt:lpstr>TEA Outputs</vt:lpstr>
      <vt:lpstr>LCA Outputs</vt:lpstr>
      <vt:lpstr>Figures Only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Jonah Greene</dc:creator>
  <cp:lastModifiedBy>Jonah Greene</cp:lastModifiedBy>
  <dcterms:created xsi:type="dcterms:W3CDTF">2022-09-08T15:19:39Z</dcterms:created>
  <dcterms:modified xsi:type="dcterms:W3CDTF">2024-05-09T22:07:51Z</dcterms:modified>
</cp:coreProperties>
</file>