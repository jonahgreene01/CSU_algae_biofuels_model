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2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3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+xml" PartName="/xl/drawings/drawing4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Jonah_Work\ALGAE SOT PAPER\Matlab Model\"/>
    </mc:Choice>
  </mc:AlternateContent>
  <xr:revisionPtr revIDLastSave="0" documentId="13_ncr:1_{E8634ED1-F0FE-4F4C-9177-9CFA8E22BCBE}" xr6:coauthVersionLast="47" xr6:coauthVersionMax="47" xr10:uidLastSave="{00000000-0000-0000-0000-000000000000}"/>
  <bookViews>
    <workbookView xWindow="-120" yWindow="-120" windowWidth="38640" windowHeight="15840" activeTab="2"/>
  </bookViews>
  <sheets>
    <sheet name="HTL_MBSP" sheetId="1" r:id="rId1"/>
    <sheet name="HTL_MFSP" sheetId="4" r:id="rId2"/>
    <sheet name="HTL_GWP" sheetId="5" r:id="rId3"/>
    <sheet name="HTL_BWF" sheetId="6" r:id="rId4"/>
  </sheets>
  <calcPr calcId="191029" fullCalcOnLoad="true" iterate="tru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<sst xmlns="http://schemas.openxmlformats.org/spreadsheetml/2006/main" count="336" uniqueCount="318">
  <si>
    <t>Baseline</t>
  </si>
  <si>
    <t>Increased</t>
  </si>
  <si>
    <t>Decreased</t>
  </si>
  <si>
    <t>MBSP - B</t>
  </si>
  <si>
    <t>MBSP - I</t>
  </si>
  <si>
    <t>MBSP - D</t>
  </si>
  <si>
    <t>MFSP - I</t>
  </si>
  <si>
    <t>Max Delta</t>
  </si>
  <si>
    <t>MFSP - B</t>
  </si>
  <si>
    <t>MFSP - D</t>
  </si>
  <si>
    <t>GWP - B</t>
  </si>
  <si>
    <t>GWP - I</t>
  </si>
  <si>
    <t>GWP - D</t>
  </si>
  <si>
    <t>BWF - B</t>
  </si>
  <si>
    <t>BWF - I</t>
  </si>
  <si>
    <t>BWF - D</t>
  </si>
  <si>
    <t>Delta (Var Increased)</t>
  </si>
  <si>
    <t>Delta (Var Decreased)</t>
  </si>
  <si>
    <t>Max Salt Conc.</t>
  </si>
  <si>
    <t>Slurry Pump Eff.</t>
  </si>
  <si>
    <t>Op Days</t>
  </si>
  <si>
    <t>Char Recovery</t>
  </si>
  <si>
    <t>NH3 Recovery</t>
  </si>
  <si>
    <t>DAP Recovery</t>
  </si>
  <si>
    <t>NG Cost</t>
  </si>
  <si>
    <t>H2 Cost</t>
  </si>
  <si>
    <t>Water Cost</t>
  </si>
  <si>
    <t>NH3 Value</t>
  </si>
  <si>
    <t>DAP Value</t>
  </si>
  <si>
    <t>Char Value</t>
  </si>
  <si>
    <t>Storage Losses</t>
  </si>
  <si>
    <t>Initial Salt Conc.</t>
  </si>
  <si>
    <t>P Content Algae</t>
  </si>
  <si>
    <t>DAP Cost</t>
  </si>
  <si>
    <t>Ammonia Cost</t>
  </si>
  <si>
    <t>N Content Algae</t>
  </si>
  <si>
    <t>Harvest Days</t>
  </si>
  <si>
    <t>Elec. Cost</t>
  </si>
  <si>
    <t>CO2 Cost</t>
  </si>
  <si>
    <t>CUE</t>
  </si>
  <si>
    <t>Harvest Conc.</t>
  </si>
  <si>
    <t>Innoculation Conc.</t>
  </si>
  <si>
    <t>IRR</t>
  </si>
  <si>
    <t>Max Salt Conc.</t>
  </si>
  <si>
    <t>Slurry Pump Eff.</t>
  </si>
  <si>
    <t>Water Cost</t>
  </si>
  <si>
    <t>Initial Salt Conc.</t>
  </si>
  <si>
    <t>Storage Losses</t>
  </si>
  <si>
    <t>NG Cost</t>
  </si>
  <si>
    <t>P Content Algae</t>
  </si>
  <si>
    <t>N Content Algae</t>
  </si>
  <si>
    <t>DAP Value</t>
  </si>
  <si>
    <t>DAP Cost</t>
  </si>
  <si>
    <t>DAP Recovery</t>
  </si>
  <si>
    <t>NH3 Value</t>
  </si>
  <si>
    <t>Char Recovery</t>
  </si>
  <si>
    <t>Char Value</t>
  </si>
  <si>
    <t>Ammonia Cost</t>
  </si>
  <si>
    <t>H2 Cost</t>
  </si>
  <si>
    <t>Harvest Days</t>
  </si>
  <si>
    <t>NH3 Recovery</t>
  </si>
  <si>
    <t>Elec. Cost</t>
  </si>
  <si>
    <t>CO2 Cost</t>
  </si>
  <si>
    <t>CUE</t>
  </si>
  <si>
    <t>Harvest Conc.</t>
  </si>
  <si>
    <t>Innoculation Conc.</t>
  </si>
  <si>
    <t>IRR</t>
  </si>
  <si>
    <t>Op Days</t>
  </si>
  <si>
    <t>Max Salt Conc.</t>
  </si>
  <si>
    <t>Char Recovery</t>
  </si>
  <si>
    <t>IRR</t>
  </si>
  <si>
    <t>Elec. Cost</t>
  </si>
  <si>
    <t>Ammonia Cost</t>
  </si>
  <si>
    <t>DAP Cost</t>
  </si>
  <si>
    <t>CO2 Cost</t>
  </si>
  <si>
    <t>NG Cost</t>
  </si>
  <si>
    <t>H2 Cost</t>
  </si>
  <si>
    <t>Water Cost</t>
  </si>
  <si>
    <t>NH3 Value</t>
  </si>
  <si>
    <t>DAP Value</t>
  </si>
  <si>
    <t>Char Value</t>
  </si>
  <si>
    <t>Initial Salt Conc.</t>
  </si>
  <si>
    <t>Slurry Pump Eff.</t>
  </si>
  <si>
    <t>P Content Algae</t>
  </si>
  <si>
    <t>Harvest Days</t>
  </si>
  <si>
    <t>Storage Losses</t>
  </si>
  <si>
    <t>Innoculation Conc.</t>
  </si>
  <si>
    <t>N Content Algae</t>
  </si>
  <si>
    <t>DAP Recovery</t>
  </si>
  <si>
    <t>Harvest Conc.</t>
  </si>
  <si>
    <t>CUE</t>
  </si>
  <si>
    <t>NH3 Recovery</t>
  </si>
  <si>
    <t>Op Days</t>
  </si>
  <si>
    <t>Max Salt Conc.</t>
  </si>
  <si>
    <t>Char Recovery</t>
  </si>
  <si>
    <t>IRR</t>
  </si>
  <si>
    <t>Elec. Cost</t>
  </si>
  <si>
    <t>Ammonia Cost</t>
  </si>
  <si>
    <t>DAP Cost</t>
  </si>
  <si>
    <t>CO2 Cost</t>
  </si>
  <si>
    <t>NG Cost</t>
  </si>
  <si>
    <t>H2 Cost</t>
  </si>
  <si>
    <t>Water Cost</t>
  </si>
  <si>
    <t>NH3 Value</t>
  </si>
  <si>
    <t>DAP Value</t>
  </si>
  <si>
    <t>Char Value</t>
  </si>
  <si>
    <t>Initial Salt Conc.</t>
  </si>
  <si>
    <t>Slurry Pump Eff.</t>
  </si>
  <si>
    <t>N Content Algae</t>
  </si>
  <si>
    <t>NH3 Recovery</t>
  </si>
  <si>
    <t>P Content Algae</t>
  </si>
  <si>
    <t>Storage Losses</t>
  </si>
  <si>
    <t>CUE</t>
  </si>
  <si>
    <t>DAP Recovery</t>
  </si>
  <si>
    <t>Harvest Days</t>
  </si>
  <si>
    <t>Innoculation Conc.</t>
  </si>
  <si>
    <t>Harvest Conc.</t>
  </si>
  <si>
    <t>Op Days</t>
  </si>
  <si>
    <t>Max Salt Conc.</t>
  </si>
  <si>
    <t>Slurry Pump Eff.</t>
  </si>
  <si>
    <t>Op Days</t>
  </si>
  <si>
    <t>Char Recovery</t>
  </si>
  <si>
    <t>NH3 Recovery</t>
  </si>
  <si>
    <t>DAP Recovery</t>
  </si>
  <si>
    <t>NG Cost</t>
  </si>
  <si>
    <t>H2 Cost</t>
  </si>
  <si>
    <t>Water Cost</t>
  </si>
  <si>
    <t>NH3 Value</t>
  </si>
  <si>
    <t>DAP Value</t>
  </si>
  <si>
    <t>Char Value</t>
  </si>
  <si>
    <t>Initial Salt Conc.</t>
  </si>
  <si>
    <t>Storage Losses</t>
  </si>
  <si>
    <t>P Content Algae</t>
  </si>
  <si>
    <t>DAP Cost</t>
  </si>
  <si>
    <t>Ammonia Cost</t>
  </si>
  <si>
    <t>N Content Algae</t>
  </si>
  <si>
    <t>Harvest Days</t>
  </si>
  <si>
    <t>Elec. Cost</t>
  </si>
  <si>
    <t>Innoculation Conc.</t>
  </si>
  <si>
    <t>Harvest Conc.</t>
  </si>
  <si>
    <t>IRR</t>
  </si>
  <si>
    <t>CO2 Cost</t>
  </si>
  <si>
    <t>CUE</t>
  </si>
  <si>
    <t>Max Salt Conc.</t>
  </si>
  <si>
    <t>Slurry Pump Eff.</t>
  </si>
  <si>
    <t>Initial Salt Conc.</t>
  </si>
  <si>
    <t>Water Cost</t>
  </si>
  <si>
    <t>NG Cost</t>
  </si>
  <si>
    <t>DAP Value</t>
  </si>
  <si>
    <t>P Content Algae</t>
  </si>
  <si>
    <t>Storage Losses</t>
  </si>
  <si>
    <t>DAP Recovery</t>
  </si>
  <si>
    <t>NH3 Value</t>
  </si>
  <si>
    <t>DAP Cost</t>
  </si>
  <si>
    <t>N Content Algae</t>
  </si>
  <si>
    <t>NH3 Recovery</t>
  </si>
  <si>
    <t>Char Recovery</t>
  </si>
  <si>
    <t>Char Value</t>
  </si>
  <si>
    <t>Ammonia Cost</t>
  </si>
  <si>
    <t>H2 Cost</t>
  </si>
  <si>
    <t>Harvest Days</t>
  </si>
  <si>
    <t>Elec. Cost</t>
  </si>
  <si>
    <t>Innoculation Conc.</t>
  </si>
  <si>
    <t>Harvest Conc.</t>
  </si>
  <si>
    <t>IRR</t>
  </si>
  <si>
    <t>CO2 Cost</t>
  </si>
  <si>
    <t>CUE</t>
  </si>
  <si>
    <t>Op Days</t>
  </si>
  <si>
    <t>Max Salt Conc.</t>
  </si>
  <si>
    <t>Char Recovery</t>
  </si>
  <si>
    <t>IRR</t>
  </si>
  <si>
    <t>Elec. Cost</t>
  </si>
  <si>
    <t>Ammonia Cost</t>
  </si>
  <si>
    <t>DAP Cost</t>
  </si>
  <si>
    <t>CO2 Cost</t>
  </si>
  <si>
    <t>NG Cost</t>
  </si>
  <si>
    <t>H2 Cost</t>
  </si>
  <si>
    <t>Water Cost</t>
  </si>
  <si>
    <t>NH3 Value</t>
  </si>
  <si>
    <t>DAP Value</t>
  </si>
  <si>
    <t>Char Value</t>
  </si>
  <si>
    <t>Initial Salt Conc.</t>
  </si>
  <si>
    <t>Slurry Pump Eff.</t>
  </si>
  <si>
    <t>P Content Algae</t>
  </si>
  <si>
    <t>Harvest Days</t>
  </si>
  <si>
    <t>DAP Recovery</t>
  </si>
  <si>
    <t>Innoculation Conc.</t>
  </si>
  <si>
    <t>Harvest Conc.</t>
  </si>
  <si>
    <t>Storage Losses</t>
  </si>
  <si>
    <t>N Content Algae</t>
  </si>
  <si>
    <t>NH3 Recovery</t>
  </si>
  <si>
    <t>CUE</t>
  </si>
  <si>
    <t>Op Days</t>
  </si>
  <si>
    <t>Max Salt Conc.</t>
  </si>
  <si>
    <t>Char Recovery</t>
  </si>
  <si>
    <t>IRR</t>
  </si>
  <si>
    <t>Elec. Cost</t>
  </si>
  <si>
    <t>Ammonia Cost</t>
  </si>
  <si>
    <t>DAP Cost</t>
  </si>
  <si>
    <t>CO2 Cost</t>
  </si>
  <si>
    <t>NG Cost</t>
  </si>
  <si>
    <t>H2 Cost</t>
  </si>
  <si>
    <t>Water Cost</t>
  </si>
  <si>
    <t>NH3 Value</t>
  </si>
  <si>
    <t>DAP Value</t>
  </si>
  <si>
    <t>Char Value</t>
  </si>
  <si>
    <t>Initial Salt Conc.</t>
  </si>
  <si>
    <t>Slurry Pump Eff.</t>
  </si>
  <si>
    <t>N Content Algae</t>
  </si>
  <si>
    <t>NH3 Recovery</t>
  </si>
  <si>
    <t>P Content Algae</t>
  </si>
  <si>
    <t>DAP Recovery</t>
  </si>
  <si>
    <t>CUE</t>
  </si>
  <si>
    <t>Storage Losses</t>
  </si>
  <si>
    <t>Harvest Conc.</t>
  </si>
  <si>
    <t>Innoculation Conc.</t>
  </si>
  <si>
    <t>Harvest Days</t>
  </si>
  <si>
    <t>Op Days</t>
  </si>
  <si>
    <t>Max Salt Conc.</t>
  </si>
  <si>
    <t>Storage Losses</t>
  </si>
  <si>
    <t>Slurry Pump Eff.</t>
  </si>
  <si>
    <t>Op Days</t>
  </si>
  <si>
    <t>Char Recovery</t>
  </si>
  <si>
    <t>NH3 Recovery</t>
  </si>
  <si>
    <t>DAP Recovery</t>
  </si>
  <si>
    <t>NG Cost</t>
  </si>
  <si>
    <t>H2 Cost</t>
  </si>
  <si>
    <t>Water Cost</t>
  </si>
  <si>
    <t>NH3 Value</t>
  </si>
  <si>
    <t>DAP Value</t>
  </si>
  <si>
    <t>Char Value</t>
  </si>
  <si>
    <t>Initial Salt Conc.</t>
  </si>
  <si>
    <t>P Content Algae</t>
  </si>
  <si>
    <t>DAP Cost</t>
  </si>
  <si>
    <t>Ammonia Cost</t>
  </si>
  <si>
    <t>N Content Algae</t>
  </si>
  <si>
    <t>Elec. Cost</t>
  </si>
  <si>
    <t>Harvest Days</t>
  </si>
  <si>
    <t>CO2 Cost</t>
  </si>
  <si>
    <t>CUE</t>
  </si>
  <si>
    <t>IRR</t>
  </si>
  <si>
    <t>Harvest Conc.</t>
  </si>
  <si>
    <t>Innoculation Conc.</t>
  </si>
  <si>
    <t>Max Salt Conc.</t>
  </si>
  <si>
    <t>Slurry Pump Eff.</t>
  </si>
  <si>
    <t>Initial Salt Conc.</t>
  </si>
  <si>
    <t>Water Cost</t>
  </si>
  <si>
    <t>Storage Losses</t>
  </si>
  <si>
    <t>P Content Algae</t>
  </si>
  <si>
    <t>NG Cost</t>
  </si>
  <si>
    <t>N Content Algae</t>
  </si>
  <si>
    <t>DAP Value</t>
  </si>
  <si>
    <t>DAP Cost</t>
  </si>
  <si>
    <t>DAP Recovery</t>
  </si>
  <si>
    <t>NH3 Value</t>
  </si>
  <si>
    <t>Ammonia Cost</t>
  </si>
  <si>
    <t>Char Recovery</t>
  </si>
  <si>
    <t>Char Value</t>
  </si>
  <si>
    <t>NH3 Recovery</t>
  </si>
  <si>
    <t>H2 Cost</t>
  </si>
  <si>
    <t>Elec. Cost</t>
  </si>
  <si>
    <t>Harvest Days</t>
  </si>
  <si>
    <t>CO2 Cost</t>
  </si>
  <si>
    <t>CUE</t>
  </si>
  <si>
    <t>Harvest Conc.</t>
  </si>
  <si>
    <t>IRR</t>
  </si>
  <si>
    <t>Innoculation Conc.</t>
  </si>
  <si>
    <t>Op Days</t>
  </si>
  <si>
    <t>Max Salt Conc.</t>
  </si>
  <si>
    <t>Char Recovery</t>
  </si>
  <si>
    <t>IRR</t>
  </si>
  <si>
    <t>Elec. Cost</t>
  </si>
  <si>
    <t>Ammonia Cost</t>
  </si>
  <si>
    <t>DAP Cost</t>
  </si>
  <si>
    <t>CO2 Cost</t>
  </si>
  <si>
    <t>NG Cost</t>
  </si>
  <si>
    <t>H2 Cost</t>
  </si>
  <si>
    <t>Water Cost</t>
  </si>
  <si>
    <t>NH3 Value</t>
  </si>
  <si>
    <t>DAP Value</t>
  </si>
  <si>
    <t>Char Value</t>
  </si>
  <si>
    <t>Initial Salt Conc.</t>
  </si>
  <si>
    <t>Slurry Pump Eff.</t>
  </si>
  <si>
    <t>P Content Algae</t>
  </si>
  <si>
    <t>N Content Algae</t>
  </si>
  <si>
    <t>Harvest Days</t>
  </si>
  <si>
    <t>Storage Losses</t>
  </si>
  <si>
    <t>Innoculation Conc.</t>
  </si>
  <si>
    <t>DAP Recovery</t>
  </si>
  <si>
    <t>Harvest Conc.</t>
  </si>
  <si>
    <t>CUE</t>
  </si>
  <si>
    <t>NH3 Recovery</t>
  </si>
  <si>
    <t>Op Days</t>
  </si>
  <si>
    <t>Max Salt Conc.</t>
  </si>
  <si>
    <t>Char Recovery</t>
  </si>
  <si>
    <t>IRR</t>
  </si>
  <si>
    <t>Elec. Cost</t>
  </si>
  <si>
    <t>Ammonia Cost</t>
  </si>
  <si>
    <t>DAP Cost</t>
  </si>
  <si>
    <t>CO2 Cost</t>
  </si>
  <si>
    <t>NG Cost</t>
  </si>
  <si>
    <t>H2 Cost</t>
  </si>
  <si>
    <t>Water Cost</t>
  </si>
  <si>
    <t>NH3 Value</t>
  </si>
  <si>
    <t>DAP Value</t>
  </si>
  <si>
    <t>Char Value</t>
  </si>
  <si>
    <t>Initial Salt Conc.</t>
  </si>
  <si>
    <t>Slurry Pump Eff.</t>
  </si>
  <si>
    <t>N Content Algae</t>
  </si>
  <si>
    <t>NH3 Recovery</t>
  </si>
  <si>
    <t>P Content Algae</t>
  </si>
  <si>
    <t>Storage Losses</t>
  </si>
  <si>
    <t>CUE</t>
  </si>
  <si>
    <t>DAP Recovery</t>
  </si>
  <si>
    <t>Innoculation Conc.</t>
  </si>
  <si>
    <t>Harvest Days</t>
  </si>
  <si>
    <t>Harvest Conc.</t>
  </si>
  <si>
    <t>Op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</si>
</sst>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/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true"/>
    <xf numFmtId="0" fontId="1" fillId="2" borderId="1" xfId="0" applyFont="true" applyFill="true" applyBorder="true"/>
    <xf numFmtId="2" fontId="0" fillId="0" borderId="1" xfId="0" applyNumberFormat="true" applyBorder="true"/>
    <xf numFmtId="0" fontId="0" fillId="0" borderId="2" xfId="0" applyBorder="true"/>
    <xf numFmtId="22" fontId="0" fillId="0" borderId="3" xfId="0" applyNumberFormat="true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3.xml" Type="http://schemas.openxmlformats.org/officeDocument/2006/relationships/worksheet" Id="rId3"/><Relationship Target="sharedStrings.xml" Type="http://schemas.openxmlformats.org/officeDocument/2006/relationships/sharedStrings" Id="rId7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styles.xml" Type="http://schemas.openxmlformats.org/officeDocument/2006/relationships/styles" Id="rId6"/><Relationship Target="theme/theme1.xml" Type="http://schemas.openxmlformats.org/officeDocument/2006/relationships/theme" Id="rId5"/><Relationship Target="worksheets/sheet4.xml" Type="http://schemas.openxmlformats.org/officeDocument/2006/relationships/worksheet" Id="rId4"/></Relationships>
</file>

<file path=xl/charts/_rels/chart1.xml.rels><?xml version="1.0" encoding="UTF-8"?><Relationships xmlns="http://schemas.openxmlformats.org/package/2006/relationships"><Relationship Target="colors1.xml" Type="http://schemas.microsoft.com/office/2011/relationships/chartColorStyle" Id="rId2"/><Relationship Target="style1.xml" Type="http://schemas.microsoft.com/office/2011/relationships/chartStyle" Id="rId1"/></Relationships>
</file>

<file path=xl/charts/_rels/chart2.xml.rels><?xml version="1.0" encoding="UTF-8"?><Relationships xmlns="http://schemas.openxmlformats.org/package/2006/relationships"><Relationship Target="colors2.xml" Type="http://schemas.microsoft.com/office/2011/relationships/chartColorStyle" Id="rId2"/><Relationship Target="style2.xml" Type="http://schemas.microsoft.com/office/2011/relationships/chartStyle" Id="rId1"/></Relationships>
</file>

<file path=xl/charts/_rels/chart3.xml.rels><?xml version="1.0" encoding="UTF-8"?><Relationships xmlns="http://schemas.openxmlformats.org/package/2006/relationships"><Relationship Target="colors3.xml" Type="http://schemas.microsoft.com/office/2011/relationships/chartColorStyle" Id="rId2"/><Relationship Target="style3.xml" Type="http://schemas.microsoft.com/office/2011/relationships/chartStyle" Id="rId1"/></Relationships>
</file>

<file path=xl/charts/_rels/chart4.xml.rels><?xml version="1.0" encoding="UTF-8"?><Relationships xmlns="http://schemas.openxmlformats.org/package/2006/relationships"><Relationship Target="colors4.xml" Type="http://schemas.microsoft.com/office/2011/relationships/chartColorStyle" Id="rId2"/><Relationship Target="style4.xml" Type="http://schemas.microsoft.com/office/2011/relationships/chartStyle" Id="rId1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Analysis: MBSP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84392704336616"/>
          <c:y val="9.9688800094018093E-2"/>
          <c:w val="0.70760682311971279"/>
          <c:h val="0.808782073882555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HTL_MBSP!$I$1</c:f>
              <c:strCache>
                <c:ptCount val="1"/>
                <c:pt idx="0">
                  <c:v>Delta (Var Increased)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HTL_MBSP!$A$2:$A$26</c:f>
              <c:strCache>
                <c:ptCount val="25"/>
                <c:pt idx="0">
                  <c:v>Max Salt Conc.</c:v>
                </c:pt>
                <c:pt idx="1">
                  <c:v>Slurry Pump Eff.</c:v>
                </c:pt>
                <c:pt idx="2">
                  <c:v>Op Days</c:v>
                </c:pt>
                <c:pt idx="3">
                  <c:v>Char Recovery</c:v>
                </c:pt>
                <c:pt idx="4">
                  <c:v>NH3 Recovery</c:v>
                </c:pt>
                <c:pt idx="5">
                  <c:v>DAP Recovery</c:v>
                </c:pt>
                <c:pt idx="6">
                  <c:v>NG Cost</c:v>
                </c:pt>
                <c:pt idx="7">
                  <c:v>H2 Cost</c:v>
                </c:pt>
                <c:pt idx="8">
                  <c:v>Water Cost</c:v>
                </c:pt>
                <c:pt idx="9">
                  <c:v>NH3 Value</c:v>
                </c:pt>
                <c:pt idx="10">
                  <c:v>DAP Value</c:v>
                </c:pt>
                <c:pt idx="11">
                  <c:v>Char Value</c:v>
                </c:pt>
                <c:pt idx="12">
                  <c:v>Storage Losses</c:v>
                </c:pt>
                <c:pt idx="13">
                  <c:v>Initial Salt Conc.</c:v>
                </c:pt>
                <c:pt idx="14">
                  <c:v>P Content Algae</c:v>
                </c:pt>
                <c:pt idx="15">
                  <c:v>DAP Cost</c:v>
                </c:pt>
                <c:pt idx="16">
                  <c:v>Ammonia Cost</c:v>
                </c:pt>
                <c:pt idx="17">
                  <c:v>N Content Algae</c:v>
                </c:pt>
                <c:pt idx="18">
                  <c:v>Harvest Days</c:v>
                </c:pt>
                <c:pt idx="19">
                  <c:v>Elec. Cost</c:v>
                </c:pt>
                <c:pt idx="20">
                  <c:v>CO2 Cost</c:v>
                </c:pt>
                <c:pt idx="21">
                  <c:v>CUE</c:v>
                </c:pt>
                <c:pt idx="22">
                  <c:v>Harvest Conc.</c:v>
                </c:pt>
                <c:pt idx="23">
                  <c:v>Innoculation Conc.</c:v>
                </c:pt>
                <c:pt idx="24">
                  <c:v>IRR</c:v>
                </c:pt>
              </c:strCache>
            </c:strRef>
          </c:cat>
          <c:val>
            <c:numRef>
              <c:f>HTL_MBSP!$I$2:$I$26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3.7899999999922329E-2</c:v>
                </c:pt>
                <c:pt idx="14">
                  <c:v>1.4184999999999945</c:v>
                </c:pt>
                <c:pt idx="15">
                  <c:v>1.9215999999998985</c:v>
                </c:pt>
                <c:pt idx="16">
                  <c:v>4.1450999999999567</c:v>
                </c:pt>
                <c:pt idx="17">
                  <c:v>4.6481999999999744</c:v>
                </c:pt>
                <c:pt idx="18">
                  <c:v>-4.9909000000000106</c:v>
                </c:pt>
                <c:pt idx="19">
                  <c:v>7.0020999999999276</c:v>
                </c:pt>
                <c:pt idx="20">
                  <c:v>18.75789999999995</c:v>
                </c:pt>
                <c:pt idx="21">
                  <c:v>-5.3595000000000255</c:v>
                </c:pt>
                <c:pt idx="22">
                  <c:v>28.329299999999989</c:v>
                </c:pt>
                <c:pt idx="23">
                  <c:v>-19.906600000000026</c:v>
                </c:pt>
                <c:pt idx="24">
                  <c:v>53.293699999999944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22-4DD4-9480-8521F54ACB32}"/>
            </c:ext>
          </c:extLst>
        </c:ser>
        <c:ser>
          <c:idx val="1"/>
          <c:order val="1"/>
          <c:tx>
            <c:strRef>
              <c:f>HTL_MBSP!$J$1</c:f>
              <c:strCache>
                <c:ptCount val="1"/>
                <c:pt idx="0">
                  <c:v>Delta (Var Decreased)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HTL_MBSP!$A$2:$A$26</c:f>
              <c:strCache>
                <c:ptCount val="25"/>
                <c:pt idx="0">
                  <c:v>Max Salt Conc.</c:v>
                </c:pt>
                <c:pt idx="1">
                  <c:v>Slurry Pump Eff.</c:v>
                </c:pt>
                <c:pt idx="2">
                  <c:v>Op Days</c:v>
                </c:pt>
                <c:pt idx="3">
                  <c:v>Char Recovery</c:v>
                </c:pt>
                <c:pt idx="4">
                  <c:v>NH3 Recovery</c:v>
                </c:pt>
                <c:pt idx="5">
                  <c:v>DAP Recovery</c:v>
                </c:pt>
                <c:pt idx="6">
                  <c:v>NG Cost</c:v>
                </c:pt>
                <c:pt idx="7">
                  <c:v>H2 Cost</c:v>
                </c:pt>
                <c:pt idx="8">
                  <c:v>Water Cost</c:v>
                </c:pt>
                <c:pt idx="9">
                  <c:v>NH3 Value</c:v>
                </c:pt>
                <c:pt idx="10">
                  <c:v>DAP Value</c:v>
                </c:pt>
                <c:pt idx="11">
                  <c:v>Char Value</c:v>
                </c:pt>
                <c:pt idx="12">
                  <c:v>Storage Losses</c:v>
                </c:pt>
                <c:pt idx="13">
                  <c:v>Initial Salt Conc.</c:v>
                </c:pt>
                <c:pt idx="14">
                  <c:v>P Content Algae</c:v>
                </c:pt>
                <c:pt idx="15">
                  <c:v>DAP Cost</c:v>
                </c:pt>
                <c:pt idx="16">
                  <c:v>Ammonia Cost</c:v>
                </c:pt>
                <c:pt idx="17">
                  <c:v>N Content Algae</c:v>
                </c:pt>
                <c:pt idx="18">
                  <c:v>Harvest Days</c:v>
                </c:pt>
                <c:pt idx="19">
                  <c:v>Elec. Cost</c:v>
                </c:pt>
                <c:pt idx="20">
                  <c:v>CO2 Cost</c:v>
                </c:pt>
                <c:pt idx="21">
                  <c:v>CUE</c:v>
                </c:pt>
                <c:pt idx="22">
                  <c:v>Harvest Conc.</c:v>
                </c:pt>
                <c:pt idx="23">
                  <c:v>Innoculation Conc.</c:v>
                </c:pt>
                <c:pt idx="24">
                  <c:v>IRR</c:v>
                </c:pt>
              </c:strCache>
            </c:strRef>
          </c:cat>
          <c:val>
            <c:numRef>
              <c:f>HTL_MBSP!$J$2:$J$26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-1.670000000001437E-2</c:v>
                </c:pt>
                <c:pt idx="13">
                  <c:v>-6.3000000000101863E-3</c:v>
                </c:pt>
                <c:pt idx="14">
                  <c:v>-1.4185000000001082</c:v>
                </c:pt>
                <c:pt idx="15">
                  <c:v>-1.9216000000000122</c:v>
                </c:pt>
                <c:pt idx="16">
                  <c:v>-4.1451000000000704</c:v>
                </c:pt>
                <c:pt idx="17">
                  <c:v>-4.648200000000088</c:v>
                </c:pt>
                <c:pt idx="18">
                  <c:v>-5.5704000000000633</c:v>
                </c:pt>
                <c:pt idx="19">
                  <c:v>-7.0020000000000664</c:v>
                </c:pt>
                <c:pt idx="20">
                  <c:v>-18.757900000000063</c:v>
                </c:pt>
                <c:pt idx="21">
                  <c:v>26.773799999999937</c:v>
                </c:pt>
                <c:pt idx="22">
                  <c:v>-17.8279</c:v>
                </c:pt>
                <c:pt idx="23">
                  <c:v>-35.315300000000093</c:v>
                </c:pt>
                <c:pt idx="24">
                  <c:v>-52.668600000000083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22-4DD4-9480-8521F54AC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4424144"/>
        <c:axId val="864426544"/>
      </c:barChart>
      <c:catAx>
        <c:axId val="864424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6544"/>
        <c:crosses val="autoZero"/>
        <c:auto val="1"/>
        <c:lblAlgn val="ctr"/>
        <c:lblOffset val="100"/>
        <c:noMultiLvlLbl val="0"/>
      </c:catAx>
      <c:valAx>
        <c:axId val="8644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MSBP (2019 USD per Tonne AFDW)</a:t>
                </a:r>
              </a:p>
            </c:rich>
          </c:tx>
          <c:layout>
            <c:manualLayout>
              <c:xMode val="edge"/>
              <c:yMode val="edge"/>
              <c:x val="0.32962776913159825"/>
              <c:y val="0.946517177890077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81163484701393"/>
          <c:y val="5.0994789830375718E-2"/>
          <c:w val="0.54568767945102747"/>
          <c:h val="3.3582324597485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Analysis: MFSP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84392704336616"/>
          <c:y val="9.9688800094018093E-2"/>
          <c:w val="0.70760682311971279"/>
          <c:h val="0.808782073882555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HTL_MFSP!$I$1</c:f>
              <c:strCache>
                <c:ptCount val="1"/>
                <c:pt idx="0">
                  <c:v>Delta (Var Increased)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HTL_MFSP!$A$2:$A$26</c:f>
              <c:strCache>
                <c:ptCount val="25"/>
                <c:pt idx="0">
                  <c:v>Max Salt Conc.</c:v>
                </c:pt>
                <c:pt idx="1">
                  <c:v>Slurry Pump Eff.</c:v>
                </c:pt>
                <c:pt idx="2">
                  <c:v>Water Cost</c:v>
                </c:pt>
                <c:pt idx="3">
                  <c:v>Initial Salt Conc.</c:v>
                </c:pt>
                <c:pt idx="4">
                  <c:v>Storage Losses</c:v>
                </c:pt>
                <c:pt idx="5">
                  <c:v>NG Cost</c:v>
                </c:pt>
                <c:pt idx="6">
                  <c:v>P Content Algae</c:v>
                </c:pt>
                <c:pt idx="7">
                  <c:v>N Content Algae</c:v>
                </c:pt>
                <c:pt idx="8">
                  <c:v>DAP Value</c:v>
                </c:pt>
                <c:pt idx="9">
                  <c:v>DAP Cost</c:v>
                </c:pt>
                <c:pt idx="10">
                  <c:v>DAP Recovery</c:v>
                </c:pt>
                <c:pt idx="11">
                  <c:v>NH3 Value</c:v>
                </c:pt>
                <c:pt idx="12">
                  <c:v>Char Recovery</c:v>
                </c:pt>
                <c:pt idx="13">
                  <c:v>Char Value</c:v>
                </c:pt>
                <c:pt idx="14">
                  <c:v>Ammonia Cost</c:v>
                </c:pt>
                <c:pt idx="15">
                  <c:v>H2 Cost</c:v>
                </c:pt>
                <c:pt idx="16">
                  <c:v>Harvest Days</c:v>
                </c:pt>
                <c:pt idx="17">
                  <c:v>NH3 Recovery</c:v>
                </c:pt>
                <c:pt idx="18">
                  <c:v>Elec. Cost</c:v>
                </c:pt>
                <c:pt idx="19">
                  <c:v>CO2 Cost</c:v>
                </c:pt>
                <c:pt idx="20">
                  <c:v>CUE</c:v>
                </c:pt>
                <c:pt idx="21">
                  <c:v>Harvest Conc.</c:v>
                </c:pt>
                <c:pt idx="22">
                  <c:v>Innoculation Conc.</c:v>
                </c:pt>
                <c:pt idx="23">
                  <c:v>IRR</c:v>
                </c:pt>
                <c:pt idx="24">
                  <c:v>Op Days</c:v>
                </c:pt>
              </c:strCache>
            </c:strRef>
          </c:cat>
          <c:val>
            <c:numRef>
              <c:f>HTL_MFSP!$I$2:$I$26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1.9999999999953388E-4</c:v>
                </c:pt>
                <c:pt idx="3">
                  <c:v>2.9999999999930083E-4</c:v>
                </c:pt>
                <c:pt idx="4">
                  <c:v>9.9999999999944578E-4</c:v>
                </c:pt>
                <c:pt idx="5">
                  <c:v>1.2999999999996348E-3</c:v>
                </c:pt>
                <c:pt idx="6">
                  <c:v>2.1999999999993136E-3</c:v>
                </c:pt>
                <c:pt idx="7">
                  <c:v>7.199999999999207E-3</c:v>
                </c:pt>
                <c:pt idx="8">
                  <c:v>-1.2599999999999945E-2</c:v>
                </c:pt>
                <c:pt idx="9">
                  <c:v>1.5699999999999825E-2</c:v>
                </c:pt>
                <c:pt idx="10">
                  <c:v>-1.4800000000000146E-2</c:v>
                </c:pt>
                <c:pt idx="11">
                  <c:v>-2.7300000000000324E-2</c:v>
                </c:pt>
                <c:pt idx="12">
                  <c:v>-1.5600000000000058E-2</c:v>
                </c:pt>
                <c:pt idx="13">
                  <c:v>-2.8100000000000236E-2</c:v>
                </c:pt>
                <c:pt idx="14">
                  <c:v>3.3799999999999386E-2</c:v>
                </c:pt>
                <c:pt idx="15">
                  <c:v>4.469999999999974E-2</c:v>
                </c:pt>
                <c:pt idx="16">
                  <c:v>-4.0000000000000036E-2</c:v>
                </c:pt>
                <c:pt idx="17">
                  <c:v>-3.2000000000000028E-2</c:v>
                </c:pt>
                <c:pt idx="18">
                  <c:v>5.6999999999999496E-2</c:v>
                </c:pt>
                <c:pt idx="19">
                  <c:v>0.15259999999999962</c:v>
                </c:pt>
                <c:pt idx="20">
                  <c:v>-4.3600000000000527E-2</c:v>
                </c:pt>
                <c:pt idx="21">
                  <c:v>0.22750000000000004</c:v>
                </c:pt>
                <c:pt idx="22">
                  <c:v>-0.16110000000000024</c:v>
                </c:pt>
                <c:pt idx="23">
                  <c:v>0.58999999999999986</c:v>
                </c:pt>
                <c:pt idx="24">
                  <c:v>-0.61270000000000024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01-4E65-BBBA-C1CD31086523}"/>
            </c:ext>
          </c:extLst>
        </c:ser>
        <c:ser>
          <c:idx val="1"/>
          <c:order val="1"/>
          <c:tx>
            <c:strRef>
              <c:f>HTL_MFSP!$J$1</c:f>
              <c:strCache>
                <c:ptCount val="1"/>
                <c:pt idx="0">
                  <c:v>Delta (Var Decreased)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HTL_MFSP!$A$2:$A$26</c:f>
              <c:strCache>
                <c:ptCount val="25"/>
                <c:pt idx="0">
                  <c:v>Max Salt Conc.</c:v>
                </c:pt>
                <c:pt idx="1">
                  <c:v>Slurry Pump Eff.</c:v>
                </c:pt>
                <c:pt idx="2">
                  <c:v>Water Cost</c:v>
                </c:pt>
                <c:pt idx="3">
                  <c:v>Initial Salt Conc.</c:v>
                </c:pt>
                <c:pt idx="4">
                  <c:v>Storage Losses</c:v>
                </c:pt>
                <c:pt idx="5">
                  <c:v>NG Cost</c:v>
                </c:pt>
                <c:pt idx="6">
                  <c:v>P Content Algae</c:v>
                </c:pt>
                <c:pt idx="7">
                  <c:v>N Content Algae</c:v>
                </c:pt>
                <c:pt idx="8">
                  <c:v>DAP Value</c:v>
                </c:pt>
                <c:pt idx="9">
                  <c:v>DAP Cost</c:v>
                </c:pt>
                <c:pt idx="10">
                  <c:v>DAP Recovery</c:v>
                </c:pt>
                <c:pt idx="11">
                  <c:v>NH3 Value</c:v>
                </c:pt>
                <c:pt idx="12">
                  <c:v>Char Recovery</c:v>
                </c:pt>
                <c:pt idx="13">
                  <c:v>Char Value</c:v>
                </c:pt>
                <c:pt idx="14">
                  <c:v>Ammonia Cost</c:v>
                </c:pt>
                <c:pt idx="15">
                  <c:v>H2 Cost</c:v>
                </c:pt>
                <c:pt idx="16">
                  <c:v>Harvest Days</c:v>
                </c:pt>
                <c:pt idx="17">
                  <c:v>NH3 Recovery</c:v>
                </c:pt>
                <c:pt idx="18">
                  <c:v>Elec. Cost</c:v>
                </c:pt>
                <c:pt idx="19">
                  <c:v>CO2 Cost</c:v>
                </c:pt>
                <c:pt idx="20">
                  <c:v>CUE</c:v>
                </c:pt>
                <c:pt idx="21">
                  <c:v>Harvest Conc.</c:v>
                </c:pt>
                <c:pt idx="22">
                  <c:v>Innoculation Conc.</c:v>
                </c:pt>
                <c:pt idx="23">
                  <c:v>IRR</c:v>
                </c:pt>
                <c:pt idx="24">
                  <c:v>Op Days</c:v>
                </c:pt>
              </c:strCache>
            </c:strRef>
          </c:cat>
          <c:val>
            <c:numRef>
              <c:f>HTL_MFSP!$J$2:$J$26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-1.0000000000065512E-4</c:v>
                </c:pt>
                <c:pt idx="3">
                  <c:v>0</c:v>
                </c:pt>
                <c:pt idx="4">
                  <c:v>-1.1000000000001009E-3</c:v>
                </c:pt>
                <c:pt idx="5">
                  <c:v>-1.300000000000523E-3</c:v>
                </c:pt>
                <c:pt idx="6">
                  <c:v>-2.2000000000002018E-3</c:v>
                </c:pt>
                <c:pt idx="7">
                  <c:v>-7.2000000000000952E-3</c:v>
                </c:pt>
                <c:pt idx="8">
                  <c:v>1.2699999999999712E-2</c:v>
                </c:pt>
                <c:pt idx="9">
                  <c:v>-1.5600000000000058E-2</c:v>
                </c:pt>
                <c:pt idx="10">
                  <c:v>2.2799999999999265E-2</c:v>
                </c:pt>
                <c:pt idx="11">
                  <c:v>2.7299999999999436E-2</c:v>
                </c:pt>
                <c:pt idx="12">
                  <c:v>2.8200000000000003E-2</c:v>
                </c:pt>
                <c:pt idx="13">
                  <c:v>2.8200000000000003E-2</c:v>
                </c:pt>
                <c:pt idx="14">
                  <c:v>-3.3700000000000507E-2</c:v>
                </c:pt>
                <c:pt idx="15">
                  <c:v>-4.4700000000000628E-2</c:v>
                </c:pt>
                <c:pt idx="16">
                  <c:v>-4.4700000000000628E-2</c:v>
                </c:pt>
                <c:pt idx="17">
                  <c:v>4.919999999999991E-2</c:v>
                </c:pt>
                <c:pt idx="18">
                  <c:v>-5.6900000000000617E-2</c:v>
                </c:pt>
                <c:pt idx="19">
                  <c:v>-0.15260000000000051</c:v>
                </c:pt>
                <c:pt idx="20">
                  <c:v>0.21779999999999955</c:v>
                </c:pt>
                <c:pt idx="21">
                  <c:v>-0.14080000000000048</c:v>
                </c:pt>
                <c:pt idx="22">
                  <c:v>-0.28770000000000007</c:v>
                </c:pt>
                <c:pt idx="23">
                  <c:v>-0.58309999999999995</c:v>
                </c:pt>
                <c:pt idx="24">
                  <c:v>1.5975999999999999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01-4E65-BBBA-C1CD31086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4424144"/>
        <c:axId val="864426544"/>
      </c:barChart>
      <c:catAx>
        <c:axId val="864424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6544"/>
        <c:crosses val="autoZero"/>
        <c:auto val="1"/>
        <c:lblAlgn val="ctr"/>
        <c:lblOffset val="100"/>
        <c:noMultiLvlLbl val="0"/>
      </c:catAx>
      <c:valAx>
        <c:axId val="8644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MFSP (2019 USD per kg Lipid)</a:t>
                </a:r>
              </a:p>
            </c:rich>
          </c:tx>
          <c:layout>
            <c:manualLayout>
              <c:xMode val="edge"/>
              <c:yMode val="edge"/>
              <c:x val="0.34233487937295509"/>
              <c:y val="0.94452712813883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81163484701393"/>
          <c:y val="5.0994789830375718E-2"/>
          <c:w val="0.54568767945102747"/>
          <c:h val="3.3582324597485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Analysis: GWP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84392704336616"/>
          <c:y val="9.9688800094018093E-2"/>
          <c:w val="0.70760682311971279"/>
          <c:h val="0.808782073882555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HTL_GWP!$I$1</c:f>
              <c:strCache>
                <c:ptCount val="1"/>
                <c:pt idx="0">
                  <c:v>Delta (Var Increased)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HTL_GWP!$A$2:$A$26</c:f>
              <c:strCache>
                <c:ptCount val="25"/>
                <c:pt idx="0">
                  <c:v>Max Salt Conc.</c:v>
                </c:pt>
                <c:pt idx="1">
                  <c:v>Char Recovery</c:v>
                </c:pt>
                <c:pt idx="2">
                  <c:v>IRR</c:v>
                </c:pt>
                <c:pt idx="3">
                  <c:v>Elec. Cost</c:v>
                </c:pt>
                <c:pt idx="4">
                  <c:v>Ammonia Cost</c:v>
                </c:pt>
                <c:pt idx="5">
                  <c:v>DAP Cost</c:v>
                </c:pt>
                <c:pt idx="6">
                  <c:v>CO2 Cost</c:v>
                </c:pt>
                <c:pt idx="7">
                  <c:v>NG Cost</c:v>
                </c:pt>
                <c:pt idx="8">
                  <c:v>H2 Cost</c:v>
                </c:pt>
                <c:pt idx="9">
                  <c:v>Water Cost</c:v>
                </c:pt>
                <c:pt idx="10">
                  <c:v>NH3 Value</c:v>
                </c:pt>
                <c:pt idx="11">
                  <c:v>DAP Value</c:v>
                </c:pt>
                <c:pt idx="12">
                  <c:v>Char Value</c:v>
                </c:pt>
                <c:pt idx="13">
                  <c:v>Initial Salt Conc.</c:v>
                </c:pt>
                <c:pt idx="14">
                  <c:v>Slurry Pump Eff.</c:v>
                </c:pt>
                <c:pt idx="15">
                  <c:v>P Content Algae</c:v>
                </c:pt>
                <c:pt idx="16">
                  <c:v>Harvest Days</c:v>
                </c:pt>
                <c:pt idx="17">
                  <c:v>Storage Losses</c:v>
                </c:pt>
                <c:pt idx="18">
                  <c:v>Innoculation Conc.</c:v>
                </c:pt>
                <c:pt idx="19">
                  <c:v>N Content Algae</c:v>
                </c:pt>
                <c:pt idx="20">
                  <c:v>DAP Recovery</c:v>
                </c:pt>
                <c:pt idx="21">
                  <c:v>Harvest Conc.</c:v>
                </c:pt>
                <c:pt idx="22">
                  <c:v>CUE</c:v>
                </c:pt>
                <c:pt idx="23">
                  <c:v>NH3 Recovery</c:v>
                </c:pt>
                <c:pt idx="24">
                  <c:v>Op Days</c:v>
                </c:pt>
              </c:strCache>
            </c:strRef>
          </c:cat>
          <c:val>
            <c:numRef>
              <c:f>HTL_GWP!$I$2:$I$26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4.9999999999883471E-4</c:v>
                </c:pt>
                <c:pt idx="14">
                  <c:v>-1.9000000000026773E-3</c:v>
                </c:pt>
                <c:pt idx="15">
                  <c:v>1.8299999999999983E-2</c:v>
                </c:pt>
                <c:pt idx="16">
                  <c:v>2.1799999999998931E-2</c:v>
                </c:pt>
                <c:pt idx="17">
                  <c:v>-3.3799999999999386E-2</c:v>
                </c:pt>
                <c:pt idx="18">
                  <c:v>-2.9400000000002535E-2</c:v>
                </c:pt>
                <c:pt idx="19">
                  <c:v>0.1034000000000006</c:v>
                </c:pt>
                <c:pt idx="20">
                  <c:v>-0.14730000000000132</c:v>
                </c:pt>
                <c:pt idx="21">
                  <c:v>-0.26650000000000063</c:v>
                </c:pt>
                <c:pt idx="22">
                  <c:v>-0.13560000000000016</c:v>
                </c:pt>
                <c:pt idx="23">
                  <c:v>-0.46080000000000254</c:v>
                </c:pt>
                <c:pt idx="24">
                  <c:v>-1.8410000000000011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11-453F-8587-9DBF942BFD11}"/>
            </c:ext>
          </c:extLst>
        </c:ser>
        <c:ser>
          <c:idx val="1"/>
          <c:order val="1"/>
          <c:tx>
            <c:strRef>
              <c:f>HTL_GWP!$J$1</c:f>
              <c:strCache>
                <c:ptCount val="1"/>
                <c:pt idx="0">
                  <c:v>Delta (Var Decreased)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HTL_GWP!$A$2:$A$26</c:f>
              <c:strCache>
                <c:ptCount val="25"/>
                <c:pt idx="0">
                  <c:v>Max Salt Conc.</c:v>
                </c:pt>
                <c:pt idx="1">
                  <c:v>Char Recovery</c:v>
                </c:pt>
                <c:pt idx="2">
                  <c:v>IRR</c:v>
                </c:pt>
                <c:pt idx="3">
                  <c:v>Elec. Cost</c:v>
                </c:pt>
                <c:pt idx="4">
                  <c:v>Ammonia Cost</c:v>
                </c:pt>
                <c:pt idx="5">
                  <c:v>DAP Cost</c:v>
                </c:pt>
                <c:pt idx="6">
                  <c:v>CO2 Cost</c:v>
                </c:pt>
                <c:pt idx="7">
                  <c:v>NG Cost</c:v>
                </c:pt>
                <c:pt idx="8">
                  <c:v>H2 Cost</c:v>
                </c:pt>
                <c:pt idx="9">
                  <c:v>Water Cost</c:v>
                </c:pt>
                <c:pt idx="10">
                  <c:v>NH3 Value</c:v>
                </c:pt>
                <c:pt idx="11">
                  <c:v>DAP Value</c:v>
                </c:pt>
                <c:pt idx="12">
                  <c:v>Char Value</c:v>
                </c:pt>
                <c:pt idx="13">
                  <c:v>Initial Salt Conc.</c:v>
                </c:pt>
                <c:pt idx="14">
                  <c:v>Slurry Pump Eff.</c:v>
                </c:pt>
                <c:pt idx="15">
                  <c:v>P Content Algae</c:v>
                </c:pt>
                <c:pt idx="16">
                  <c:v>Harvest Days</c:v>
                </c:pt>
                <c:pt idx="17">
                  <c:v>Storage Losses</c:v>
                </c:pt>
                <c:pt idx="18">
                  <c:v>Innoculation Conc.</c:v>
                </c:pt>
                <c:pt idx="19">
                  <c:v>N Content Algae</c:v>
                </c:pt>
                <c:pt idx="20">
                  <c:v>DAP Recovery</c:v>
                </c:pt>
                <c:pt idx="21">
                  <c:v>Harvest Conc.</c:v>
                </c:pt>
                <c:pt idx="22">
                  <c:v>CUE</c:v>
                </c:pt>
                <c:pt idx="23">
                  <c:v>NH3 Recovery</c:v>
                </c:pt>
                <c:pt idx="24">
                  <c:v>Op Days</c:v>
                </c:pt>
              </c:strCache>
            </c:strRef>
          </c:cat>
          <c:val>
            <c:numRef>
              <c:f>HTL_GWP!$J$2:$J$26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-5.0000000000238742E-4</c:v>
                </c:pt>
                <c:pt idx="14">
                  <c:v>2.8000000000005798E-3</c:v>
                </c:pt>
                <c:pt idx="15">
                  <c:v>-1.8299999999999983E-2</c:v>
                </c:pt>
                <c:pt idx="16">
                  <c:v>1.9999999999988916E-3</c:v>
                </c:pt>
                <c:pt idx="17">
                  <c:v>3.2399999999999096E-2</c:v>
                </c:pt>
                <c:pt idx="18">
                  <c:v>-7.8500000000001791E-2</c:v>
                </c:pt>
                <c:pt idx="19">
                  <c:v>-0.10330000000000084</c:v>
                </c:pt>
                <c:pt idx="20">
                  <c:v>0.2652000000000001</c:v>
                </c:pt>
                <c:pt idx="21">
                  <c:v>0.53780000000000072</c:v>
                </c:pt>
                <c:pt idx="22">
                  <c:v>0.67839999999999989</c:v>
                </c:pt>
                <c:pt idx="23">
                  <c:v>0.82939999999999969</c:v>
                </c:pt>
                <c:pt idx="24">
                  <c:v>4.7998999999999974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F11-453F-8587-9DBF942BF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4424144"/>
        <c:axId val="864426544"/>
      </c:barChart>
      <c:catAx>
        <c:axId val="864424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6544"/>
        <c:crosses val="autoZero"/>
        <c:auto val="1"/>
        <c:lblAlgn val="ctr"/>
        <c:lblOffset val="100"/>
        <c:noMultiLvlLbl val="0"/>
      </c:catAx>
      <c:valAx>
        <c:axId val="8644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GWP (kg CO2-eq per MJ SAF)</a:t>
                </a:r>
              </a:p>
            </c:rich>
          </c:tx>
          <c:layout>
            <c:manualLayout>
              <c:xMode val="edge"/>
              <c:yMode val="edge"/>
              <c:x val="0.26405699287589046"/>
              <c:y val="0.946517177890077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81163484701393"/>
          <c:y val="5.0994789830375718E-2"/>
          <c:w val="0.54568767945102747"/>
          <c:h val="3.3582324597485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Analysis: BWF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584392704336616"/>
          <c:y val="9.9688800094018093E-2"/>
          <c:w val="0.70760682311971279"/>
          <c:h val="0.8087820738825558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HTL_BWF!$I$1</c:f>
              <c:strCache>
                <c:ptCount val="1"/>
                <c:pt idx="0">
                  <c:v>Delta (Var Increased)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HTL_BWF!$A$2:$A$26</c:f>
              <c:strCache>
                <c:ptCount val="25"/>
                <c:pt idx="0">
                  <c:v>Max Salt Conc.</c:v>
                </c:pt>
                <c:pt idx="1">
                  <c:v>Char Recovery</c:v>
                </c:pt>
                <c:pt idx="2">
                  <c:v>IRR</c:v>
                </c:pt>
                <c:pt idx="3">
                  <c:v>Elec. Cost</c:v>
                </c:pt>
                <c:pt idx="4">
                  <c:v>Ammonia Cost</c:v>
                </c:pt>
                <c:pt idx="5">
                  <c:v>DAP Cost</c:v>
                </c:pt>
                <c:pt idx="6">
                  <c:v>CO2 Cost</c:v>
                </c:pt>
                <c:pt idx="7">
                  <c:v>NG Cost</c:v>
                </c:pt>
                <c:pt idx="8">
                  <c:v>H2 Cost</c:v>
                </c:pt>
                <c:pt idx="9">
                  <c:v>Water Cost</c:v>
                </c:pt>
                <c:pt idx="10">
                  <c:v>NH3 Value</c:v>
                </c:pt>
                <c:pt idx="11">
                  <c:v>DAP Value</c:v>
                </c:pt>
                <c:pt idx="12">
                  <c:v>Char Value</c:v>
                </c:pt>
                <c:pt idx="13">
                  <c:v>Initial Salt Conc.</c:v>
                </c:pt>
                <c:pt idx="14">
                  <c:v>Slurry Pump Eff.</c:v>
                </c:pt>
                <c:pt idx="15">
                  <c:v>N Content Algae</c:v>
                </c:pt>
                <c:pt idx="16">
                  <c:v>NH3 Recovery</c:v>
                </c:pt>
                <c:pt idx="17">
                  <c:v>P Content Algae</c:v>
                </c:pt>
                <c:pt idx="18">
                  <c:v>Storage Losses</c:v>
                </c:pt>
                <c:pt idx="19">
                  <c:v>CUE</c:v>
                </c:pt>
                <c:pt idx="20">
                  <c:v>DAP Recovery</c:v>
                </c:pt>
                <c:pt idx="21">
                  <c:v>Harvest Days</c:v>
                </c:pt>
                <c:pt idx="22">
                  <c:v>Innoculation Conc.</c:v>
                </c:pt>
                <c:pt idx="23">
                  <c:v>Harvest Conc.</c:v>
                </c:pt>
                <c:pt idx="24">
                  <c:v>Op Days</c:v>
                </c:pt>
              </c:strCache>
            </c:strRef>
          </c:cat>
          <c:val>
            <c:numRef>
              <c:f>HTL_BWF!$I$2:$I$26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9.9999999999766942E-5</c:v>
                </c:pt>
                <c:pt idx="16">
                  <c:v>-2.9999999999930083E-4</c:v>
                </c:pt>
                <c:pt idx="17">
                  <c:v>7.0000000000014495E-4</c:v>
                </c:pt>
                <c:pt idx="18">
                  <c:v>1.6999999999995907E-3</c:v>
                </c:pt>
                <c:pt idx="19">
                  <c:v>-1.200000000000756E-3</c:v>
                </c:pt>
                <c:pt idx="20">
                  <c:v>-3.6000000000004917E-3</c:v>
                </c:pt>
                <c:pt idx="21">
                  <c:v>2.1499999999999631E-2</c:v>
                </c:pt>
                <c:pt idx="22">
                  <c:v>2.1800000000000708E-2</c:v>
                </c:pt>
                <c:pt idx="23">
                  <c:v>4.1800000000000281E-2</c:v>
                </c:pt>
                <c:pt idx="24">
                  <c:v>-0.89589999999999925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2F-4CD6-B37D-3B5DCD073CD9}"/>
            </c:ext>
          </c:extLst>
        </c:ser>
        <c:ser>
          <c:idx val="1"/>
          <c:order val="1"/>
          <c:tx>
            <c:strRef>
              <c:f>HTL_BWF!$J$1</c:f>
              <c:strCache>
                <c:ptCount val="1"/>
                <c:pt idx="0">
                  <c:v>Delta (Var Decreased)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HTL_BWF!$A$2:$A$26</c:f>
              <c:strCache>
                <c:ptCount val="25"/>
                <c:pt idx="0">
                  <c:v>Max Salt Conc.</c:v>
                </c:pt>
                <c:pt idx="1">
                  <c:v>Char Recovery</c:v>
                </c:pt>
                <c:pt idx="2">
                  <c:v>IRR</c:v>
                </c:pt>
                <c:pt idx="3">
                  <c:v>Elec. Cost</c:v>
                </c:pt>
                <c:pt idx="4">
                  <c:v>Ammonia Cost</c:v>
                </c:pt>
                <c:pt idx="5">
                  <c:v>DAP Cost</c:v>
                </c:pt>
                <c:pt idx="6">
                  <c:v>CO2 Cost</c:v>
                </c:pt>
                <c:pt idx="7">
                  <c:v>NG Cost</c:v>
                </c:pt>
                <c:pt idx="8">
                  <c:v>H2 Cost</c:v>
                </c:pt>
                <c:pt idx="9">
                  <c:v>Water Cost</c:v>
                </c:pt>
                <c:pt idx="10">
                  <c:v>NH3 Value</c:v>
                </c:pt>
                <c:pt idx="11">
                  <c:v>DAP Value</c:v>
                </c:pt>
                <c:pt idx="12">
                  <c:v>Char Value</c:v>
                </c:pt>
                <c:pt idx="13">
                  <c:v>Initial Salt Conc.</c:v>
                </c:pt>
                <c:pt idx="14">
                  <c:v>Slurry Pump Eff.</c:v>
                </c:pt>
                <c:pt idx="15">
                  <c:v>N Content Algae</c:v>
                </c:pt>
                <c:pt idx="16">
                  <c:v>NH3 Recovery</c:v>
                </c:pt>
                <c:pt idx="17">
                  <c:v>P Content Algae</c:v>
                </c:pt>
                <c:pt idx="18">
                  <c:v>Storage Losses</c:v>
                </c:pt>
                <c:pt idx="19">
                  <c:v>CUE</c:v>
                </c:pt>
                <c:pt idx="20">
                  <c:v>DAP Recovery</c:v>
                </c:pt>
                <c:pt idx="21">
                  <c:v>Harvest Days</c:v>
                </c:pt>
                <c:pt idx="22">
                  <c:v>Innoculation Conc.</c:v>
                </c:pt>
                <c:pt idx="23">
                  <c:v>Harvest Conc.</c:v>
                </c:pt>
                <c:pt idx="24">
                  <c:v>Op Days</c:v>
                </c:pt>
              </c:strCache>
            </c:strRef>
          </c:cat>
          <c:val>
            <c:numRef>
              <c:f>HTL_BWF!$J$2:$J$26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6.0000000000037801E-4</c:v>
                </c:pt>
                <c:pt idx="17">
                  <c:v>-7.0000000000014495E-4</c:v>
                </c:pt>
                <c:pt idx="18">
                  <c:v>-1.6999999999995907E-3</c:v>
                </c:pt>
                <c:pt idx="19">
                  <c:v>5.9000000000004604E-3</c:v>
                </c:pt>
                <c:pt idx="20">
                  <c:v>6.4999999999990621E-3</c:v>
                </c:pt>
                <c:pt idx="21">
                  <c:v>1.1100000000000776E-2</c:v>
                </c:pt>
                <c:pt idx="22">
                  <c:v>-1.1000000000009891E-3</c:v>
                </c:pt>
                <c:pt idx="23">
                  <c:v>-3.6599999999999966E-2</c:v>
                </c:pt>
                <c:pt idx="24">
                  <c:v>2.3359000000000005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2F-4CD6-B37D-3B5DCD073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64424144"/>
        <c:axId val="864426544"/>
      </c:barChart>
      <c:catAx>
        <c:axId val="864424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6544"/>
        <c:crosses val="autoZero"/>
        <c:auto val="1"/>
        <c:lblAlgn val="ctr"/>
        <c:lblOffset val="100"/>
        <c:noMultiLvlLbl val="0"/>
      </c:catAx>
      <c:valAx>
        <c:axId val="86442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BWF (m3 water per GJ SAF)</a:t>
                </a:r>
              </a:p>
            </c:rich>
          </c:tx>
          <c:layout>
            <c:manualLayout>
              <c:xMode val="edge"/>
              <c:yMode val="edge"/>
              <c:x val="0.27188478152559697"/>
              <c:y val="0.946517177890077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2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81163484701393"/>
          <c:y val="5.0994789830375718E-2"/>
          <c:w val="0.54568767945102747"/>
          <c:h val="3.3582324597485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?><Relationships xmlns="http://schemas.openxmlformats.org/package/2006/relationships"><Relationship Target="../charts/chart1.xml" Type="http://schemas.openxmlformats.org/officeDocument/2006/relationships/chart" Id="rId1"/></Relationships>
</file>

<file path=xl/drawings/_rels/drawing2.xml.rels><?xml version="1.0" encoding="UTF-8"?><Relationships xmlns="http://schemas.openxmlformats.org/package/2006/relationships"><Relationship Target="../charts/chart2.xml" Type="http://schemas.openxmlformats.org/officeDocument/2006/relationships/chart" Id="rId1"/></Relationships>
</file>

<file path=xl/drawings/_rels/drawing3.xml.rels><?xml version="1.0" encoding="UTF-8"?><Relationships xmlns="http://schemas.openxmlformats.org/package/2006/relationships"><Relationship Target="../charts/chart3.xml" Type="http://schemas.openxmlformats.org/officeDocument/2006/relationships/chart" Id="rId1"/></Relationships>
</file>

<file path=xl/drawings/_rels/drawing4.xml.rels><?xml version="1.0" encoding="UTF-8"?><Relationships xmlns="http://schemas.openxmlformats.org/package/2006/relationships"><Relationship Target="../charts/chart4.xml" Type="http://schemas.openxmlformats.org/officeDocument/2006/relationships/chart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11</xdr:col>
      <xdr:colOff>38099</xdr:colOff>
      <xdr:row>1</xdr:row>
      <xdr:rowOff>66675</xdr:rowOff>
    </xdr:from>
    <xdr:to>
      <xdr:col>19</xdr:col>
      <xdr:colOff>28574</xdr:colOff>
      <xdr:row>34</xdr:row>
      <xdr:rowOff>161925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3D3AA39A-3930-51BB-750E-44EA06D0E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10</xdr:col>
      <xdr:colOff>381000</xdr:colOff>
      <xdr:row>1</xdr:row>
      <xdr:rowOff>85725</xdr:rowOff>
    </xdr:from>
    <xdr:to>
      <xdr:col>18</xdr:col>
      <xdr:colOff>371475</xdr:colOff>
      <xdr:row>34</xdr:row>
      <xdr:rowOff>180975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552CE314-7B0D-46F4-B135-C471B8F3C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10</xdr:col>
      <xdr:colOff>381000</xdr:colOff>
      <xdr:row>1</xdr:row>
      <xdr:rowOff>85725</xdr:rowOff>
    </xdr:from>
    <xdr:to>
      <xdr:col>18</xdr:col>
      <xdr:colOff>371475</xdr:colOff>
      <xdr:row>34</xdr:row>
      <xdr:rowOff>180975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0CC830B4-1A5A-4A42-9A6D-E7091D2D5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10</xdr:col>
      <xdr:colOff>381000</xdr:colOff>
      <xdr:row>1</xdr:row>
      <xdr:rowOff>85725</xdr:rowOff>
    </xdr:from>
    <xdr:to>
      <xdr:col>18</xdr:col>
      <xdr:colOff>371475</xdr:colOff>
      <xdr:row>34</xdr:row>
      <xdr:rowOff>180975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D3228AE4-75F5-4AA8-9418-B54D0BFF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?><Relationships xmlns="http://schemas.openxmlformats.org/package/2006/relationships"><Relationship Target="../drawings/drawing1.xml" Type="http://schemas.openxmlformats.org/officeDocument/2006/relationships/drawing" Id="rId2"/><Relationship Target="../printerSettings/printerSettings1.bin" Type="http://schemas.openxmlformats.org/officeDocument/2006/relationships/printerSettings" Id="rId1"/></Relationships>
</file>

<file path=xl/worksheets/_rels/sheet2.xml.rels><?xml version="1.0" encoding="UTF-8"?><Relationships xmlns="http://schemas.openxmlformats.org/package/2006/relationships"><Relationship Target="../drawings/drawing2.xml" Type="http://schemas.openxmlformats.org/officeDocument/2006/relationships/drawing" Id="rId1"/></Relationships>
</file>

<file path=xl/worksheets/_rels/sheet3.xml.rels><?xml version="1.0" encoding="UTF-8"?><Relationships xmlns="http://schemas.openxmlformats.org/package/2006/relationships"><Relationship Target="../drawings/drawing3.xml" Type="http://schemas.openxmlformats.org/officeDocument/2006/relationships/drawing" Id="rId1"/></Relationships>
</file>

<file path=xl/worksheets/_rels/sheet4.xml.rels><?xml version="1.0" encoding="UTF-8"?><Relationships xmlns="http://schemas.openxmlformats.org/package/2006/relationships"><Relationship Target="../drawings/drawing4.xml" Type="http://schemas.openxmlformats.org/officeDocument/2006/relationships/drawing" Id="rId1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5774-F163-4DBB-9A6C-E13251D9509F}">
  <sheetPr codeName="Sheet1"/>
  <dimension ref="A1:J35"/>
  <sheetViews>
    <sheetView workbookViewId="0">
      <selection activeCell="W18" sqref="W18"/>
    </sheetView>
  </sheetViews>
  <sheetFormatPr defaultRowHeight="15" x14ac:dyDescent="0.25"/>
  <cols>
    <col min="1" max="1" width="20.28515625" bestFit="true" customWidth="true"/>
    <col min="2" max="2" width="8.7109375" bestFit="true" customWidth="true"/>
    <col min="3" max="3" width="9.85546875" bestFit="true" customWidth="true"/>
    <col min="4" max="4" width="10.7109375" bestFit="true" customWidth="true"/>
    <col min="5" max="5" width="8.7109375" bestFit="true" customWidth="true"/>
    <col min="6" max="6" width="8.140625" bestFit="true" customWidth="true"/>
    <col min="7" max="7" width="9" bestFit="true" customWidth="true"/>
    <col min="8" max="8" width="9.85546875" bestFit="true" customWidth="true"/>
    <col min="9" max="9" width="20.140625" bestFit="true" customWidth="true"/>
    <col min="10" max="10" width="21" bestFit="true" customWidth="true"/>
  </cols>
  <sheetData>
    <row r="1" x14ac:dyDescent="0.25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7</v>
      </c>
      <c r="I1" s="2" t="s">
        <v>16</v>
      </c>
      <c r="J1" s="2" t="s">
        <v>17</v>
      </c>
    </row>
    <row r="2" x14ac:dyDescent="0.25">
      <c r="A2" s="1" t="s">
        <v>218</v>
      </c>
      <c r="B2" s="3">
        <v>4000</v>
      </c>
      <c r="C2" s="3">
        <v>4800</v>
      </c>
      <c r="D2" s="3">
        <v>3200</v>
      </c>
      <c r="E2" s="3">
        <v>676.54639999999995</v>
      </c>
      <c r="F2" s="3">
        <v>676.54639999999995</v>
      </c>
      <c r="G2" s="3">
        <v>676.54639999999995</v>
      </c>
      <c r="H2" s="3">
        <v>0</v>
      </c>
      <c r="I2" s="3">
        <f>F2-E2</f>
        <v>0</v>
      </c>
      <c r="J2" s="3">
        <f>G2-E2</f>
        <v>0</v>
      </c>
    </row>
    <row r="3" x14ac:dyDescent="0.25">
      <c r="A3" s="1" t="s">
        <v>219</v>
      </c>
      <c r="B3" s="3">
        <v>0.050000000000000003</v>
      </c>
      <c r="C3" s="3">
        <v>0.059999999999999998</v>
      </c>
      <c r="D3" s="3">
        <v>0.040000000000000001</v>
      </c>
      <c r="E3" s="3">
        <v>676.54639999999995</v>
      </c>
      <c r="F3" s="3">
        <v>676.54639999999995</v>
      </c>
      <c r="G3" s="3">
        <v>676.54639999999995</v>
      </c>
      <c r="H3" s="3">
        <v>0</v>
      </c>
      <c r="I3" s="3">
        <f t="shared" ref="I3:I26" si="0">F3-E3</f>
        <v>0</v>
      </c>
      <c r="J3" s="3">
        <f t="shared" ref="J3:J26" si="1">G3-E3</f>
        <v>0</v>
      </c>
    </row>
    <row r="4" x14ac:dyDescent="0.25">
      <c r="A4" s="1" t="s">
        <v>220</v>
      </c>
      <c r="B4" s="3">
        <v>0.69999999999999996</v>
      </c>
      <c r="C4" s="3">
        <v>0.83999999999999997</v>
      </c>
      <c r="D4" s="3">
        <v>0.56000000000000005</v>
      </c>
      <c r="E4" s="3">
        <v>676.54639999999995</v>
      </c>
      <c r="F4" s="3">
        <v>676.54639999999995</v>
      </c>
      <c r="G4" s="3">
        <v>676.54639999999995</v>
      </c>
      <c r="H4" s="3">
        <v>0</v>
      </c>
      <c r="I4" s="3">
        <f t="shared" si="0"/>
        <v>0</v>
      </c>
      <c r="J4" s="3">
        <f t="shared" si="1"/>
        <v>0</v>
      </c>
    </row>
    <row r="5" x14ac:dyDescent="0.25">
      <c r="A5" s="1" t="s">
        <v>221</v>
      </c>
      <c r="B5" s="3">
        <v>330</v>
      </c>
      <c r="C5" s="3">
        <v>365</v>
      </c>
      <c r="D5" s="3">
        <v>264</v>
      </c>
      <c r="E5" s="3">
        <v>676.54639999999995</v>
      </c>
      <c r="F5" s="3">
        <v>676.54639999999995</v>
      </c>
      <c r="G5" s="3">
        <v>676.54639999999995</v>
      </c>
      <c r="H5" s="3">
        <v>0</v>
      </c>
      <c r="I5" s="3">
        <f t="shared" si="0"/>
        <v>0</v>
      </c>
      <c r="J5" s="3">
        <f t="shared" si="1"/>
        <v>0</v>
      </c>
    </row>
    <row r="6" x14ac:dyDescent="0.25">
      <c r="A6" s="1" t="s">
        <v>222</v>
      </c>
      <c r="B6" s="3">
        <v>0.90000000000000002</v>
      </c>
      <c r="C6" s="3">
        <v>1</v>
      </c>
      <c r="D6" s="3">
        <v>0.71999999999999997</v>
      </c>
      <c r="E6" s="3">
        <v>676.54639999999995</v>
      </c>
      <c r="F6" s="3">
        <v>676.54639999999995</v>
      </c>
      <c r="G6" s="3">
        <v>676.54639999999995</v>
      </c>
      <c r="H6" s="3">
        <v>0</v>
      </c>
      <c r="I6" s="3">
        <f t="shared" si="0"/>
        <v>0</v>
      </c>
      <c r="J6" s="3">
        <f t="shared" si="1"/>
        <v>0</v>
      </c>
    </row>
    <row r="7" x14ac:dyDescent="0.25">
      <c r="A7" s="1" t="s">
        <v>223</v>
      </c>
      <c r="B7" s="3">
        <v>0.90000000000000002</v>
      </c>
      <c r="C7" s="3">
        <v>1</v>
      </c>
      <c r="D7" s="3">
        <v>0.71999999999999997</v>
      </c>
      <c r="E7" s="3">
        <v>676.54639999999995</v>
      </c>
      <c r="F7" s="3">
        <v>676.54639999999995</v>
      </c>
      <c r="G7" s="3">
        <v>676.54639999999995</v>
      </c>
      <c r="H7" s="3">
        <v>0</v>
      </c>
      <c r="I7" s="3">
        <f t="shared" si="0"/>
        <v>0</v>
      </c>
      <c r="J7" s="3">
        <f t="shared" si="1"/>
        <v>0</v>
      </c>
    </row>
    <row r="8" x14ac:dyDescent="0.25">
      <c r="A8" s="1" t="s">
        <v>224</v>
      </c>
      <c r="B8" s="3">
        <v>0.90000000000000002</v>
      </c>
      <c r="C8" s="3">
        <v>1</v>
      </c>
      <c r="D8" s="3">
        <v>0.71999999999999997</v>
      </c>
      <c r="E8" s="3">
        <v>676.54639999999995</v>
      </c>
      <c r="F8" s="3">
        <v>676.54639999999995</v>
      </c>
      <c r="G8" s="3">
        <v>676.54639999999995</v>
      </c>
      <c r="H8" s="3">
        <v>0</v>
      </c>
      <c r="I8" s="3">
        <f t="shared" si="0"/>
        <v>0</v>
      </c>
      <c r="J8" s="3">
        <f t="shared" si="1"/>
        <v>0</v>
      </c>
    </row>
    <row r="9" x14ac:dyDescent="0.25">
      <c r="A9" s="1" t="s">
        <v>225</v>
      </c>
      <c r="B9" s="3">
        <v>0.21540000000000001</v>
      </c>
      <c r="C9" s="3">
        <v>0.25847999999999999</v>
      </c>
      <c r="D9" s="3">
        <v>0.17232</v>
      </c>
      <c r="E9" s="3">
        <v>676.54639999999995</v>
      </c>
      <c r="F9" s="3">
        <v>676.54639999999995</v>
      </c>
      <c r="G9" s="3">
        <v>676.54639999999995</v>
      </c>
      <c r="H9" s="3">
        <v>0</v>
      </c>
      <c r="I9" s="3">
        <f t="shared" si="0"/>
        <v>0</v>
      </c>
      <c r="J9" s="3">
        <f t="shared" si="1"/>
        <v>0</v>
      </c>
    </row>
    <row r="10" x14ac:dyDescent="0.25">
      <c r="A10" s="1" t="s">
        <v>226</v>
      </c>
      <c r="B10" s="3">
        <v>1.47</v>
      </c>
      <c r="C10" s="3">
        <v>1.764</v>
      </c>
      <c r="D10" s="3">
        <v>1.1759999999999999</v>
      </c>
      <c r="E10" s="3">
        <v>676.54639999999995</v>
      </c>
      <c r="F10" s="3">
        <v>676.54639999999995</v>
      </c>
      <c r="G10" s="3">
        <v>676.54639999999995</v>
      </c>
      <c r="H10" s="3">
        <v>0</v>
      </c>
      <c r="I10" s="3">
        <f t="shared" si="0"/>
        <v>0</v>
      </c>
      <c r="J10" s="3">
        <f t="shared" si="1"/>
        <v>0</v>
      </c>
    </row>
    <row r="11" x14ac:dyDescent="0.25">
      <c r="A11" s="1" t="s">
        <v>227</v>
      </c>
      <c r="B11" s="3">
        <v>0.000204</v>
      </c>
      <c r="C11" s="3">
        <v>0.00024479999999999999</v>
      </c>
      <c r="D11" s="3">
        <v>0.00016320000000000001</v>
      </c>
      <c r="E11" s="3">
        <v>676.54639999999995</v>
      </c>
      <c r="F11" s="3">
        <v>676.54639999999995</v>
      </c>
      <c r="G11" s="3">
        <v>676.54639999999995</v>
      </c>
      <c r="H11" s="3">
        <v>0</v>
      </c>
      <c r="I11" s="3">
        <f t="shared" si="0"/>
        <v>0</v>
      </c>
      <c r="J11" s="3">
        <f t="shared" si="1"/>
        <v>0</v>
      </c>
    </row>
    <row r="12" x14ac:dyDescent="0.25">
      <c r="A12" s="1" t="s">
        <v>228</v>
      </c>
      <c r="B12" s="3">
        <v>0.80000000000000004</v>
      </c>
      <c r="C12" s="3">
        <v>0.95999999999999996</v>
      </c>
      <c r="D12" s="3">
        <v>0.64000000000000001</v>
      </c>
      <c r="E12" s="3">
        <v>676.54639999999995</v>
      </c>
      <c r="F12" s="3">
        <v>676.54639999999995</v>
      </c>
      <c r="G12" s="3">
        <v>676.54639999999995</v>
      </c>
      <c r="H12" s="3">
        <v>0</v>
      </c>
      <c r="I12" s="3">
        <f t="shared" si="0"/>
        <v>0</v>
      </c>
      <c r="J12" s="3">
        <f t="shared" si="1"/>
        <v>0</v>
      </c>
    </row>
    <row r="13" x14ac:dyDescent="0.25">
      <c r="A13" s="1" t="s">
        <v>229</v>
      </c>
      <c r="B13" s="3">
        <v>0.66000000000000003</v>
      </c>
      <c r="C13" s="3">
        <v>0.79200000000000004</v>
      </c>
      <c r="D13" s="3">
        <v>0.52800000000000002</v>
      </c>
      <c r="E13" s="3">
        <v>676.54639999999995</v>
      </c>
      <c r="F13" s="3">
        <v>676.54639999999995</v>
      </c>
      <c r="G13" s="3">
        <v>676.54639999999995</v>
      </c>
      <c r="H13" s="3">
        <v>0</v>
      </c>
      <c r="I13" s="3">
        <f t="shared" si="0"/>
        <v>0</v>
      </c>
      <c r="J13" s="3">
        <f t="shared" si="1"/>
        <v>0</v>
      </c>
    </row>
    <row r="14" x14ac:dyDescent="0.25">
      <c r="A14" s="1" t="s">
        <v>230</v>
      </c>
      <c r="B14" s="3">
        <v>0.10000000000000001</v>
      </c>
      <c r="C14" s="3">
        <v>0.12</v>
      </c>
      <c r="D14" s="3">
        <v>0.080000000000000002</v>
      </c>
      <c r="E14" s="3">
        <v>676.54639999999995</v>
      </c>
      <c r="F14" s="3">
        <v>676.54639999999995</v>
      </c>
      <c r="G14" s="3">
        <v>676.54639999999995</v>
      </c>
      <c r="H14" s="3">
        <v>0</v>
      </c>
      <c r="I14" s="3">
        <f t="shared" si="0"/>
        <v>0</v>
      </c>
      <c r="J14" s="3">
        <f t="shared" si="1"/>
        <v>-1.670000000001437E-2</v>
      </c>
    </row>
    <row r="15" x14ac:dyDescent="0.25">
      <c r="A15" s="1" t="s">
        <v>231</v>
      </c>
      <c r="B15" s="3">
        <v>250</v>
      </c>
      <c r="C15" s="3">
        <v>300</v>
      </c>
      <c r="D15" s="3">
        <v>200</v>
      </c>
      <c r="E15" s="3">
        <v>676.54639999999995</v>
      </c>
      <c r="F15" s="3">
        <v>676.54920000000004</v>
      </c>
      <c r="G15" s="3">
        <v>676.54369999999994</v>
      </c>
      <c r="H15" s="3">
        <v>0.0027751</v>
      </c>
      <c r="I15" s="3">
        <f t="shared" si="0"/>
        <v>3.7899999999922329E-2</v>
      </c>
      <c r="J15" s="3">
        <f t="shared" si="1"/>
        <v>-6.3000000000101863E-3</v>
      </c>
    </row>
    <row r="16" x14ac:dyDescent="0.25">
      <c r="A16" s="1" t="s">
        <v>232</v>
      </c>
      <c r="B16" s="3">
        <v>0.002</v>
      </c>
      <c r="C16" s="3">
        <v>0.0023999999999999998</v>
      </c>
      <c r="D16" s="3">
        <v>0.0016000000000000001</v>
      </c>
      <c r="E16" s="3">
        <v>676.54639999999995</v>
      </c>
      <c r="F16" s="3">
        <v>677.87509999999997</v>
      </c>
      <c r="G16" s="3">
        <v>675.21780000000001</v>
      </c>
      <c r="H16" s="3">
        <v>1.3286</v>
      </c>
      <c r="I16" s="3">
        <f t="shared" si="0"/>
        <v>1.4184999999999945</v>
      </c>
      <c r="J16" s="3">
        <f t="shared" si="1"/>
        <v>-1.4185000000001082</v>
      </c>
    </row>
    <row r="17" x14ac:dyDescent="0.25">
      <c r="A17" s="1" t="s">
        <v>233</v>
      </c>
      <c r="B17" s="3">
        <v>0.66000000000000003</v>
      </c>
      <c r="C17" s="3">
        <v>0.79200000000000004</v>
      </c>
      <c r="D17" s="3">
        <v>0.52800000000000002</v>
      </c>
      <c r="E17" s="3">
        <v>676.54639999999995</v>
      </c>
      <c r="F17" s="3">
        <v>678.34630000000004</v>
      </c>
      <c r="G17" s="3">
        <v>674.74659999999994</v>
      </c>
      <c r="H17" s="3">
        <v>1.7999000000000001</v>
      </c>
      <c r="I17" s="3">
        <f t="shared" si="0"/>
        <v>1.9215999999998985</v>
      </c>
      <c r="J17" s="3">
        <f t="shared" si="1"/>
        <v>-1.9216000000000122</v>
      </c>
    </row>
    <row r="18" x14ac:dyDescent="0.25">
      <c r="A18" s="1" t="s">
        <v>234</v>
      </c>
      <c r="B18" s="3">
        <v>0.80000000000000004</v>
      </c>
      <c r="C18" s="3">
        <v>0.95999999999999996</v>
      </c>
      <c r="D18" s="3">
        <v>0.64000000000000001</v>
      </c>
      <c r="E18" s="3">
        <v>676.54639999999995</v>
      </c>
      <c r="F18" s="3">
        <v>680.33209999999997</v>
      </c>
      <c r="G18" s="3">
        <v>672.76080000000002</v>
      </c>
      <c r="H18" s="3">
        <v>3.7856999999999998</v>
      </c>
      <c r="I18" s="3">
        <f t="shared" si="0"/>
        <v>4.1450999999999567</v>
      </c>
      <c r="J18" s="3">
        <f t="shared" si="1"/>
        <v>-4.1451000000000704</v>
      </c>
    </row>
    <row r="19" x14ac:dyDescent="0.25">
      <c r="A19" s="1" t="s">
        <v>235</v>
      </c>
      <c r="B19" s="3">
        <v>0.016</v>
      </c>
      <c r="C19" s="3">
        <v>0.019199999999999998</v>
      </c>
      <c r="D19" s="3">
        <v>0.012800000000000001</v>
      </c>
      <c r="E19" s="3">
        <v>676.54639999999995</v>
      </c>
      <c r="F19" s="3">
        <v>680.80340000000001</v>
      </c>
      <c r="G19" s="3">
        <v>672.28949999999998</v>
      </c>
      <c r="H19" s="3">
        <v>4.2568999999999999</v>
      </c>
      <c r="I19" s="3">
        <f t="shared" si="0"/>
        <v>4.6481999999999744</v>
      </c>
      <c r="J19" s="3">
        <f t="shared" si="1"/>
        <v>-4.648200000000088</v>
      </c>
    </row>
    <row r="20" x14ac:dyDescent="0.25">
      <c r="A20" s="1" t="s">
        <v>236</v>
      </c>
      <c r="B20" s="3">
        <v>0.070000000000000007</v>
      </c>
      <c r="C20" s="3">
        <v>0.084000000000000005</v>
      </c>
      <c r="D20" s="3">
        <v>0.056000000000000001</v>
      </c>
      <c r="E20" s="3">
        <v>676.54639999999995</v>
      </c>
      <c r="F20" s="3">
        <v>684.51070000000004</v>
      </c>
      <c r="G20" s="3">
        <v>668.58219999999994</v>
      </c>
      <c r="H20" s="3">
        <v>7.9641999999999999</v>
      </c>
      <c r="I20" s="3">
        <f t="shared" si="0"/>
        <v>-4.9909000000000106</v>
      </c>
      <c r="J20" s="3">
        <f t="shared" si="1"/>
        <v>-5.5704000000000633</v>
      </c>
    </row>
    <row r="21" x14ac:dyDescent="0.25">
      <c r="A21" s="1" t="s">
        <v>237</v>
      </c>
      <c r="B21" s="3">
        <v>5</v>
      </c>
      <c r="C21" s="3">
        <v>6</v>
      </c>
      <c r="D21" s="3">
        <v>4</v>
      </c>
      <c r="E21" s="3">
        <v>676.54639999999995</v>
      </c>
      <c r="F21" s="3">
        <v>678.69349999999997</v>
      </c>
      <c r="G21" s="3">
        <v>686.18899999999996</v>
      </c>
      <c r="H21" s="3">
        <v>9.6425000000000001</v>
      </c>
      <c r="I21" s="3">
        <f t="shared" si="0"/>
        <v>7.0020999999999276</v>
      </c>
      <c r="J21" s="3">
        <f t="shared" si="1"/>
        <v>-7.0020000000000664</v>
      </c>
    </row>
    <row r="22" x14ac:dyDescent="0.25">
      <c r="A22" s="1" t="s">
        <v>238</v>
      </c>
      <c r="B22" s="3">
        <v>50</v>
      </c>
      <c r="C22" s="3">
        <v>60</v>
      </c>
      <c r="D22" s="3">
        <v>40</v>
      </c>
      <c r="E22" s="3">
        <v>676.54639999999995</v>
      </c>
      <c r="F22" s="3">
        <v>699.9316</v>
      </c>
      <c r="G22" s="3">
        <v>653.16129999999998</v>
      </c>
      <c r="H22" s="3">
        <v>23.385200000000001</v>
      </c>
      <c r="I22" s="3">
        <f t="shared" si="0"/>
        <v>18.75789999999995</v>
      </c>
      <c r="J22" s="3">
        <f t="shared" si="1"/>
        <v>-18.757900000000063</v>
      </c>
    </row>
    <row r="23" x14ac:dyDescent="0.25">
      <c r="A23" s="1" t="s">
        <v>239</v>
      </c>
      <c r="B23" s="3">
        <v>0.90000000000000002</v>
      </c>
      <c r="C23" s="3">
        <v>1</v>
      </c>
      <c r="D23" s="3">
        <v>0.71999999999999997</v>
      </c>
      <c r="E23" s="3">
        <v>676.54639999999995</v>
      </c>
      <c r="F23" s="3">
        <v>663.21600000000001</v>
      </c>
      <c r="G23" s="3">
        <v>709.8374</v>
      </c>
      <c r="H23" s="3">
        <v>33.290999999999997</v>
      </c>
      <c r="I23" s="3">
        <f t="shared" si="0"/>
        <v>-5.3595000000000255</v>
      </c>
      <c r="J23" s="3">
        <f t="shared" si="1"/>
        <v>26.773799999999937</v>
      </c>
    </row>
    <row r="24" x14ac:dyDescent="0.25">
      <c r="A24" s="1" t="s">
        <v>240</v>
      </c>
      <c r="B24" s="3">
        <v>0.10000000000000001</v>
      </c>
      <c r="C24" s="3">
        <v>0.12</v>
      </c>
      <c r="D24" s="3">
        <v>0.080000000000000002</v>
      </c>
      <c r="E24" s="3">
        <v>676.54639999999995</v>
      </c>
      <c r="F24" s="3">
        <v>732.88149999999996</v>
      </c>
      <c r="G24" s="3">
        <v>620.92340000000002</v>
      </c>
      <c r="H24" s="3">
        <v>56.335099999999997</v>
      </c>
      <c r="I24" s="3">
        <f t="shared" si="0"/>
        <v>28.329299999999989</v>
      </c>
      <c r="J24" s="3">
        <f t="shared" si="1"/>
        <v>-17.8279</v>
      </c>
    </row>
    <row r="25" x14ac:dyDescent="0.25">
      <c r="A25" s="1" t="s">
        <v>241</v>
      </c>
      <c r="B25" s="3">
        <v>600</v>
      </c>
      <c r="C25" s="3">
        <v>720</v>
      </c>
      <c r="D25" s="3">
        <v>480</v>
      </c>
      <c r="E25" s="3">
        <v>676.54639999999995</v>
      </c>
      <c r="F25" s="3">
        <v>752.47040000000004</v>
      </c>
      <c r="G25" s="3">
        <v>683.17899999999997</v>
      </c>
      <c r="H25" s="3">
        <v>75.924000000000007</v>
      </c>
      <c r="I25" s="3">
        <f t="shared" si="0"/>
        <v>-19.906600000000026</v>
      </c>
      <c r="J25" s="3">
        <f t="shared" si="1"/>
        <v>-35.315300000000093</v>
      </c>
    </row>
    <row r="26" x14ac:dyDescent="0.25">
      <c r="A26" s="1" t="s">
        <v>242</v>
      </c>
      <c r="B26" s="3">
        <v>100</v>
      </c>
      <c r="C26" s="3">
        <v>120</v>
      </c>
      <c r="D26" s="3">
        <v>80</v>
      </c>
      <c r="E26" s="3">
        <v>676.54639999999995</v>
      </c>
      <c r="F26" s="3">
        <v>678.06280000000004</v>
      </c>
      <c r="G26" s="3">
        <v>776.74040000000002</v>
      </c>
      <c r="H26" s="3">
        <v>100.194</v>
      </c>
      <c r="I26" s="3">
        <f t="shared" si="0"/>
        <v>53.293699999999944</v>
      </c>
      <c r="J26" s="3">
        <f t="shared" si="1"/>
        <v>-52.668600000000083</v>
      </c>
    </row>
    <row r="27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10579-A8AD-4CB7-B108-570185C51150}">
  <sheetPr codeName="Sheet3"/>
  <dimension ref="A1:J35"/>
  <sheetViews>
    <sheetView workbookViewId="0">
      <selection activeCell="E35" sqref="E35"/>
    </sheetView>
  </sheetViews>
  <sheetFormatPr defaultRowHeight="15" x14ac:dyDescent="0.25"/>
  <cols>
    <col min="1" max="1" width="20.28515625" bestFit="true" customWidth="true"/>
    <col min="2" max="2" width="8.7109375" bestFit="true" customWidth="true"/>
    <col min="3" max="3" width="9.85546875" bestFit="true" customWidth="true"/>
    <col min="4" max="4" width="10.7109375" bestFit="true" customWidth="true"/>
    <col min="5" max="5" width="8.7109375" bestFit="true" customWidth="true"/>
    <col min="6" max="6" width="8.140625" bestFit="true" customWidth="true"/>
    <col min="7" max="7" width="9" bestFit="true" customWidth="true"/>
    <col min="8" max="8" width="9.85546875" bestFit="true" customWidth="true"/>
    <col min="9" max="9" width="20.140625" bestFit="true" customWidth="true"/>
    <col min="10" max="10" width="21" bestFit="true" customWidth="true"/>
  </cols>
  <sheetData>
    <row r="1" x14ac:dyDescent="0.25">
      <c r="B1" s="2" t="s">
        <v>0</v>
      </c>
      <c r="C1" s="2" t="s">
        <v>1</v>
      </c>
      <c r="D1" s="2" t="s">
        <v>2</v>
      </c>
      <c r="E1" s="2" t="s">
        <v>8</v>
      </c>
      <c r="F1" s="2" t="s">
        <v>6</v>
      </c>
      <c r="G1" s="2" t="s">
        <v>9</v>
      </c>
      <c r="H1" s="2" t="s">
        <v>7</v>
      </c>
      <c r="I1" s="2" t="s">
        <v>16</v>
      </c>
      <c r="J1" s="2" t="s">
        <v>17</v>
      </c>
    </row>
    <row r="2" x14ac:dyDescent="0.25">
      <c r="A2" s="1" t="s">
        <v>243</v>
      </c>
      <c r="B2" s="3">
        <v>4000</v>
      </c>
      <c r="C2" s="3">
        <v>4800</v>
      </c>
      <c r="D2" s="3">
        <v>3200</v>
      </c>
      <c r="E2" s="3">
        <v>6.6886999999999999</v>
      </c>
      <c r="F2" s="3">
        <v>6.6886999999999999</v>
      </c>
      <c r="G2" s="3">
        <v>6.6886999999999999</v>
      </c>
      <c r="H2" s="3">
        <v>0</v>
      </c>
      <c r="I2" s="3">
        <f>F2-E2</f>
        <v>0</v>
      </c>
      <c r="J2" s="3">
        <f>G2-E2</f>
        <v>0</v>
      </c>
    </row>
    <row r="3" x14ac:dyDescent="0.25">
      <c r="A3" s="1" t="s">
        <v>244</v>
      </c>
      <c r="B3" s="3">
        <v>0.69999999999999996</v>
      </c>
      <c r="C3" s="3">
        <v>0.83999999999999997</v>
      </c>
      <c r="D3" s="3">
        <v>0.56000000000000005</v>
      </c>
      <c r="E3" s="3">
        <v>6.6886999999999999</v>
      </c>
      <c r="F3" s="3">
        <v>6.6886999999999999</v>
      </c>
      <c r="G3" s="3">
        <v>6.6886999999999999</v>
      </c>
      <c r="H3" s="3">
        <v>0</v>
      </c>
      <c r="I3" s="3">
        <f t="shared" ref="I3:I26" si="0">F3-E3</f>
        <v>0</v>
      </c>
      <c r="J3" s="3">
        <f t="shared" ref="J3:J26" si="1">G3-E3</f>
        <v>0</v>
      </c>
    </row>
    <row r="4" x14ac:dyDescent="0.25">
      <c r="A4" s="1" t="s">
        <v>245</v>
      </c>
      <c r="B4" s="3">
        <v>250</v>
      </c>
      <c r="C4" s="3">
        <v>300</v>
      </c>
      <c r="D4" s="3">
        <v>200</v>
      </c>
      <c r="E4" s="3">
        <v>6.6886999999999999</v>
      </c>
      <c r="F4" s="3">
        <v>6.6886999999999999</v>
      </c>
      <c r="G4" s="3">
        <v>6.6886999999999999</v>
      </c>
      <c r="H4" s="3">
        <v>2.1163e-05</v>
      </c>
      <c r="I4" s="3">
        <f t="shared" si="0"/>
        <v>1.9999999999953388E-4</v>
      </c>
      <c r="J4" s="3">
        <f t="shared" si="1"/>
        <v>-1.0000000000065512E-4</v>
      </c>
    </row>
    <row r="5" x14ac:dyDescent="0.25">
      <c r="A5" s="1" t="s">
        <v>246</v>
      </c>
      <c r="B5" s="3">
        <v>0.000204</v>
      </c>
      <c r="C5" s="3">
        <v>0.00024479999999999999</v>
      </c>
      <c r="D5" s="3">
        <v>0.00016320000000000001</v>
      </c>
      <c r="E5" s="3">
        <v>6.6886999999999999</v>
      </c>
      <c r="F5" s="3">
        <v>6.6889000000000003</v>
      </c>
      <c r="G5" s="3">
        <v>6.6886000000000001</v>
      </c>
      <c r="H5" s="3">
        <v>0.00015034</v>
      </c>
      <c r="I5" s="3">
        <f t="shared" si="0"/>
        <v>2.9999999999930083E-4</v>
      </c>
      <c r="J5" s="3">
        <f t="shared" si="1"/>
        <v>0</v>
      </c>
    </row>
    <row r="6" x14ac:dyDescent="0.25">
      <c r="A6" s="1" t="s">
        <v>247</v>
      </c>
      <c r="B6" s="3">
        <v>0.050000000000000003</v>
      </c>
      <c r="C6" s="3">
        <v>0.059999999999999998</v>
      </c>
      <c r="D6" s="3">
        <v>0.040000000000000001</v>
      </c>
      <c r="E6" s="3">
        <v>6.6886999999999999</v>
      </c>
      <c r="F6" s="3">
        <v>6.6901000000000002</v>
      </c>
      <c r="G6" s="3">
        <v>6.6872999999999996</v>
      </c>
      <c r="H6" s="3">
        <v>0.0013581999999999999</v>
      </c>
      <c r="I6" s="3">
        <f t="shared" si="0"/>
        <v>9.9999999999944578E-4</v>
      </c>
      <c r="J6" s="3">
        <f t="shared" si="1"/>
        <v>-1.1000000000001009E-3</v>
      </c>
    </row>
    <row r="7" x14ac:dyDescent="0.25">
      <c r="A7" s="1" t="s">
        <v>248</v>
      </c>
      <c r="B7" s="3">
        <v>0.002</v>
      </c>
      <c r="C7" s="3">
        <v>0.0023999999999999998</v>
      </c>
      <c r="D7" s="3">
        <v>0.0016000000000000001</v>
      </c>
      <c r="E7" s="3">
        <v>6.6886999999999999</v>
      </c>
      <c r="F7" s="3">
        <v>6.6905999999999999</v>
      </c>
      <c r="G7" s="3">
        <v>6.6867999999999999</v>
      </c>
      <c r="H7" s="3">
        <v>0.0019250999999999999</v>
      </c>
      <c r="I7" s="3">
        <f t="shared" si="0"/>
        <v>1.2999999999996348E-3</v>
      </c>
      <c r="J7" s="3">
        <f t="shared" si="1"/>
        <v>-1.300000000000523E-3</v>
      </c>
    </row>
    <row r="8" x14ac:dyDescent="0.25">
      <c r="A8" s="1" t="s">
        <v>249</v>
      </c>
      <c r="B8" s="3">
        <v>0.21540000000000001</v>
      </c>
      <c r="C8" s="3">
        <v>0.25847999999999999</v>
      </c>
      <c r="D8" s="3">
        <v>0.17232</v>
      </c>
      <c r="E8" s="3">
        <v>6.6886999999999999</v>
      </c>
      <c r="F8" s="3">
        <v>6.6906999999999996</v>
      </c>
      <c r="G8" s="3">
        <v>6.6867000000000001</v>
      </c>
      <c r="H8" s="3">
        <v>0.0019648000000000001</v>
      </c>
      <c r="I8" s="3">
        <f t="shared" si="0"/>
        <v>2.1999999999993136E-3</v>
      </c>
      <c r="J8" s="3">
        <f t="shared" si="1"/>
        <v>-2.2000000000002018E-3</v>
      </c>
    </row>
    <row r="9" x14ac:dyDescent="0.25">
      <c r="A9" s="1" t="s">
        <v>250</v>
      </c>
      <c r="B9" s="3">
        <v>0.016</v>
      </c>
      <c r="C9" s="3">
        <v>0.019199999999999998</v>
      </c>
      <c r="D9" s="3">
        <v>0.012800000000000001</v>
      </c>
      <c r="E9" s="3">
        <v>6.6886999999999999</v>
      </c>
      <c r="F9" s="3">
        <v>6.6948999999999996</v>
      </c>
      <c r="G9" s="3">
        <v>6.6825000000000001</v>
      </c>
      <c r="H9" s="3">
        <v>0.0061681000000000001</v>
      </c>
      <c r="I9" s="3">
        <f t="shared" si="0"/>
        <v>7.199999999999207E-3</v>
      </c>
      <c r="J9" s="3">
        <f t="shared" si="1"/>
        <v>-7.2000000000000952E-3</v>
      </c>
    </row>
    <row r="10" x14ac:dyDescent="0.25">
      <c r="A10" s="1" t="s">
        <v>251</v>
      </c>
      <c r="B10" s="3">
        <v>0.66000000000000003</v>
      </c>
      <c r="C10" s="3">
        <v>0.79200000000000004</v>
      </c>
      <c r="D10" s="3">
        <v>0.52800000000000002</v>
      </c>
      <c r="E10" s="3">
        <v>6.6886999999999999</v>
      </c>
      <c r="F10" s="3">
        <v>6.6776</v>
      </c>
      <c r="G10" s="3">
        <v>6.6997999999999998</v>
      </c>
      <c r="H10" s="3">
        <v>0.011117999999999999</v>
      </c>
      <c r="I10" s="3">
        <f t="shared" si="0"/>
        <v>-1.2599999999999945E-2</v>
      </c>
      <c r="J10" s="3">
        <f t="shared" si="1"/>
        <v>1.2699999999999712E-2</v>
      </c>
    </row>
    <row r="11" x14ac:dyDescent="0.25">
      <c r="A11" s="1" t="s">
        <v>252</v>
      </c>
      <c r="B11" s="3">
        <v>0.66000000000000003</v>
      </c>
      <c r="C11" s="3">
        <v>0.79200000000000004</v>
      </c>
      <c r="D11" s="3">
        <v>0.52800000000000002</v>
      </c>
      <c r="E11" s="3">
        <v>6.6886999999999999</v>
      </c>
      <c r="F11" s="3">
        <v>6.7023999999999999</v>
      </c>
      <c r="G11" s="3">
        <v>6.6749999999999998</v>
      </c>
      <c r="H11" s="3">
        <v>0.013726</v>
      </c>
      <c r="I11" s="3">
        <f t="shared" si="0"/>
        <v>1.5699999999999825E-2</v>
      </c>
      <c r="J11" s="3">
        <f t="shared" si="1"/>
        <v>-1.5600000000000058E-2</v>
      </c>
    </row>
    <row r="12" x14ac:dyDescent="0.25">
      <c r="A12" s="1" t="s">
        <v>253</v>
      </c>
      <c r="B12" s="3">
        <v>0.90000000000000002</v>
      </c>
      <c r="C12" s="3">
        <v>1</v>
      </c>
      <c r="D12" s="3">
        <v>0.71999999999999997</v>
      </c>
      <c r="E12" s="3">
        <v>6.6886999999999999</v>
      </c>
      <c r="F12" s="3">
        <v>6.6757</v>
      </c>
      <c r="G12" s="3">
        <v>6.7087000000000003</v>
      </c>
      <c r="H12" s="3">
        <v>0.020013</v>
      </c>
      <c r="I12" s="3">
        <f t="shared" si="0"/>
        <v>-1.4800000000000146E-2</v>
      </c>
      <c r="J12" s="3">
        <f t="shared" si="1"/>
        <v>2.2799999999999265E-2</v>
      </c>
    </row>
    <row r="13" x14ac:dyDescent="0.25">
      <c r="A13" s="1" t="s">
        <v>254</v>
      </c>
      <c r="B13" s="3">
        <v>0.80000000000000004</v>
      </c>
      <c r="C13" s="3">
        <v>0.95999999999999996</v>
      </c>
      <c r="D13" s="3">
        <v>0.64000000000000001</v>
      </c>
      <c r="E13" s="3">
        <v>6.6886999999999999</v>
      </c>
      <c r="F13" s="3">
        <v>6.6653000000000002</v>
      </c>
      <c r="G13" s="3">
        <v>6.7121000000000004</v>
      </c>
      <c r="H13" s="3">
        <v>0.023385</v>
      </c>
      <c r="I13" s="3">
        <f t="shared" si="0"/>
        <v>-2.7300000000000324E-2</v>
      </c>
      <c r="J13" s="3">
        <f t="shared" si="1"/>
        <v>2.7299999999999436E-2</v>
      </c>
    </row>
    <row r="14" x14ac:dyDescent="0.25">
      <c r="A14" s="1" t="s">
        <v>255</v>
      </c>
      <c r="B14" s="3">
        <v>0.80000000000000004</v>
      </c>
      <c r="C14" s="3">
        <v>0.95999999999999996</v>
      </c>
      <c r="D14" s="3">
        <v>0.64000000000000001</v>
      </c>
      <c r="E14" s="3">
        <v>6.6886999999999999</v>
      </c>
      <c r="F14" s="3">
        <v>6.7176</v>
      </c>
      <c r="G14" s="3">
        <v>6.6597999999999997</v>
      </c>
      <c r="H14" s="3">
        <v>0.02887</v>
      </c>
      <c r="I14" s="3">
        <f t="shared" si="0"/>
        <v>-1.5600000000000058E-2</v>
      </c>
      <c r="J14" s="3">
        <f t="shared" si="1"/>
        <v>2.8200000000000003E-2</v>
      </c>
    </row>
    <row r="15" x14ac:dyDescent="0.25">
      <c r="A15" s="1" t="s">
        <v>256</v>
      </c>
      <c r="B15" s="3">
        <v>0.90000000000000002</v>
      </c>
      <c r="C15" s="3">
        <v>1</v>
      </c>
      <c r="D15" s="3">
        <v>0.71999999999999997</v>
      </c>
      <c r="E15" s="3">
        <v>6.6886999999999999</v>
      </c>
      <c r="F15" s="3">
        <v>6.6710000000000003</v>
      </c>
      <c r="G15" s="3">
        <v>6.7206000000000001</v>
      </c>
      <c r="H15" s="3">
        <v>0.031945000000000001</v>
      </c>
      <c r="I15" s="3">
        <f t="shared" si="0"/>
        <v>-2.8100000000000236E-2</v>
      </c>
      <c r="J15" s="3">
        <f t="shared" si="1"/>
        <v>2.8200000000000003E-2</v>
      </c>
    </row>
    <row r="16" x14ac:dyDescent="0.25">
      <c r="A16" s="1" t="s">
        <v>257</v>
      </c>
      <c r="B16" s="3">
        <v>0.10000000000000001</v>
      </c>
      <c r="C16" s="3">
        <v>0.12</v>
      </c>
      <c r="D16" s="3">
        <v>0.080000000000000002</v>
      </c>
      <c r="E16" s="3">
        <v>6.6886999999999999</v>
      </c>
      <c r="F16" s="3">
        <v>6.6567999999999996</v>
      </c>
      <c r="G16" s="3">
        <v>6.7206000000000001</v>
      </c>
      <c r="H16" s="3">
        <v>0.031945000000000001</v>
      </c>
      <c r="I16" s="3">
        <f t="shared" si="0"/>
        <v>3.3799999999999386E-2</v>
      </c>
      <c r="J16" s="3">
        <f t="shared" si="1"/>
        <v>-3.3700000000000507E-2</v>
      </c>
    </row>
    <row r="17" x14ac:dyDescent="0.25">
      <c r="A17" s="1" t="s">
        <v>258</v>
      </c>
      <c r="B17" s="3">
        <v>0.90000000000000002</v>
      </c>
      <c r="C17" s="3">
        <v>1</v>
      </c>
      <c r="D17" s="3">
        <v>0.71999999999999997</v>
      </c>
      <c r="E17" s="3">
        <v>6.6886999999999999</v>
      </c>
      <c r="F17" s="3">
        <v>6.6612999999999998</v>
      </c>
      <c r="G17" s="3">
        <v>6.7308000000000003</v>
      </c>
      <c r="H17" s="3">
        <v>0.042091999999999997</v>
      </c>
      <c r="I17" s="3">
        <f t="shared" si="0"/>
        <v>4.469999999999974E-2</v>
      </c>
      <c r="J17" s="3">
        <f t="shared" si="1"/>
        <v>-4.4700000000000628E-2</v>
      </c>
    </row>
    <row r="18" x14ac:dyDescent="0.25">
      <c r="A18" s="1" t="s">
        <v>259</v>
      </c>
      <c r="B18" s="3">
        <v>1.47</v>
      </c>
      <c r="C18" s="3">
        <v>1.764</v>
      </c>
      <c r="D18" s="3">
        <v>1.1759999999999999</v>
      </c>
      <c r="E18" s="3">
        <v>6.6886999999999999</v>
      </c>
      <c r="F18" s="3">
        <v>6.7333999999999996</v>
      </c>
      <c r="G18" s="3">
        <v>6.6440000000000001</v>
      </c>
      <c r="H18" s="3">
        <v>0.044697000000000001</v>
      </c>
      <c r="I18" s="3">
        <f t="shared" si="0"/>
        <v>-4.0000000000000036E-2</v>
      </c>
      <c r="J18" s="3">
        <f t="shared" si="1"/>
        <v>-4.4700000000000628E-2</v>
      </c>
    </row>
    <row r="19" x14ac:dyDescent="0.25">
      <c r="A19" s="1" t="s">
        <v>260</v>
      </c>
      <c r="B19" s="3">
        <v>0.070000000000000007</v>
      </c>
      <c r="C19" s="3">
        <v>0.084000000000000005</v>
      </c>
      <c r="D19" s="3">
        <v>0.056000000000000001</v>
      </c>
      <c r="E19" s="3">
        <v>6.6886999999999999</v>
      </c>
      <c r="F19" s="3">
        <v>6.7493999999999996</v>
      </c>
      <c r="G19" s="3">
        <v>6.6280000000000001</v>
      </c>
      <c r="H19" s="3">
        <v>0.060735999999999998</v>
      </c>
      <c r="I19" s="3">
        <f t="shared" si="0"/>
        <v>-3.2000000000000028E-2</v>
      </c>
      <c r="J19" s="3">
        <f t="shared" si="1"/>
        <v>4.919999999999991E-2</v>
      </c>
    </row>
    <row r="20" x14ac:dyDescent="0.25">
      <c r="A20" s="1" t="s">
        <v>261</v>
      </c>
      <c r="B20" s="3">
        <v>5</v>
      </c>
      <c r="C20" s="3">
        <v>6</v>
      </c>
      <c r="D20" s="3">
        <v>4</v>
      </c>
      <c r="E20" s="3">
        <v>6.6886999999999999</v>
      </c>
      <c r="F20" s="3">
        <v>6.7069000000000001</v>
      </c>
      <c r="G20" s="3">
        <v>6.7610000000000001</v>
      </c>
      <c r="H20" s="3">
        <v>0.072319999999999995</v>
      </c>
      <c r="I20" s="3">
        <f t="shared" si="0"/>
        <v>5.6999999999999496E-2</v>
      </c>
      <c r="J20" s="3">
        <f t="shared" si="1"/>
        <v>-5.6900000000000617E-2</v>
      </c>
    </row>
    <row r="21" x14ac:dyDescent="0.25">
      <c r="A21" s="1" t="s">
        <v>262</v>
      </c>
      <c r="B21" s="3">
        <v>50</v>
      </c>
      <c r="C21" s="3">
        <v>60</v>
      </c>
      <c r="D21" s="3">
        <v>40</v>
      </c>
      <c r="E21" s="3">
        <v>6.6886999999999999</v>
      </c>
      <c r="F21" s="3">
        <v>6.867</v>
      </c>
      <c r="G21" s="3">
        <v>6.5103999999999997</v>
      </c>
      <c r="H21" s="3">
        <v>0.17834</v>
      </c>
      <c r="I21" s="3">
        <f t="shared" si="0"/>
        <v>0.15259999999999962</v>
      </c>
      <c r="J21" s="3">
        <f t="shared" si="1"/>
        <v>-0.15260000000000051</v>
      </c>
    </row>
    <row r="22" x14ac:dyDescent="0.25">
      <c r="A22" s="1" t="s">
        <v>263</v>
      </c>
      <c r="B22" s="3">
        <v>0.90000000000000002</v>
      </c>
      <c r="C22" s="3">
        <v>1</v>
      </c>
      <c r="D22" s="3">
        <v>0.71999999999999997</v>
      </c>
      <c r="E22" s="3">
        <v>6.6886999999999999</v>
      </c>
      <c r="F22" s="3">
        <v>6.5869999999999997</v>
      </c>
      <c r="G22" s="3">
        <v>6.9425999999999997</v>
      </c>
      <c r="H22" s="3">
        <v>0.25387999999999999</v>
      </c>
      <c r="I22" s="3">
        <f t="shared" si="0"/>
        <v>-4.3600000000000527E-2</v>
      </c>
      <c r="J22" s="3">
        <f t="shared" si="1"/>
        <v>0.21779999999999955</v>
      </c>
    </row>
    <row r="23" x14ac:dyDescent="0.25">
      <c r="A23" s="1" t="s">
        <v>264</v>
      </c>
      <c r="B23" s="3">
        <v>600</v>
      </c>
      <c r="C23" s="3">
        <v>720</v>
      </c>
      <c r="D23" s="3">
        <v>480</v>
      </c>
      <c r="E23" s="3">
        <v>6.6886999999999999</v>
      </c>
      <c r="F23" s="3">
        <v>7.2679</v>
      </c>
      <c r="G23" s="3">
        <v>6.7408000000000001</v>
      </c>
      <c r="H23" s="3">
        <v>0.57923999999999998</v>
      </c>
      <c r="I23" s="3">
        <f t="shared" si="0"/>
        <v>0.22750000000000004</v>
      </c>
      <c r="J23" s="3">
        <f t="shared" si="1"/>
        <v>-0.14080000000000048</v>
      </c>
    </row>
    <row r="24" x14ac:dyDescent="0.25">
      <c r="A24" s="1" t="s">
        <v>265</v>
      </c>
      <c r="B24" s="3">
        <v>0.10000000000000001</v>
      </c>
      <c r="C24" s="3">
        <v>0.12</v>
      </c>
      <c r="D24" s="3">
        <v>0.080000000000000002</v>
      </c>
      <c r="E24" s="3">
        <v>6.6886999999999999</v>
      </c>
      <c r="F24" s="3">
        <v>7.2797000000000001</v>
      </c>
      <c r="G24" s="3">
        <v>6.1045999999999996</v>
      </c>
      <c r="H24" s="3">
        <v>0.59101999999999999</v>
      </c>
      <c r="I24" s="3">
        <f t="shared" si="0"/>
        <v>-0.16110000000000024</v>
      </c>
      <c r="J24" s="3">
        <f t="shared" si="1"/>
        <v>-0.28770000000000007</v>
      </c>
    </row>
    <row r="25" x14ac:dyDescent="0.25">
      <c r="A25" s="1" t="s">
        <v>266</v>
      </c>
      <c r="B25" s="3">
        <v>100</v>
      </c>
      <c r="C25" s="3">
        <v>120</v>
      </c>
      <c r="D25" s="3">
        <v>80</v>
      </c>
      <c r="E25" s="3">
        <v>6.6886999999999999</v>
      </c>
      <c r="F25" s="3">
        <v>6.7005999999999997</v>
      </c>
      <c r="G25" s="3">
        <v>7.4518000000000004</v>
      </c>
      <c r="H25" s="3">
        <v>0.76307000000000003</v>
      </c>
      <c r="I25" s="3">
        <f t="shared" si="0"/>
        <v>0.58999999999999986</v>
      </c>
      <c r="J25" s="3">
        <f t="shared" si="1"/>
        <v>-0.58309999999999995</v>
      </c>
    </row>
    <row r="26" x14ac:dyDescent="0.25">
      <c r="A26" s="1" t="s">
        <v>267</v>
      </c>
      <c r="B26" s="3">
        <v>330</v>
      </c>
      <c r="C26" s="3">
        <v>365</v>
      </c>
      <c r="D26" s="3">
        <v>264</v>
      </c>
      <c r="E26" s="3">
        <v>6.6886999999999999</v>
      </c>
      <c r="F26" s="3">
        <v>6.0597000000000003</v>
      </c>
      <c r="G26" s="3">
        <v>8.3285</v>
      </c>
      <c r="H26" s="3">
        <v>1.6397999999999999</v>
      </c>
      <c r="I26" s="3">
        <f t="shared" si="0"/>
        <v>-0.61270000000000024</v>
      </c>
      <c r="J26" s="3">
        <f t="shared" si="1"/>
        <v>1.5975999999999999</v>
      </c>
    </row>
    <row r="27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4ABF3-4BE7-4627-ACD3-9BFA4F1FBE6C}">
  <sheetPr codeName="Sheet4"/>
  <dimension ref="A1:J35"/>
  <sheetViews>
    <sheetView tabSelected="true" workbookViewId="0">
      <selection activeCell="G30" sqref="G30"/>
    </sheetView>
  </sheetViews>
  <sheetFormatPr defaultRowHeight="15" x14ac:dyDescent="0.25"/>
  <cols>
    <col min="1" max="1" width="20.28515625" bestFit="true" customWidth="true"/>
    <col min="2" max="2" width="8.7109375" bestFit="true" customWidth="true"/>
    <col min="3" max="3" width="9.85546875" bestFit="true" customWidth="true"/>
    <col min="4" max="4" width="10.7109375" bestFit="true" customWidth="true"/>
    <col min="5" max="5" width="8.7109375" bestFit="true" customWidth="true"/>
    <col min="6" max="6" width="8.140625" bestFit="true" customWidth="true"/>
    <col min="7" max="7" width="9" bestFit="true" customWidth="true"/>
    <col min="8" max="8" width="9.85546875" bestFit="true" customWidth="true"/>
    <col min="9" max="9" width="20.140625" bestFit="true" customWidth="true"/>
    <col min="10" max="10" width="21" bestFit="true" customWidth="true"/>
  </cols>
  <sheetData>
    <row r="1" x14ac:dyDescent="0.25">
      <c r="B1" s="2" t="s">
        <v>0</v>
      </c>
      <c r="C1" s="2" t="s">
        <v>1</v>
      </c>
      <c r="D1" s="2" t="s">
        <v>2</v>
      </c>
      <c r="E1" s="2" t="s">
        <v>10</v>
      </c>
      <c r="F1" s="2" t="s">
        <v>11</v>
      </c>
      <c r="G1" s="2" t="s">
        <v>12</v>
      </c>
      <c r="H1" s="2" t="s">
        <v>7</v>
      </c>
      <c r="I1" s="2" t="s">
        <v>16</v>
      </c>
      <c r="J1" s="2" t="s">
        <v>17</v>
      </c>
    </row>
    <row r="2" x14ac:dyDescent="0.25">
      <c r="A2" s="1" t="s">
        <v>268</v>
      </c>
      <c r="B2" s="3">
        <v>4000</v>
      </c>
      <c r="C2" s="3">
        <v>4800</v>
      </c>
      <c r="D2" s="3">
        <v>3200</v>
      </c>
      <c r="E2" s="3">
        <v>43.191499999999998</v>
      </c>
      <c r="F2" s="3">
        <v>43.191499999999998</v>
      </c>
      <c r="G2" s="3">
        <v>43.191499999999998</v>
      </c>
      <c r="H2" s="3">
        <v>0</v>
      </c>
      <c r="I2" s="3">
        <f>F2-E2</f>
        <v>0</v>
      </c>
      <c r="J2" s="3">
        <f>G2-E2</f>
        <v>0</v>
      </c>
    </row>
    <row r="3" x14ac:dyDescent="0.25">
      <c r="A3" s="1" t="s">
        <v>269</v>
      </c>
      <c r="B3" s="3">
        <v>0.90000000000000002</v>
      </c>
      <c r="C3" s="3">
        <v>1</v>
      </c>
      <c r="D3" s="3">
        <v>0.71999999999999997</v>
      </c>
      <c r="E3" s="3">
        <v>43.191499999999998</v>
      </c>
      <c r="F3" s="3">
        <v>43.191499999999998</v>
      </c>
      <c r="G3" s="3">
        <v>43.191499999999998</v>
      </c>
      <c r="H3" s="3">
        <v>0</v>
      </c>
      <c r="I3" s="3">
        <f t="shared" ref="I3:I26" si="0">F3-E3</f>
        <v>0</v>
      </c>
      <c r="J3" s="3">
        <f t="shared" ref="J3:J26" si="1">G3-E3</f>
        <v>0</v>
      </c>
    </row>
    <row r="4" x14ac:dyDescent="0.25">
      <c r="A4" s="1" t="s">
        <v>270</v>
      </c>
      <c r="B4" s="3">
        <v>0.10000000000000001</v>
      </c>
      <c r="C4" s="3">
        <v>0.12</v>
      </c>
      <c r="D4" s="3">
        <v>0.080000000000000002</v>
      </c>
      <c r="E4" s="3">
        <v>43.191499999999998</v>
      </c>
      <c r="F4" s="3">
        <v>43.191499999999998</v>
      </c>
      <c r="G4" s="3">
        <v>43.191499999999998</v>
      </c>
      <c r="H4" s="3">
        <v>0</v>
      </c>
      <c r="I4" s="3">
        <f t="shared" si="0"/>
        <v>0</v>
      </c>
      <c r="J4" s="3">
        <f t="shared" si="1"/>
        <v>0</v>
      </c>
    </row>
    <row r="5" x14ac:dyDescent="0.25">
      <c r="A5" s="1" t="s">
        <v>271</v>
      </c>
      <c r="B5" s="3">
        <v>0.070000000000000007</v>
      </c>
      <c r="C5" s="3">
        <v>0.084000000000000005</v>
      </c>
      <c r="D5" s="3">
        <v>0.056000000000000001</v>
      </c>
      <c r="E5" s="3">
        <v>43.191499999999998</v>
      </c>
      <c r="F5" s="3">
        <v>43.191499999999998</v>
      </c>
      <c r="G5" s="3">
        <v>43.191499999999998</v>
      </c>
      <c r="H5" s="3">
        <v>0</v>
      </c>
      <c r="I5" s="3">
        <f t="shared" si="0"/>
        <v>0</v>
      </c>
      <c r="J5" s="3">
        <f t="shared" si="1"/>
        <v>0</v>
      </c>
    </row>
    <row r="6" x14ac:dyDescent="0.25">
      <c r="A6" s="1" t="s">
        <v>272</v>
      </c>
      <c r="B6" s="3">
        <v>0.80000000000000004</v>
      </c>
      <c r="C6" s="3">
        <v>0.95999999999999996</v>
      </c>
      <c r="D6" s="3">
        <v>0.64000000000000001</v>
      </c>
      <c r="E6" s="3">
        <v>43.191499999999998</v>
      </c>
      <c r="F6" s="3">
        <v>43.191499999999998</v>
      </c>
      <c r="G6" s="3">
        <v>43.191499999999998</v>
      </c>
      <c r="H6" s="3">
        <v>0</v>
      </c>
      <c r="I6" s="3">
        <f t="shared" si="0"/>
        <v>0</v>
      </c>
      <c r="J6" s="3">
        <f t="shared" si="1"/>
        <v>0</v>
      </c>
    </row>
    <row r="7" x14ac:dyDescent="0.25">
      <c r="A7" s="1" t="s">
        <v>273</v>
      </c>
      <c r="B7" s="3">
        <v>0.66000000000000003</v>
      </c>
      <c r="C7" s="3">
        <v>0.79200000000000004</v>
      </c>
      <c r="D7" s="3">
        <v>0.52800000000000002</v>
      </c>
      <c r="E7" s="3">
        <v>43.191499999999998</v>
      </c>
      <c r="F7" s="3">
        <v>43.191499999999998</v>
      </c>
      <c r="G7" s="3">
        <v>43.191499999999998</v>
      </c>
      <c r="H7" s="3">
        <v>0</v>
      </c>
      <c r="I7" s="3">
        <f t="shared" si="0"/>
        <v>0</v>
      </c>
      <c r="J7" s="3">
        <f t="shared" si="1"/>
        <v>0</v>
      </c>
    </row>
    <row r="8" x14ac:dyDescent="0.25">
      <c r="A8" s="1" t="s">
        <v>274</v>
      </c>
      <c r="B8" s="3">
        <v>50</v>
      </c>
      <c r="C8" s="3">
        <v>60</v>
      </c>
      <c r="D8" s="3">
        <v>40</v>
      </c>
      <c r="E8" s="3">
        <v>43.191499999999998</v>
      </c>
      <c r="F8" s="3">
        <v>43.191499999999998</v>
      </c>
      <c r="G8" s="3">
        <v>43.191499999999998</v>
      </c>
      <c r="H8" s="3">
        <v>0</v>
      </c>
      <c r="I8" s="3">
        <f t="shared" si="0"/>
        <v>0</v>
      </c>
      <c r="J8" s="3">
        <f t="shared" si="1"/>
        <v>0</v>
      </c>
    </row>
    <row r="9" x14ac:dyDescent="0.25">
      <c r="A9" s="1" t="s">
        <v>275</v>
      </c>
      <c r="B9" s="3">
        <v>0.21540000000000001</v>
      </c>
      <c r="C9" s="3">
        <v>0.25847999999999999</v>
      </c>
      <c r="D9" s="3">
        <v>0.17232</v>
      </c>
      <c r="E9" s="3">
        <v>43.191499999999998</v>
      </c>
      <c r="F9" s="3">
        <v>43.191499999999998</v>
      </c>
      <c r="G9" s="3">
        <v>43.191499999999998</v>
      </c>
      <c r="H9" s="3">
        <v>0</v>
      </c>
      <c r="I9" s="3">
        <f t="shared" si="0"/>
        <v>0</v>
      </c>
      <c r="J9" s="3">
        <f t="shared" si="1"/>
        <v>0</v>
      </c>
    </row>
    <row r="10" x14ac:dyDescent="0.25">
      <c r="A10" s="1" t="s">
        <v>276</v>
      </c>
      <c r="B10" s="3">
        <v>1.47</v>
      </c>
      <c r="C10" s="3">
        <v>1.764</v>
      </c>
      <c r="D10" s="3">
        <v>1.1759999999999999</v>
      </c>
      <c r="E10" s="3">
        <v>43.191499999999998</v>
      </c>
      <c r="F10" s="3">
        <v>43.191499999999998</v>
      </c>
      <c r="G10" s="3">
        <v>43.191499999999998</v>
      </c>
      <c r="H10" s="3">
        <v>0</v>
      </c>
      <c r="I10" s="3">
        <f t="shared" si="0"/>
        <v>0</v>
      </c>
      <c r="J10" s="3">
        <f t="shared" si="1"/>
        <v>0</v>
      </c>
    </row>
    <row r="11" x14ac:dyDescent="0.25">
      <c r="A11" s="1" t="s">
        <v>277</v>
      </c>
      <c r="B11" s="3">
        <v>0.000204</v>
      </c>
      <c r="C11" s="3">
        <v>0.00024479999999999999</v>
      </c>
      <c r="D11" s="3">
        <v>0.00016320000000000001</v>
      </c>
      <c r="E11" s="3">
        <v>43.191499999999998</v>
      </c>
      <c r="F11" s="3">
        <v>43.191499999999998</v>
      </c>
      <c r="G11" s="3">
        <v>43.191499999999998</v>
      </c>
      <c r="H11" s="3">
        <v>0</v>
      </c>
      <c r="I11" s="3">
        <f t="shared" si="0"/>
        <v>0</v>
      </c>
      <c r="J11" s="3">
        <f t="shared" si="1"/>
        <v>0</v>
      </c>
    </row>
    <row r="12" x14ac:dyDescent="0.25">
      <c r="A12" s="1" t="s">
        <v>278</v>
      </c>
      <c r="B12" s="3">
        <v>0.80000000000000004</v>
      </c>
      <c r="C12" s="3">
        <v>0.95999999999999996</v>
      </c>
      <c r="D12" s="3">
        <v>0.64000000000000001</v>
      </c>
      <c r="E12" s="3">
        <v>43.191499999999998</v>
      </c>
      <c r="F12" s="3">
        <v>43.191499999999998</v>
      </c>
      <c r="G12" s="3">
        <v>43.191499999999998</v>
      </c>
      <c r="H12" s="3">
        <v>0</v>
      </c>
      <c r="I12" s="3">
        <f t="shared" si="0"/>
        <v>0</v>
      </c>
      <c r="J12" s="3">
        <f t="shared" si="1"/>
        <v>0</v>
      </c>
    </row>
    <row r="13" x14ac:dyDescent="0.25">
      <c r="A13" s="1" t="s">
        <v>279</v>
      </c>
      <c r="B13" s="3">
        <v>0.66000000000000003</v>
      </c>
      <c r="C13" s="3">
        <v>0.79200000000000004</v>
      </c>
      <c r="D13" s="3">
        <v>0.52800000000000002</v>
      </c>
      <c r="E13" s="3">
        <v>43.191499999999998</v>
      </c>
      <c r="F13" s="3">
        <v>43.191499999999998</v>
      </c>
      <c r="G13" s="3">
        <v>43.191499999999998</v>
      </c>
      <c r="H13" s="3">
        <v>0</v>
      </c>
      <c r="I13" s="3">
        <f t="shared" si="0"/>
        <v>0</v>
      </c>
      <c r="J13" s="3">
        <f t="shared" si="1"/>
        <v>0</v>
      </c>
    </row>
    <row r="14" x14ac:dyDescent="0.25">
      <c r="A14" s="1" t="s">
        <v>280</v>
      </c>
      <c r="B14" s="3">
        <v>0.10000000000000001</v>
      </c>
      <c r="C14" s="3">
        <v>0.12</v>
      </c>
      <c r="D14" s="3">
        <v>0.080000000000000002</v>
      </c>
      <c r="E14" s="3">
        <v>43.191499999999998</v>
      </c>
      <c r="F14" s="3">
        <v>43.191499999999998</v>
      </c>
      <c r="G14" s="3">
        <v>43.191499999999998</v>
      </c>
      <c r="H14" s="3">
        <v>0</v>
      </c>
      <c r="I14" s="3">
        <f t="shared" si="0"/>
        <v>0</v>
      </c>
      <c r="J14" s="3">
        <f t="shared" si="1"/>
        <v>0</v>
      </c>
    </row>
    <row r="15" x14ac:dyDescent="0.25">
      <c r="A15" s="1" t="s">
        <v>281</v>
      </c>
      <c r="B15" s="3">
        <v>250</v>
      </c>
      <c r="C15" s="3">
        <v>300</v>
      </c>
      <c r="D15" s="3">
        <v>200</v>
      </c>
      <c r="E15" s="3">
        <v>43.191499999999998</v>
      </c>
      <c r="F15" s="3">
        <v>43.192</v>
      </c>
      <c r="G15" s="3">
        <v>43.191000000000003</v>
      </c>
      <c r="H15" s="3">
        <v>0.00049662000000000003</v>
      </c>
      <c r="I15" s="3">
        <f t="shared" si="0"/>
        <v>4.9999999999883471E-4</v>
      </c>
      <c r="J15" s="3">
        <f t="shared" si="1"/>
        <v>-5.0000000000238742E-4</v>
      </c>
    </row>
    <row r="16" x14ac:dyDescent="0.25">
      <c r="A16" s="1" t="s">
        <v>282</v>
      </c>
      <c r="B16" s="3">
        <v>0.69999999999999996</v>
      </c>
      <c r="C16" s="3">
        <v>0.83999999999999997</v>
      </c>
      <c r="D16" s="3">
        <v>0.56000000000000005</v>
      </c>
      <c r="E16" s="3">
        <v>43.191499999999998</v>
      </c>
      <c r="F16" s="3">
        <v>43.189399999999999</v>
      </c>
      <c r="G16" s="3">
        <v>43.194600000000001</v>
      </c>
      <c r="H16" s="3">
        <v>0.0030920000000000001</v>
      </c>
      <c r="I16" s="3">
        <f t="shared" si="0"/>
        <v>-1.9000000000026773E-3</v>
      </c>
      <c r="J16" s="3">
        <f t="shared" si="1"/>
        <v>2.8000000000005798E-3</v>
      </c>
    </row>
    <row r="17" x14ac:dyDescent="0.25">
      <c r="A17" s="1" t="s">
        <v>283</v>
      </c>
      <c r="B17" s="3">
        <v>0.002</v>
      </c>
      <c r="C17" s="3">
        <v>0.0023999999999999998</v>
      </c>
      <c r="D17" s="3">
        <v>0.0016000000000000001</v>
      </c>
      <c r="E17" s="3">
        <v>43.191499999999998</v>
      </c>
      <c r="F17" s="3">
        <v>43.207500000000003</v>
      </c>
      <c r="G17" s="3">
        <v>43.175400000000003</v>
      </c>
      <c r="H17" s="3">
        <v>0.016046000000000001</v>
      </c>
      <c r="I17" s="3">
        <f t="shared" si="0"/>
        <v>1.8299999999999983E-2</v>
      </c>
      <c r="J17" s="3">
        <f t="shared" si="1"/>
        <v>-1.8299999999999983E-2</v>
      </c>
    </row>
    <row r="18" x14ac:dyDescent="0.25">
      <c r="A18" s="1" t="s">
        <v>284</v>
      </c>
      <c r="B18" s="3">
        <v>0.016</v>
      </c>
      <c r="C18" s="3">
        <v>0.019199999999999998</v>
      </c>
      <c r="D18" s="3">
        <v>0.012800000000000001</v>
      </c>
      <c r="E18" s="3">
        <v>43.191499999999998</v>
      </c>
      <c r="F18" s="3">
        <v>43.280200000000001</v>
      </c>
      <c r="G18" s="3">
        <v>43.102699999999999</v>
      </c>
      <c r="H18" s="3">
        <v>0.088725999999999999</v>
      </c>
      <c r="I18" s="3">
        <f t="shared" si="0"/>
        <v>2.1799999999998931E-2</v>
      </c>
      <c r="J18" s="3">
        <f t="shared" si="1"/>
        <v>1.9999999999988916E-3</v>
      </c>
    </row>
    <row r="19" x14ac:dyDescent="0.25">
      <c r="A19" s="1" t="s">
        <v>285</v>
      </c>
      <c r="B19" s="3">
        <v>5</v>
      </c>
      <c r="C19" s="3">
        <v>6</v>
      </c>
      <c r="D19" s="3">
        <v>4</v>
      </c>
      <c r="E19" s="3">
        <v>43.191499999999998</v>
      </c>
      <c r="F19" s="3">
        <v>43.255400000000002</v>
      </c>
      <c r="G19" s="3">
        <v>43.326500000000003</v>
      </c>
      <c r="H19" s="3">
        <v>0.13503000000000001</v>
      </c>
      <c r="I19" s="3">
        <f t="shared" si="0"/>
        <v>-3.3799999999999386E-2</v>
      </c>
      <c r="J19" s="3">
        <f t="shared" si="1"/>
        <v>3.2399999999999096E-2</v>
      </c>
    </row>
    <row r="20" x14ac:dyDescent="0.25">
      <c r="A20" s="1" t="s">
        <v>286</v>
      </c>
      <c r="B20" s="3">
        <v>0.050000000000000003</v>
      </c>
      <c r="C20" s="3">
        <v>0.059999999999999998</v>
      </c>
      <c r="D20" s="3">
        <v>0.040000000000000001</v>
      </c>
      <c r="E20" s="3">
        <v>43.191499999999998</v>
      </c>
      <c r="F20" s="3">
        <v>43.056899999999999</v>
      </c>
      <c r="G20" s="3">
        <v>43.326799999999999</v>
      </c>
      <c r="H20" s="3">
        <v>0.13538</v>
      </c>
      <c r="I20" s="3">
        <f t="shared" si="0"/>
        <v>-2.9400000000002535E-2</v>
      </c>
      <c r="J20" s="3">
        <f t="shared" si="1"/>
        <v>-7.8500000000001791E-2</v>
      </c>
    </row>
    <row r="21" x14ac:dyDescent="0.25">
      <c r="A21" s="1" t="s">
        <v>287</v>
      </c>
      <c r="B21" s="3">
        <v>100</v>
      </c>
      <c r="C21" s="3">
        <v>120</v>
      </c>
      <c r="D21" s="3">
        <v>80</v>
      </c>
      <c r="E21" s="3">
        <v>43.191499999999998</v>
      </c>
      <c r="F21" s="3">
        <v>43.241900000000001</v>
      </c>
      <c r="G21" s="3">
        <v>43.398400000000002</v>
      </c>
      <c r="H21" s="3">
        <v>0.20698</v>
      </c>
      <c r="I21" s="3">
        <f t="shared" si="0"/>
        <v>0.1034000000000006</v>
      </c>
      <c r="J21" s="3">
        <f t="shared" si="1"/>
        <v>-0.10330000000000084</v>
      </c>
    </row>
    <row r="22" x14ac:dyDescent="0.25">
      <c r="A22" s="1" t="s">
        <v>288</v>
      </c>
      <c r="B22" s="3">
        <v>0.90000000000000002</v>
      </c>
      <c r="C22" s="3">
        <v>1</v>
      </c>
      <c r="D22" s="3">
        <v>0.71999999999999997</v>
      </c>
      <c r="E22" s="3">
        <v>43.191499999999998</v>
      </c>
      <c r="F22" s="3">
        <v>43.062100000000001</v>
      </c>
      <c r="G22" s="3">
        <v>43.424300000000002</v>
      </c>
      <c r="H22" s="3">
        <v>0.23280999999999999</v>
      </c>
      <c r="I22" s="3">
        <f t="shared" si="0"/>
        <v>-0.14730000000000132</v>
      </c>
      <c r="J22" s="3">
        <f t="shared" si="1"/>
        <v>0.2652000000000001</v>
      </c>
    </row>
    <row r="23" x14ac:dyDescent="0.25">
      <c r="A23" s="1" t="s">
        <v>289</v>
      </c>
      <c r="B23" s="3">
        <v>600</v>
      </c>
      <c r="C23" s="3">
        <v>720</v>
      </c>
      <c r="D23" s="3">
        <v>480</v>
      </c>
      <c r="E23" s="3">
        <v>43.191499999999998</v>
      </c>
      <c r="F23" s="3">
        <v>43.224499999999999</v>
      </c>
      <c r="G23" s="3">
        <v>43.616700000000002</v>
      </c>
      <c r="H23" s="3">
        <v>0.42523</v>
      </c>
      <c r="I23" s="3">
        <f t="shared" si="0"/>
        <v>-0.26650000000000063</v>
      </c>
      <c r="J23" s="3">
        <f t="shared" si="1"/>
        <v>0.53780000000000072</v>
      </c>
    </row>
    <row r="24" x14ac:dyDescent="0.25">
      <c r="A24" s="1" t="s">
        <v>290</v>
      </c>
      <c r="B24" s="3">
        <v>0.90000000000000002</v>
      </c>
      <c r="C24" s="3">
        <v>1</v>
      </c>
      <c r="D24" s="3">
        <v>0.71999999999999997</v>
      </c>
      <c r="E24" s="3">
        <v>43.191499999999998</v>
      </c>
      <c r="F24" s="3">
        <v>42.9238</v>
      </c>
      <c r="G24" s="3">
        <v>43.860500000000002</v>
      </c>
      <c r="H24" s="3">
        <v>0.66905000000000003</v>
      </c>
      <c r="I24" s="3">
        <f t="shared" si="0"/>
        <v>-0.13560000000000016</v>
      </c>
      <c r="J24" s="3">
        <f t="shared" si="1"/>
        <v>0.67839999999999989</v>
      </c>
    </row>
    <row r="25" x14ac:dyDescent="0.25">
      <c r="A25" s="1" t="s">
        <v>291</v>
      </c>
      <c r="B25" s="3">
        <v>0.90000000000000002</v>
      </c>
      <c r="C25" s="3">
        <v>1</v>
      </c>
      <c r="D25" s="3">
        <v>0.71999999999999997</v>
      </c>
      <c r="E25" s="3">
        <v>43.191499999999998</v>
      </c>
      <c r="F25" s="3">
        <v>42.796900000000001</v>
      </c>
      <c r="G25" s="3">
        <v>43.901600000000002</v>
      </c>
      <c r="H25" s="3">
        <v>0.71013999999999999</v>
      </c>
      <c r="I25" s="3">
        <f t="shared" si="0"/>
        <v>-0.46080000000000254</v>
      </c>
      <c r="J25" s="3">
        <f t="shared" si="1"/>
        <v>0.82939999999999969</v>
      </c>
    </row>
    <row r="26" x14ac:dyDescent="0.25">
      <c r="A26" s="1" t="s">
        <v>292</v>
      </c>
      <c r="B26" s="3">
        <v>330</v>
      </c>
      <c r="C26" s="3">
        <v>365</v>
      </c>
      <c r="D26" s="3">
        <v>264</v>
      </c>
      <c r="E26" s="3">
        <v>43.191499999999998</v>
      </c>
      <c r="F26" s="3">
        <v>41.354100000000003</v>
      </c>
      <c r="G26" s="3">
        <v>47.9818</v>
      </c>
      <c r="H26" s="3">
        <v>4.7904</v>
      </c>
      <c r="I26" s="3">
        <f t="shared" si="0"/>
        <v>-1.8410000000000011</v>
      </c>
      <c r="J26" s="3">
        <f t="shared" si="1"/>
        <v>4.7998999999999974</v>
      </c>
    </row>
    <row r="27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1088-8B56-4370-8F7D-6D15D1C4380D}">
  <sheetPr codeName="Sheet5"/>
  <dimension ref="A1:J35"/>
  <sheetViews>
    <sheetView workbookViewId="0">
      <selection activeCell="V16" sqref="V16"/>
    </sheetView>
  </sheetViews>
  <sheetFormatPr defaultRowHeight="15" x14ac:dyDescent="0.25"/>
  <cols>
    <col min="1" max="1" width="20.28515625" bestFit="true" customWidth="true"/>
    <col min="2" max="2" width="8.7109375" bestFit="true" customWidth="true"/>
    <col min="3" max="3" width="9.85546875" bestFit="true" customWidth="true"/>
    <col min="4" max="4" width="10.7109375" bestFit="true" customWidth="true"/>
    <col min="5" max="5" width="8.7109375" bestFit="true" customWidth="true"/>
    <col min="6" max="6" width="8.140625" bestFit="true" customWidth="true"/>
    <col min="7" max="7" width="9" bestFit="true" customWidth="true"/>
    <col min="8" max="8" width="9.85546875" bestFit="true" customWidth="true"/>
    <col min="9" max="9" width="20.140625" bestFit="true" customWidth="true"/>
    <col min="10" max="10" width="21" bestFit="true" customWidth="true"/>
  </cols>
  <sheetData>
    <row r="1" x14ac:dyDescent="0.25">
      <c r="B1" s="2" t="s">
        <v>0</v>
      </c>
      <c r="C1" s="2" t="s">
        <v>1</v>
      </c>
      <c r="D1" s="2" t="s">
        <v>2</v>
      </c>
      <c r="E1" s="2" t="s">
        <v>13</v>
      </c>
      <c r="F1" s="2" t="s">
        <v>14</v>
      </c>
      <c r="G1" s="2" t="s">
        <v>15</v>
      </c>
      <c r="H1" s="2" t="s">
        <v>7</v>
      </c>
      <c r="I1" s="2" t="s">
        <v>16</v>
      </c>
      <c r="J1" s="2" t="s">
        <v>17</v>
      </c>
    </row>
    <row r="2" x14ac:dyDescent="0.25">
      <c r="A2" s="1" t="s">
        <v>293</v>
      </c>
      <c r="B2" s="3">
        <v>4000</v>
      </c>
      <c r="C2" s="3">
        <v>4800</v>
      </c>
      <c r="D2" s="3">
        <v>3200</v>
      </c>
      <c r="E2" s="3">
        <v>13.140000000000001</v>
      </c>
      <c r="F2" s="3">
        <v>13.140000000000001</v>
      </c>
      <c r="G2" s="3">
        <v>13.140000000000001</v>
      </c>
      <c r="H2" s="3">
        <v>0</v>
      </c>
      <c r="I2" s="3">
        <f>F2-E2</f>
        <v>0</v>
      </c>
      <c r="J2" s="3">
        <f>G2-E2</f>
        <v>0</v>
      </c>
    </row>
    <row r="3" x14ac:dyDescent="0.25">
      <c r="A3" s="1" t="s">
        <v>294</v>
      </c>
      <c r="B3" s="3">
        <v>0.90000000000000002</v>
      </c>
      <c r="C3" s="3">
        <v>1</v>
      </c>
      <c r="D3" s="3">
        <v>0.71999999999999997</v>
      </c>
      <c r="E3" s="3">
        <v>13.140000000000001</v>
      </c>
      <c r="F3" s="3">
        <v>13.140000000000001</v>
      </c>
      <c r="G3" s="3">
        <v>13.140000000000001</v>
      </c>
      <c r="H3" s="3">
        <v>0</v>
      </c>
      <c r="I3" s="3">
        <f t="shared" ref="I3:I26" si="0">F3-E3</f>
        <v>0</v>
      </c>
      <c r="J3" s="3">
        <f t="shared" ref="J3:J26" si="1">G3-E3</f>
        <v>0</v>
      </c>
    </row>
    <row r="4" x14ac:dyDescent="0.25">
      <c r="A4" s="1" t="s">
        <v>295</v>
      </c>
      <c r="B4" s="3">
        <v>0.10000000000000001</v>
      </c>
      <c r="C4" s="3">
        <v>0.12</v>
      </c>
      <c r="D4" s="3">
        <v>0.080000000000000002</v>
      </c>
      <c r="E4" s="3">
        <v>13.140000000000001</v>
      </c>
      <c r="F4" s="3">
        <v>13.140000000000001</v>
      </c>
      <c r="G4" s="3">
        <v>13.140000000000001</v>
      </c>
      <c r="H4" s="3">
        <v>0</v>
      </c>
      <c r="I4" s="3">
        <f t="shared" si="0"/>
        <v>0</v>
      </c>
      <c r="J4" s="3">
        <f t="shared" si="1"/>
        <v>0</v>
      </c>
    </row>
    <row r="5" x14ac:dyDescent="0.25">
      <c r="A5" s="1" t="s">
        <v>296</v>
      </c>
      <c r="B5" s="3">
        <v>0.070000000000000007</v>
      </c>
      <c r="C5" s="3">
        <v>0.084000000000000005</v>
      </c>
      <c r="D5" s="3">
        <v>0.056000000000000001</v>
      </c>
      <c r="E5" s="3">
        <v>13.140000000000001</v>
      </c>
      <c r="F5" s="3">
        <v>13.140000000000001</v>
      </c>
      <c r="G5" s="3">
        <v>13.140000000000001</v>
      </c>
      <c r="H5" s="3">
        <v>0</v>
      </c>
      <c r="I5" s="3">
        <f t="shared" si="0"/>
        <v>0</v>
      </c>
      <c r="J5" s="3">
        <f t="shared" si="1"/>
        <v>0</v>
      </c>
    </row>
    <row r="6" x14ac:dyDescent="0.25">
      <c r="A6" s="1" t="s">
        <v>297</v>
      </c>
      <c r="B6" s="3">
        <v>0.80000000000000004</v>
      </c>
      <c r="C6" s="3">
        <v>0.95999999999999996</v>
      </c>
      <c r="D6" s="3">
        <v>0.64000000000000001</v>
      </c>
      <c r="E6" s="3">
        <v>13.140000000000001</v>
      </c>
      <c r="F6" s="3">
        <v>13.140000000000001</v>
      </c>
      <c r="G6" s="3">
        <v>13.140000000000001</v>
      </c>
      <c r="H6" s="3">
        <v>0</v>
      </c>
      <c r="I6" s="3">
        <f t="shared" si="0"/>
        <v>0</v>
      </c>
      <c r="J6" s="3">
        <f t="shared" si="1"/>
        <v>0</v>
      </c>
    </row>
    <row r="7" x14ac:dyDescent="0.25">
      <c r="A7" s="1" t="s">
        <v>298</v>
      </c>
      <c r="B7" s="3">
        <v>0.66000000000000003</v>
      </c>
      <c r="C7" s="3">
        <v>0.79200000000000004</v>
      </c>
      <c r="D7" s="3">
        <v>0.52800000000000002</v>
      </c>
      <c r="E7" s="3">
        <v>13.140000000000001</v>
      </c>
      <c r="F7" s="3">
        <v>13.140000000000001</v>
      </c>
      <c r="G7" s="3">
        <v>13.140000000000001</v>
      </c>
      <c r="H7" s="3">
        <v>0</v>
      </c>
      <c r="I7" s="3">
        <f t="shared" si="0"/>
        <v>0</v>
      </c>
      <c r="J7" s="3">
        <f t="shared" si="1"/>
        <v>0</v>
      </c>
    </row>
    <row r="8" x14ac:dyDescent="0.25">
      <c r="A8" s="1" t="s">
        <v>299</v>
      </c>
      <c r="B8" s="3">
        <v>50</v>
      </c>
      <c r="C8" s="3">
        <v>60</v>
      </c>
      <c r="D8" s="3">
        <v>40</v>
      </c>
      <c r="E8" s="3">
        <v>13.140000000000001</v>
      </c>
      <c r="F8" s="3">
        <v>13.140000000000001</v>
      </c>
      <c r="G8" s="3">
        <v>13.140000000000001</v>
      </c>
      <c r="H8" s="3">
        <v>0</v>
      </c>
      <c r="I8" s="3">
        <f t="shared" si="0"/>
        <v>0</v>
      </c>
      <c r="J8" s="3">
        <f t="shared" si="1"/>
        <v>0</v>
      </c>
    </row>
    <row r="9" x14ac:dyDescent="0.25">
      <c r="A9" s="1" t="s">
        <v>300</v>
      </c>
      <c r="B9" s="3">
        <v>0.21540000000000001</v>
      </c>
      <c r="C9" s="3">
        <v>0.25847999999999999</v>
      </c>
      <c r="D9" s="3">
        <v>0.17232</v>
      </c>
      <c r="E9" s="3">
        <v>13.140000000000001</v>
      </c>
      <c r="F9" s="3">
        <v>13.140000000000001</v>
      </c>
      <c r="G9" s="3">
        <v>13.140000000000001</v>
      </c>
      <c r="H9" s="3">
        <v>0</v>
      </c>
      <c r="I9" s="3">
        <f t="shared" si="0"/>
        <v>0</v>
      </c>
      <c r="J9" s="3">
        <f t="shared" si="1"/>
        <v>0</v>
      </c>
    </row>
    <row r="10" x14ac:dyDescent="0.25">
      <c r="A10" s="1" t="s">
        <v>301</v>
      </c>
      <c r="B10" s="3">
        <v>1.47</v>
      </c>
      <c r="C10" s="3">
        <v>1.764</v>
      </c>
      <c r="D10" s="3">
        <v>1.1759999999999999</v>
      </c>
      <c r="E10" s="3">
        <v>13.140000000000001</v>
      </c>
      <c r="F10" s="3">
        <v>13.140000000000001</v>
      </c>
      <c r="G10" s="3">
        <v>13.140000000000001</v>
      </c>
      <c r="H10" s="3">
        <v>0</v>
      </c>
      <c r="I10" s="3">
        <f t="shared" si="0"/>
        <v>0</v>
      </c>
      <c r="J10" s="3">
        <f t="shared" si="1"/>
        <v>0</v>
      </c>
    </row>
    <row r="11" x14ac:dyDescent="0.25">
      <c r="A11" s="1" t="s">
        <v>302</v>
      </c>
      <c r="B11" s="3">
        <v>0.000204</v>
      </c>
      <c r="C11" s="3">
        <v>0.00024479999999999999</v>
      </c>
      <c r="D11" s="3">
        <v>0.00016320000000000001</v>
      </c>
      <c r="E11" s="3">
        <v>13.140000000000001</v>
      </c>
      <c r="F11" s="3">
        <v>13.140000000000001</v>
      </c>
      <c r="G11" s="3">
        <v>13.140000000000001</v>
      </c>
      <c r="H11" s="3">
        <v>0</v>
      </c>
      <c r="I11" s="3">
        <f t="shared" si="0"/>
        <v>0</v>
      </c>
      <c r="J11" s="3">
        <f t="shared" si="1"/>
        <v>0</v>
      </c>
    </row>
    <row r="12" x14ac:dyDescent="0.25">
      <c r="A12" s="1" t="s">
        <v>303</v>
      </c>
      <c r="B12" s="3">
        <v>0.80000000000000004</v>
      </c>
      <c r="C12" s="3">
        <v>0.95999999999999996</v>
      </c>
      <c r="D12" s="3">
        <v>0.64000000000000001</v>
      </c>
      <c r="E12" s="3">
        <v>13.140000000000001</v>
      </c>
      <c r="F12" s="3">
        <v>13.140000000000001</v>
      </c>
      <c r="G12" s="3">
        <v>13.140000000000001</v>
      </c>
      <c r="H12" s="3">
        <v>0</v>
      </c>
      <c r="I12" s="3">
        <f t="shared" si="0"/>
        <v>0</v>
      </c>
      <c r="J12" s="3">
        <f t="shared" si="1"/>
        <v>0</v>
      </c>
    </row>
    <row r="13" x14ac:dyDescent="0.25">
      <c r="A13" s="1" t="s">
        <v>304</v>
      </c>
      <c r="B13" s="3">
        <v>0.66000000000000003</v>
      </c>
      <c r="C13" s="3">
        <v>0.79200000000000004</v>
      </c>
      <c r="D13" s="3">
        <v>0.52800000000000002</v>
      </c>
      <c r="E13" s="3">
        <v>13.140000000000001</v>
      </c>
      <c r="F13" s="3">
        <v>13.140000000000001</v>
      </c>
      <c r="G13" s="3">
        <v>13.140000000000001</v>
      </c>
      <c r="H13" s="3">
        <v>0</v>
      </c>
      <c r="I13" s="3">
        <f t="shared" si="0"/>
        <v>0</v>
      </c>
      <c r="J13" s="3">
        <f t="shared" si="1"/>
        <v>0</v>
      </c>
    </row>
    <row r="14" x14ac:dyDescent="0.25">
      <c r="A14" s="1" t="s">
        <v>305</v>
      </c>
      <c r="B14" s="3">
        <v>0.10000000000000001</v>
      </c>
      <c r="C14" s="3">
        <v>0.12</v>
      </c>
      <c r="D14" s="3">
        <v>0.080000000000000002</v>
      </c>
      <c r="E14" s="3">
        <v>13.140000000000001</v>
      </c>
      <c r="F14" s="3">
        <v>13.140000000000001</v>
      </c>
      <c r="G14" s="3">
        <v>13.140000000000001</v>
      </c>
      <c r="H14" s="3">
        <v>0</v>
      </c>
      <c r="I14" s="3">
        <f t="shared" si="0"/>
        <v>0</v>
      </c>
      <c r="J14" s="3">
        <f t="shared" si="1"/>
        <v>0</v>
      </c>
    </row>
    <row r="15" x14ac:dyDescent="0.25">
      <c r="A15" s="1" t="s">
        <v>306</v>
      </c>
      <c r="B15" s="3">
        <v>250</v>
      </c>
      <c r="C15" s="3">
        <v>300</v>
      </c>
      <c r="D15" s="3">
        <v>200</v>
      </c>
      <c r="E15" s="3">
        <v>13.140000000000001</v>
      </c>
      <c r="F15" s="3">
        <v>13.140000000000001</v>
      </c>
      <c r="G15" s="3">
        <v>13.140000000000001</v>
      </c>
      <c r="H15" s="3">
        <v>3.1199e-06</v>
      </c>
      <c r="I15" s="3">
        <f t="shared" si="0"/>
        <v>0</v>
      </c>
      <c r="J15" s="3">
        <f t="shared" si="1"/>
        <v>0</v>
      </c>
    </row>
    <row r="16" x14ac:dyDescent="0.25">
      <c r="A16" s="1" t="s">
        <v>307</v>
      </c>
      <c r="B16" s="3">
        <v>0.69999999999999996</v>
      </c>
      <c r="C16" s="3">
        <v>0.83999999999999997</v>
      </c>
      <c r="D16" s="3">
        <v>0.56000000000000005</v>
      </c>
      <c r="E16" s="3">
        <v>13.140000000000001</v>
      </c>
      <c r="F16" s="3">
        <v>13.140000000000001</v>
      </c>
      <c r="G16" s="3">
        <v>13.140000000000001</v>
      </c>
      <c r="H16" s="3">
        <v>1.9425000000000001e-05</v>
      </c>
      <c r="I16" s="3">
        <f t="shared" si="0"/>
        <v>0</v>
      </c>
      <c r="J16" s="3">
        <f t="shared" si="1"/>
        <v>0</v>
      </c>
    </row>
    <row r="17" x14ac:dyDescent="0.25">
      <c r="A17" s="1" t="s">
        <v>308</v>
      </c>
      <c r="B17" s="3">
        <v>0.016</v>
      </c>
      <c r="C17" s="3">
        <v>0.019199999999999998</v>
      </c>
      <c r="D17" s="3">
        <v>0.012800000000000001</v>
      </c>
      <c r="E17" s="3">
        <v>13.140000000000001</v>
      </c>
      <c r="F17" s="3">
        <v>13.1401</v>
      </c>
      <c r="G17" s="3">
        <v>13.139900000000001</v>
      </c>
      <c r="H17" s="3">
        <v>5.732e-05</v>
      </c>
      <c r="I17" s="3">
        <f t="shared" si="0"/>
        <v>9.9999999999766942E-5</v>
      </c>
      <c r="J17" s="3">
        <f t="shared" si="1"/>
        <v>0</v>
      </c>
    </row>
    <row r="18" x14ac:dyDescent="0.25">
      <c r="A18" s="1" t="s">
        <v>309</v>
      </c>
      <c r="B18" s="3">
        <v>0.90000000000000002</v>
      </c>
      <c r="C18" s="3">
        <v>1</v>
      </c>
      <c r="D18" s="3">
        <v>0.71999999999999997</v>
      </c>
      <c r="E18" s="3">
        <v>13.140000000000001</v>
      </c>
      <c r="F18" s="3">
        <v>13.139699999999999</v>
      </c>
      <c r="G18" s="3">
        <v>13.140499999999999</v>
      </c>
      <c r="H18" s="3">
        <v>0.00045877</v>
      </c>
      <c r="I18" s="3">
        <f t="shared" si="0"/>
        <v>-2.9999999999930083E-4</v>
      </c>
      <c r="J18" s="3">
        <f t="shared" si="1"/>
        <v>6.0000000000037801E-4</v>
      </c>
    </row>
    <row r="19" x14ac:dyDescent="0.25">
      <c r="A19" s="1" t="s">
        <v>310</v>
      </c>
      <c r="B19" s="3">
        <v>0.002</v>
      </c>
      <c r="C19" s="3">
        <v>0.0023999999999999998</v>
      </c>
      <c r="D19" s="3">
        <v>0.0016000000000000001</v>
      </c>
      <c r="E19" s="3">
        <v>13.140000000000001</v>
      </c>
      <c r="F19" s="3">
        <v>13.140599999999999</v>
      </c>
      <c r="G19" s="3">
        <v>13.1394</v>
      </c>
      <c r="H19" s="3">
        <v>0.00062193999999999997</v>
      </c>
      <c r="I19" s="3">
        <f t="shared" si="0"/>
        <v>7.0000000000014495E-4</v>
      </c>
      <c r="J19" s="3">
        <f t="shared" si="1"/>
        <v>-7.0000000000014495E-4</v>
      </c>
    </row>
    <row r="20" x14ac:dyDescent="0.25">
      <c r="A20" s="1" t="s">
        <v>311</v>
      </c>
      <c r="B20" s="3">
        <v>0.050000000000000003</v>
      </c>
      <c r="C20" s="3">
        <v>0.059999999999999998</v>
      </c>
      <c r="D20" s="3">
        <v>0.040000000000000001</v>
      </c>
      <c r="E20" s="3">
        <v>13.140000000000001</v>
      </c>
      <c r="F20" s="3">
        <v>13.1432</v>
      </c>
      <c r="G20" s="3">
        <v>13.136799999999999</v>
      </c>
      <c r="H20" s="3">
        <v>0.0031794000000000002</v>
      </c>
      <c r="I20" s="3">
        <f t="shared" si="0"/>
        <v>1.6999999999995907E-3</v>
      </c>
      <c r="J20" s="3">
        <f t="shared" si="1"/>
        <v>-1.6999999999995907E-3</v>
      </c>
    </row>
    <row r="21" x14ac:dyDescent="0.25">
      <c r="A21" s="1" t="s">
        <v>312</v>
      </c>
      <c r="B21" s="3">
        <v>0.90000000000000002</v>
      </c>
      <c r="C21" s="3">
        <v>1</v>
      </c>
      <c r="D21" s="3">
        <v>0.71999999999999997</v>
      </c>
      <c r="E21" s="3">
        <v>13.140000000000001</v>
      </c>
      <c r="F21" s="3">
        <v>13.138299999999999</v>
      </c>
      <c r="G21" s="3">
        <v>13.1442</v>
      </c>
      <c r="H21" s="3">
        <v>0.0042031000000000004</v>
      </c>
      <c r="I21" s="3">
        <f t="shared" si="0"/>
        <v>-1.200000000000756E-3</v>
      </c>
      <c r="J21" s="3">
        <f t="shared" si="1"/>
        <v>5.9000000000004604E-3</v>
      </c>
    </row>
    <row r="22" x14ac:dyDescent="0.25">
      <c r="A22" s="1" t="s">
        <v>313</v>
      </c>
      <c r="B22" s="3">
        <v>0.90000000000000002</v>
      </c>
      <c r="C22" s="3">
        <v>1</v>
      </c>
      <c r="D22" s="3">
        <v>0.71999999999999997</v>
      </c>
      <c r="E22" s="3">
        <v>13.140000000000001</v>
      </c>
      <c r="F22" s="3">
        <v>13.136900000000001</v>
      </c>
      <c r="G22" s="3">
        <v>13.1457</v>
      </c>
      <c r="H22" s="3">
        <v>0.0056544999999999998</v>
      </c>
      <c r="I22" s="3">
        <f t="shared" si="0"/>
        <v>-3.6000000000004917E-3</v>
      </c>
      <c r="J22" s="3">
        <f t="shared" si="1"/>
        <v>6.4999999999990621E-3</v>
      </c>
    </row>
    <row r="23" x14ac:dyDescent="0.25">
      <c r="A23" s="1" t="s">
        <v>314</v>
      </c>
      <c r="B23" s="3">
        <v>100</v>
      </c>
      <c r="C23" s="3">
        <v>120</v>
      </c>
      <c r="D23" s="3">
        <v>80</v>
      </c>
      <c r="E23" s="3">
        <v>13.140000000000001</v>
      </c>
      <c r="F23" s="3">
        <v>13.1639</v>
      </c>
      <c r="G23" s="3">
        <v>13.1226</v>
      </c>
      <c r="H23" s="3">
        <v>0.023871</v>
      </c>
      <c r="I23" s="3">
        <f t="shared" si="0"/>
        <v>2.1499999999999631E-2</v>
      </c>
      <c r="J23" s="3">
        <f t="shared" si="1"/>
        <v>1.1100000000000776E-2</v>
      </c>
    </row>
    <row r="24" x14ac:dyDescent="0.25">
      <c r="A24" s="1" t="s">
        <v>315</v>
      </c>
      <c r="B24" s="3">
        <v>5</v>
      </c>
      <c r="C24" s="3">
        <v>6</v>
      </c>
      <c r="D24" s="3">
        <v>4</v>
      </c>
      <c r="E24" s="3">
        <v>13.140000000000001</v>
      </c>
      <c r="F24" s="3">
        <v>13.200699999999999</v>
      </c>
      <c r="G24" s="3">
        <v>13.1083</v>
      </c>
      <c r="H24" s="3">
        <v>0.060699000000000003</v>
      </c>
      <c r="I24" s="3">
        <f t="shared" si="0"/>
        <v>2.1800000000000708E-2</v>
      </c>
      <c r="J24" s="3">
        <f t="shared" si="1"/>
        <v>-1.1000000000009891E-3</v>
      </c>
    </row>
    <row r="25" x14ac:dyDescent="0.25">
      <c r="A25" s="1" t="s">
        <v>316</v>
      </c>
      <c r="B25" s="3">
        <v>600</v>
      </c>
      <c r="C25" s="3">
        <v>720</v>
      </c>
      <c r="D25" s="3">
        <v>480</v>
      </c>
      <c r="E25" s="3">
        <v>13.140000000000001</v>
      </c>
      <c r="F25" s="3">
        <v>13.2577</v>
      </c>
      <c r="G25" s="3">
        <v>13.0238</v>
      </c>
      <c r="H25" s="3">
        <v>0.11769</v>
      </c>
      <c r="I25" s="3">
        <f t="shared" si="0"/>
        <v>4.1800000000000281E-2</v>
      </c>
      <c r="J25" s="3">
        <f t="shared" si="1"/>
        <v>-3.6599999999999966E-2</v>
      </c>
    </row>
    <row r="26" x14ac:dyDescent="0.25">
      <c r="A26" s="1" t="s">
        <v>317</v>
      </c>
      <c r="B26" s="3">
        <v>330</v>
      </c>
      <c r="C26" s="3">
        <v>365</v>
      </c>
      <c r="D26" s="3">
        <v>264</v>
      </c>
      <c r="E26" s="3">
        <v>13.140000000000001</v>
      </c>
      <c r="F26" s="3">
        <v>11.8863</v>
      </c>
      <c r="G26" s="3">
        <v>16.4085</v>
      </c>
      <c r="H26" s="3">
        <v>3.2685</v>
      </c>
      <c r="I26" s="3">
        <f t="shared" si="0"/>
        <v>-0.89589999999999925</v>
      </c>
      <c r="J26" s="3">
        <f t="shared" si="1"/>
        <v>2.3359000000000005</v>
      </c>
    </row>
    <row r="27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HTL_MBSP</vt:lpstr>
      <vt:lpstr>HTL_MFSP</vt:lpstr>
      <vt:lpstr>HTL_GWP</vt:lpstr>
      <vt:lpstr>HTL_BWF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Jonah Greene</dc:creator>
  <cp:lastModifiedBy>Jonah Greene</cp:lastModifiedBy>
  <dcterms:created xsi:type="dcterms:W3CDTF">2024-05-07T16:59:34Z</dcterms:created>
  <dcterms:modified xsi:type="dcterms:W3CDTF">2024-05-09T22:58:47Z</dcterms:modified>
</cp:coreProperties>
</file>