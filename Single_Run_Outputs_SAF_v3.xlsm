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onah_Work\ALGAE SOT PAPER\2024 Manuscript and Models\Final Models in Matlab\Final SAF Model\"/>
    </mc:Choice>
  </mc:AlternateContent>
  <xr:revisionPtr revIDLastSave="0" documentId="13_ncr:1_{774EAAC0-AB36-478E-A07A-87C336FCF6E5}" xr6:coauthVersionLast="47" xr6:coauthVersionMax="47" xr10:uidLastSave="{00000000-0000-0000-0000-000000000000}"/>
  <bookViews>
    <workbookView xWindow="-120" yWindow="-120" windowWidth="38640" windowHeight="15840" tabRatio="782" activeTab="7" xr2:uid="{00000000-000D-0000-FFFF-FFFF00000000}"/>
  </bookViews>
  <sheets>
    <sheet name="Model Inputs" sheetId="1" r:id="rId1"/>
    <sheet name="Process Model Outputs" sheetId="4" r:id="rId2"/>
    <sheet name="CAPEX &amp; OPEX" sheetId="2" r:id="rId3"/>
    <sheet name="DCFROR (MBSP)" sheetId="8" r:id="rId4"/>
    <sheet name="DCFROR (MLSP)" sheetId="9" r:id="rId5"/>
    <sheet name="DCFROR (MFSP)" sheetId="11" r:id="rId6"/>
    <sheet name="LCA Outputs" sheetId="3" r:id="rId7"/>
    <sheet name="Figures Only" sheetId="5" r:id="rId8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6" i="3" l="1"/>
  <c r="K126" i="3"/>
  <c r="J126" i="3"/>
  <c r="I126" i="3"/>
  <c r="H126" i="3"/>
  <c r="G126" i="3"/>
  <c r="F126" i="3"/>
  <c r="E126" i="3"/>
  <c r="D126" i="3"/>
  <c r="C126" i="3"/>
  <c r="L125" i="3"/>
  <c r="K125" i="3"/>
  <c r="J125" i="3"/>
  <c r="I125" i="3"/>
  <c r="H125" i="3"/>
  <c r="G125" i="3"/>
  <c r="F125" i="3"/>
  <c r="E125" i="3"/>
  <c r="D125" i="3"/>
  <c r="C125" i="3"/>
  <c r="L124" i="3"/>
  <c r="K124" i="3"/>
  <c r="J124" i="3"/>
  <c r="I124" i="3"/>
  <c r="H124" i="3"/>
  <c r="G124" i="3"/>
  <c r="F124" i="3"/>
  <c r="E124" i="3"/>
  <c r="D124" i="3"/>
  <c r="C124" i="3"/>
  <c r="L123" i="3"/>
  <c r="L127" i="3" s="1"/>
  <c r="K123" i="3"/>
  <c r="K127" i="3" s="1"/>
  <c r="J123" i="3"/>
  <c r="J127" i="3" s="1"/>
  <c r="I123" i="3"/>
  <c r="I127" i="3" s="1"/>
  <c r="H123" i="3"/>
  <c r="H127" i="3" s="1"/>
  <c r="G123" i="3"/>
  <c r="G127" i="3" s="1"/>
  <c r="F123" i="3"/>
  <c r="F127" i="3" s="1"/>
  <c r="E123" i="3"/>
  <c r="E127" i="3" s="1"/>
  <c r="D123" i="3"/>
  <c r="D127" i="3" s="1"/>
  <c r="C123" i="3"/>
  <c r="C127" i="3" s="1"/>
  <c r="L117" i="3"/>
  <c r="K117" i="3"/>
  <c r="J117" i="3"/>
  <c r="I117" i="3"/>
  <c r="H117" i="3"/>
  <c r="G117" i="3"/>
  <c r="F117" i="3"/>
  <c r="E117" i="3"/>
  <c r="D117" i="3"/>
  <c r="C117" i="3"/>
  <c r="L116" i="3"/>
  <c r="K116" i="3"/>
  <c r="J116" i="3"/>
  <c r="I116" i="3"/>
  <c r="H116" i="3"/>
  <c r="G116" i="3"/>
  <c r="F116" i="3"/>
  <c r="E116" i="3"/>
  <c r="D116" i="3"/>
  <c r="C116" i="3"/>
  <c r="L115" i="3"/>
  <c r="K115" i="3"/>
  <c r="J115" i="3"/>
  <c r="I115" i="3"/>
  <c r="H115" i="3"/>
  <c r="G115" i="3"/>
  <c r="F115" i="3"/>
  <c r="E115" i="3"/>
  <c r="D115" i="3"/>
  <c r="C115" i="3"/>
  <c r="L114" i="3"/>
  <c r="K114" i="3"/>
  <c r="J114" i="3"/>
  <c r="I114" i="3"/>
  <c r="H114" i="3"/>
  <c r="G114" i="3"/>
  <c r="F114" i="3"/>
  <c r="E114" i="3"/>
  <c r="D114" i="3"/>
  <c r="C114" i="3"/>
  <c r="L113" i="3"/>
  <c r="K113" i="3"/>
  <c r="J113" i="3"/>
  <c r="I113" i="3"/>
  <c r="H113" i="3"/>
  <c r="G113" i="3"/>
  <c r="F113" i="3"/>
  <c r="E113" i="3"/>
  <c r="D113" i="3"/>
  <c r="C113" i="3"/>
  <c r="L112" i="3"/>
  <c r="K112" i="3"/>
  <c r="J112" i="3"/>
  <c r="I112" i="3"/>
  <c r="H112" i="3"/>
  <c r="G112" i="3"/>
  <c r="F112" i="3"/>
  <c r="E112" i="3"/>
  <c r="D112" i="3"/>
  <c r="C112" i="3"/>
  <c r="L111" i="3"/>
  <c r="K111" i="3"/>
  <c r="J111" i="3"/>
  <c r="I111" i="3"/>
  <c r="H111" i="3"/>
  <c r="G111" i="3"/>
  <c r="F111" i="3"/>
  <c r="E111" i="3"/>
  <c r="D111" i="3"/>
  <c r="C111" i="3"/>
  <c r="L110" i="3"/>
  <c r="K110" i="3"/>
  <c r="J110" i="3"/>
  <c r="I110" i="3"/>
  <c r="H110" i="3"/>
  <c r="G110" i="3"/>
  <c r="F110" i="3"/>
  <c r="E110" i="3"/>
  <c r="D110" i="3"/>
  <c r="C110" i="3"/>
  <c r="L109" i="3"/>
  <c r="K109" i="3"/>
  <c r="J109" i="3"/>
  <c r="I109" i="3"/>
  <c r="H109" i="3"/>
  <c r="G109" i="3"/>
  <c r="F109" i="3"/>
  <c r="E109" i="3"/>
  <c r="D109" i="3"/>
  <c r="C109" i="3"/>
  <c r="L108" i="3"/>
  <c r="K108" i="3"/>
  <c r="J108" i="3"/>
  <c r="I108" i="3"/>
  <c r="H108" i="3"/>
  <c r="G108" i="3"/>
  <c r="F108" i="3"/>
  <c r="E108" i="3"/>
  <c r="D108" i="3"/>
  <c r="C108" i="3"/>
  <c r="L107" i="3"/>
  <c r="K107" i="3"/>
  <c r="J107" i="3"/>
  <c r="I107" i="3"/>
  <c r="H107" i="3"/>
  <c r="G107" i="3"/>
  <c r="F107" i="3"/>
  <c r="E107" i="3"/>
  <c r="D107" i="3"/>
  <c r="C107" i="3"/>
  <c r="L106" i="3"/>
  <c r="K106" i="3"/>
  <c r="J106" i="3"/>
  <c r="J118" i="3" s="1"/>
  <c r="I106" i="3"/>
  <c r="H106" i="3"/>
  <c r="G106" i="3"/>
  <c r="F106" i="3"/>
  <c r="E106" i="3"/>
  <c r="E118" i="3" s="1"/>
  <c r="D106" i="3"/>
  <c r="C106" i="3"/>
  <c r="L105" i="3"/>
  <c r="L118" i="3" s="1"/>
  <c r="K105" i="3"/>
  <c r="J105" i="3"/>
  <c r="I105" i="3"/>
  <c r="H105" i="3"/>
  <c r="G105" i="3"/>
  <c r="F105" i="3"/>
  <c r="E105" i="3"/>
  <c r="D105" i="3"/>
  <c r="D118" i="3" s="1"/>
  <c r="C105" i="3"/>
  <c r="L104" i="3"/>
  <c r="K104" i="3"/>
  <c r="K118" i="3" s="1"/>
  <c r="J104" i="3"/>
  <c r="I104" i="3"/>
  <c r="I118" i="3" s="1"/>
  <c r="H104" i="3"/>
  <c r="H118" i="3" s="1"/>
  <c r="G104" i="3"/>
  <c r="G118" i="3" s="1"/>
  <c r="F104" i="3"/>
  <c r="F118" i="3" s="1"/>
  <c r="E104" i="3"/>
  <c r="D104" i="3"/>
  <c r="C104" i="3"/>
  <c r="C118" i="3" s="1"/>
  <c r="I96" i="3"/>
  <c r="F96" i="3"/>
  <c r="C96" i="3"/>
  <c r="K95" i="3"/>
  <c r="H95" i="3"/>
  <c r="C95" i="3"/>
  <c r="J94" i="3"/>
  <c r="G94" i="3"/>
  <c r="G97" i="3" s="1"/>
  <c r="E94" i="3"/>
  <c r="L92" i="3"/>
  <c r="I92" i="3"/>
  <c r="D92" i="3"/>
  <c r="L91" i="3"/>
  <c r="K91" i="3"/>
  <c r="J91" i="3"/>
  <c r="I91" i="3"/>
  <c r="H91" i="3"/>
  <c r="G91" i="3"/>
  <c r="F91" i="3"/>
  <c r="E91" i="3"/>
  <c r="D91" i="3"/>
  <c r="C91" i="3"/>
  <c r="L90" i="3"/>
  <c r="K90" i="3"/>
  <c r="J90" i="3"/>
  <c r="I90" i="3"/>
  <c r="H90" i="3"/>
  <c r="G90" i="3"/>
  <c r="F90" i="3"/>
  <c r="E90" i="3"/>
  <c r="D90" i="3"/>
  <c r="C90" i="3"/>
  <c r="L89" i="3"/>
  <c r="K89" i="3"/>
  <c r="J89" i="3"/>
  <c r="I89" i="3"/>
  <c r="H89" i="3"/>
  <c r="G89" i="3"/>
  <c r="F89" i="3"/>
  <c r="E89" i="3"/>
  <c r="D89" i="3"/>
  <c r="C89" i="3"/>
  <c r="L88" i="3"/>
  <c r="K88" i="3"/>
  <c r="J88" i="3"/>
  <c r="I88" i="3"/>
  <c r="H88" i="3"/>
  <c r="G88" i="3"/>
  <c r="F88" i="3"/>
  <c r="E88" i="3"/>
  <c r="D88" i="3"/>
  <c r="C88" i="3"/>
  <c r="L87" i="3"/>
  <c r="K87" i="3"/>
  <c r="J87" i="3"/>
  <c r="I87" i="3"/>
  <c r="H87" i="3"/>
  <c r="G87" i="3"/>
  <c r="F87" i="3"/>
  <c r="E87" i="3"/>
  <c r="D87" i="3"/>
  <c r="C87" i="3"/>
  <c r="L86" i="3"/>
  <c r="K86" i="3"/>
  <c r="J86" i="3"/>
  <c r="I86" i="3"/>
  <c r="H86" i="3"/>
  <c r="G86" i="3"/>
  <c r="F86" i="3"/>
  <c r="E86" i="3"/>
  <c r="D86" i="3"/>
  <c r="C86" i="3"/>
  <c r="L85" i="3"/>
  <c r="K85" i="3"/>
  <c r="J85" i="3"/>
  <c r="J92" i="3" s="1"/>
  <c r="I85" i="3"/>
  <c r="H85" i="3"/>
  <c r="H92" i="3" s="1"/>
  <c r="G85" i="3"/>
  <c r="F85" i="3"/>
  <c r="F92" i="3" s="1"/>
  <c r="E85" i="3"/>
  <c r="E92" i="3" s="1"/>
  <c r="D85" i="3"/>
  <c r="C85" i="3"/>
  <c r="D83" i="3"/>
  <c r="L82" i="3"/>
  <c r="K82" i="3"/>
  <c r="J82" i="3"/>
  <c r="I82" i="3"/>
  <c r="H82" i="3"/>
  <c r="G82" i="3"/>
  <c r="F82" i="3"/>
  <c r="E82" i="3"/>
  <c r="D82" i="3"/>
  <c r="C82" i="3"/>
  <c r="L81" i="3"/>
  <c r="K81" i="3"/>
  <c r="J81" i="3"/>
  <c r="I81" i="3"/>
  <c r="H81" i="3"/>
  <c r="G81" i="3"/>
  <c r="F81" i="3"/>
  <c r="E81" i="3"/>
  <c r="D81" i="3"/>
  <c r="C81" i="3"/>
  <c r="L80" i="3"/>
  <c r="K80" i="3"/>
  <c r="J80" i="3"/>
  <c r="I80" i="3"/>
  <c r="H80" i="3"/>
  <c r="G80" i="3"/>
  <c r="F80" i="3"/>
  <c r="E80" i="3"/>
  <c r="D80" i="3"/>
  <c r="C80" i="3"/>
  <c r="L79" i="3"/>
  <c r="L83" i="3" s="1"/>
  <c r="K79" i="3"/>
  <c r="J79" i="3"/>
  <c r="I79" i="3"/>
  <c r="H79" i="3"/>
  <c r="G79" i="3"/>
  <c r="F79" i="3"/>
  <c r="E79" i="3"/>
  <c r="D79" i="3"/>
  <c r="C79" i="3"/>
  <c r="L78" i="3"/>
  <c r="K78" i="3"/>
  <c r="J78" i="3"/>
  <c r="I78" i="3"/>
  <c r="H78" i="3"/>
  <c r="G78" i="3"/>
  <c r="F78" i="3"/>
  <c r="E78" i="3"/>
  <c r="D78" i="3"/>
  <c r="C78" i="3"/>
  <c r="L77" i="3"/>
  <c r="K77" i="3"/>
  <c r="J77" i="3"/>
  <c r="I77" i="3"/>
  <c r="H77" i="3"/>
  <c r="G77" i="3"/>
  <c r="F77" i="3"/>
  <c r="E77" i="3"/>
  <c r="D77" i="3"/>
  <c r="C77" i="3"/>
  <c r="L76" i="3"/>
  <c r="K76" i="3"/>
  <c r="J76" i="3"/>
  <c r="J83" i="3" s="1"/>
  <c r="I76" i="3"/>
  <c r="H76" i="3"/>
  <c r="H83" i="3" s="1"/>
  <c r="G76" i="3"/>
  <c r="G83" i="3" s="1"/>
  <c r="F76" i="3"/>
  <c r="F83" i="3" s="1"/>
  <c r="E76" i="3"/>
  <c r="D76" i="3"/>
  <c r="C76" i="3"/>
  <c r="L74" i="3"/>
  <c r="K74" i="3"/>
  <c r="J74" i="3"/>
  <c r="I74" i="3"/>
  <c r="H74" i="3"/>
  <c r="G74" i="3"/>
  <c r="F74" i="3"/>
  <c r="E74" i="3"/>
  <c r="D74" i="3"/>
  <c r="C74" i="3"/>
  <c r="K48" i="3"/>
  <c r="I48" i="3"/>
  <c r="L47" i="3"/>
  <c r="K47" i="3"/>
  <c r="J47" i="3"/>
  <c r="I47" i="3"/>
  <c r="H47" i="3"/>
  <c r="G47" i="3"/>
  <c r="F47" i="3"/>
  <c r="E47" i="3"/>
  <c r="D47" i="3"/>
  <c r="C47" i="3"/>
  <c r="L46" i="3"/>
  <c r="K46" i="3"/>
  <c r="J46" i="3"/>
  <c r="I46" i="3"/>
  <c r="H46" i="3"/>
  <c r="G46" i="3"/>
  <c r="F46" i="3"/>
  <c r="E46" i="3"/>
  <c r="D46" i="3"/>
  <c r="C46" i="3"/>
  <c r="L45" i="3"/>
  <c r="K45" i="3"/>
  <c r="J45" i="3"/>
  <c r="I45" i="3"/>
  <c r="H45" i="3"/>
  <c r="G45" i="3"/>
  <c r="F45" i="3"/>
  <c r="E45" i="3"/>
  <c r="D45" i="3"/>
  <c r="C45" i="3"/>
  <c r="L44" i="3"/>
  <c r="K44" i="3"/>
  <c r="J44" i="3"/>
  <c r="I44" i="3"/>
  <c r="H44" i="3"/>
  <c r="G44" i="3"/>
  <c r="F44" i="3"/>
  <c r="F48" i="3" s="1"/>
  <c r="E44" i="3"/>
  <c r="D44" i="3"/>
  <c r="C44" i="3"/>
  <c r="C48" i="3" s="1"/>
  <c r="L43" i="3"/>
  <c r="L96" i="3" s="1"/>
  <c r="K43" i="3"/>
  <c r="K96" i="3" s="1"/>
  <c r="J43" i="3"/>
  <c r="J96" i="3" s="1"/>
  <c r="I43" i="3"/>
  <c r="H43" i="3"/>
  <c r="H96" i="3" s="1"/>
  <c r="G43" i="3"/>
  <c r="G96" i="3" s="1"/>
  <c r="F43" i="3"/>
  <c r="E43" i="3"/>
  <c r="E96" i="3" s="1"/>
  <c r="D43" i="3"/>
  <c r="D96" i="3" s="1"/>
  <c r="C43" i="3"/>
  <c r="L42" i="3"/>
  <c r="L95" i="3" s="1"/>
  <c r="K42" i="3"/>
  <c r="J42" i="3"/>
  <c r="J95" i="3" s="1"/>
  <c r="I42" i="3"/>
  <c r="I95" i="3" s="1"/>
  <c r="H42" i="3"/>
  <c r="G42" i="3"/>
  <c r="G95" i="3" s="1"/>
  <c r="F42" i="3"/>
  <c r="F95" i="3" s="1"/>
  <c r="E42" i="3"/>
  <c r="E95" i="3" s="1"/>
  <c r="D42" i="3"/>
  <c r="D95" i="3" s="1"/>
  <c r="C42" i="3"/>
  <c r="L41" i="3"/>
  <c r="K41" i="3"/>
  <c r="K94" i="3" s="1"/>
  <c r="J41" i="3"/>
  <c r="I41" i="3"/>
  <c r="I94" i="3" s="1"/>
  <c r="H41" i="3"/>
  <c r="H94" i="3" s="1"/>
  <c r="G41" i="3"/>
  <c r="F41" i="3"/>
  <c r="F94" i="3" s="1"/>
  <c r="F97" i="3" s="1"/>
  <c r="E41" i="3"/>
  <c r="E48" i="3" s="1"/>
  <c r="D41" i="3"/>
  <c r="C41" i="3"/>
  <c r="C94" i="3" s="1"/>
  <c r="L39" i="3"/>
  <c r="K39" i="3"/>
  <c r="J39" i="3"/>
  <c r="I39" i="3"/>
  <c r="H39" i="3"/>
  <c r="G39" i="3"/>
  <c r="F39" i="3"/>
  <c r="E39" i="3"/>
  <c r="D39" i="3"/>
  <c r="C39" i="3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2" i="11"/>
  <c r="B151" i="11"/>
  <c r="B150" i="11"/>
  <c r="B149" i="11"/>
  <c r="B148" i="11"/>
  <c r="B147" i="11"/>
  <c r="B146" i="11"/>
  <c r="B145" i="11"/>
  <c r="AK130" i="11"/>
  <c r="AJ130" i="11"/>
  <c r="AI130" i="11"/>
  <c r="AH130" i="11"/>
  <c r="AG130" i="11"/>
  <c r="AF130" i="11"/>
  <c r="AE130" i="11"/>
  <c r="AD130" i="11"/>
  <c r="AC130" i="11"/>
  <c r="AB130" i="11"/>
  <c r="AA130" i="11"/>
  <c r="Z130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E130" i="11"/>
  <c r="AG117" i="11"/>
  <c r="AG167" i="11" s="1"/>
  <c r="AF117" i="11"/>
  <c r="AF167" i="11" s="1"/>
  <c r="P117" i="11"/>
  <c r="P167" i="11" s="1"/>
  <c r="H117" i="11"/>
  <c r="H167" i="11" s="1"/>
  <c r="X113" i="11"/>
  <c r="X163" i="11" s="1"/>
  <c r="T111" i="11"/>
  <c r="T161" i="11" s="1"/>
  <c r="R110" i="11"/>
  <c r="R160" i="11" s="1"/>
  <c r="Q109" i="11"/>
  <c r="Q159" i="11" s="1"/>
  <c r="M107" i="11"/>
  <c r="M157" i="11" s="1"/>
  <c r="I105" i="11"/>
  <c r="I155" i="11" s="1"/>
  <c r="AK103" i="11"/>
  <c r="AK153" i="11" s="1"/>
  <c r="AJ103" i="11"/>
  <c r="AJ153" i="11" s="1"/>
  <c r="AI102" i="11"/>
  <c r="AI152" i="11" s="1"/>
  <c r="AG101" i="11"/>
  <c r="AG151" i="11" s="1"/>
  <c r="AF101" i="11"/>
  <c r="AF151" i="11" s="1"/>
  <c r="I101" i="11"/>
  <c r="I151" i="11" s="1"/>
  <c r="AB99" i="11"/>
  <c r="AB149" i="11" s="1"/>
  <c r="N98" i="11"/>
  <c r="N148" i="11" s="1"/>
  <c r="AE96" i="11"/>
  <c r="AE146" i="11" s="1"/>
  <c r="J96" i="11"/>
  <c r="J146" i="11" s="1"/>
  <c r="AK95" i="11"/>
  <c r="T95" i="11"/>
  <c r="P95" i="11"/>
  <c r="AJ90" i="11"/>
  <c r="AG90" i="11"/>
  <c r="P90" i="11"/>
  <c r="L90" i="11"/>
  <c r="W89" i="11"/>
  <c r="V89" i="11"/>
  <c r="AF88" i="11"/>
  <c r="AC88" i="11"/>
  <c r="L88" i="11"/>
  <c r="H88" i="11"/>
  <c r="S87" i="11"/>
  <c r="R87" i="11"/>
  <c r="AB86" i="11"/>
  <c r="AH85" i="11"/>
  <c r="O85" i="11"/>
  <c r="N85" i="11"/>
  <c r="X84" i="11"/>
  <c r="U84" i="11"/>
  <c r="AH83" i="11"/>
  <c r="AK76" i="11"/>
  <c r="AJ76" i="11"/>
  <c r="AI76" i="11"/>
  <c r="AH76" i="11"/>
  <c r="AG76" i="11"/>
  <c r="AF76" i="11"/>
  <c r="AE76" i="11"/>
  <c r="AD76" i="11"/>
  <c r="AC76" i="11"/>
  <c r="AB76" i="11"/>
  <c r="AA76" i="11"/>
  <c r="Z76" i="11"/>
  <c r="Y76" i="11"/>
  <c r="X76" i="11"/>
  <c r="W76" i="11"/>
  <c r="V76" i="11"/>
  <c r="U76" i="11"/>
  <c r="T76" i="11"/>
  <c r="S76" i="11"/>
  <c r="R76" i="11"/>
  <c r="D57" i="11"/>
  <c r="Y90" i="11" s="1"/>
  <c r="B57" i="11"/>
  <c r="D56" i="11"/>
  <c r="AD89" i="11" s="1"/>
  <c r="D55" i="11"/>
  <c r="B55" i="11"/>
  <c r="D54" i="11"/>
  <c r="B54" i="11"/>
  <c r="D53" i="11"/>
  <c r="B53" i="11"/>
  <c r="D52" i="11"/>
  <c r="V85" i="11" s="1"/>
  <c r="B52" i="11"/>
  <c r="D51" i="11"/>
  <c r="B51" i="11"/>
  <c r="D50" i="11"/>
  <c r="K83" i="11" s="1"/>
  <c r="B50" i="11"/>
  <c r="D27" i="11"/>
  <c r="D26" i="11"/>
  <c r="D25" i="11"/>
  <c r="D24" i="11"/>
  <c r="D23" i="11"/>
  <c r="D22" i="11"/>
  <c r="D21" i="11"/>
  <c r="D20" i="11"/>
  <c r="D19" i="11"/>
  <c r="D18" i="11"/>
  <c r="D17" i="11"/>
  <c r="L107" i="11" s="1"/>
  <c r="L157" i="11" s="1"/>
  <c r="D16" i="11"/>
  <c r="D15" i="11"/>
  <c r="D14" i="11"/>
  <c r="D13" i="11"/>
  <c r="T103" i="11" s="1"/>
  <c r="T153" i="11" s="1"/>
  <c r="D12" i="11"/>
  <c r="AH102" i="11" s="1"/>
  <c r="AH152" i="11" s="1"/>
  <c r="D11" i="11"/>
  <c r="D10" i="11"/>
  <c r="R100" i="11" s="1"/>
  <c r="R150" i="11" s="1"/>
  <c r="D9" i="11"/>
  <c r="D8" i="11"/>
  <c r="D7" i="11"/>
  <c r="X97" i="11" s="1"/>
  <c r="X147" i="11" s="1"/>
  <c r="D6" i="11"/>
  <c r="AD96" i="11" s="1"/>
  <c r="AD146" i="11" s="1"/>
  <c r="D5" i="11"/>
  <c r="U95" i="11" s="1"/>
  <c r="D4" i="11"/>
  <c r="E73" i="11" s="1"/>
  <c r="E169" i="11" s="1"/>
  <c r="D169" i="11" s="1"/>
  <c r="G16" i="11" s="1"/>
  <c r="G3" i="11"/>
  <c r="D3" i="11"/>
  <c r="G138" i="9"/>
  <c r="B137" i="9"/>
  <c r="U136" i="9"/>
  <c r="T136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AK123" i="9"/>
  <c r="R123" i="9"/>
  <c r="B123" i="9"/>
  <c r="B122" i="9"/>
  <c r="W121" i="9"/>
  <c r="B121" i="9"/>
  <c r="R120" i="9"/>
  <c r="AF119" i="9"/>
  <c r="AC117" i="9"/>
  <c r="AK110" i="9"/>
  <c r="AJ110" i="9"/>
  <c r="AI110" i="9"/>
  <c r="AH110" i="9"/>
  <c r="AG110" i="9"/>
  <c r="AF110" i="9"/>
  <c r="AE110" i="9"/>
  <c r="AD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Q116" i="9" s="1"/>
  <c r="P110" i="9"/>
  <c r="O110" i="9"/>
  <c r="N110" i="9"/>
  <c r="M110" i="9"/>
  <c r="L110" i="9"/>
  <c r="K110" i="9"/>
  <c r="J110" i="9"/>
  <c r="I110" i="9"/>
  <c r="H110" i="9"/>
  <c r="G110" i="9"/>
  <c r="F110" i="9"/>
  <c r="E110" i="9"/>
  <c r="AI102" i="9"/>
  <c r="AH102" i="9"/>
  <c r="AG102" i="9"/>
  <c r="S102" i="9"/>
  <c r="M102" i="9"/>
  <c r="J102" i="9"/>
  <c r="I102" i="9"/>
  <c r="R97" i="9"/>
  <c r="R137" i="9" s="1"/>
  <c r="AF96" i="9"/>
  <c r="AF136" i="9" s="1"/>
  <c r="AA96" i="9"/>
  <c r="AA136" i="9" s="1"/>
  <c r="W96" i="9"/>
  <c r="W136" i="9" s="1"/>
  <c r="U96" i="9"/>
  <c r="T96" i="9"/>
  <c r="AK95" i="9"/>
  <c r="AK135" i="9" s="1"/>
  <c r="K95" i="9"/>
  <c r="K135" i="9" s="1"/>
  <c r="AI94" i="9"/>
  <c r="AI134" i="9" s="1"/>
  <c r="AF94" i="9"/>
  <c r="AF134" i="9" s="1"/>
  <c r="AE94" i="9"/>
  <c r="AE134" i="9" s="1"/>
  <c r="AB94" i="9"/>
  <c r="AB134" i="9" s="1"/>
  <c r="P94" i="9"/>
  <c r="P134" i="9" s="1"/>
  <c r="I94" i="9"/>
  <c r="AK93" i="9"/>
  <c r="AK133" i="9" s="1"/>
  <c r="AH93" i="9"/>
  <c r="AH133" i="9" s="1"/>
  <c r="AG93" i="9"/>
  <c r="AG133" i="9" s="1"/>
  <c r="U93" i="9"/>
  <c r="U133" i="9" s="1"/>
  <c r="N93" i="9"/>
  <c r="N133" i="9" s="1"/>
  <c r="AK92" i="9"/>
  <c r="AK132" i="9" s="1"/>
  <c r="X92" i="9"/>
  <c r="X132" i="9" s="1"/>
  <c r="S92" i="9"/>
  <c r="S132" i="9" s="1"/>
  <c r="O92" i="9"/>
  <c r="O132" i="9" s="1"/>
  <c r="M92" i="9"/>
  <c r="M132" i="9" s="1"/>
  <c r="L92" i="9"/>
  <c r="L132" i="9" s="1"/>
  <c r="AG90" i="9"/>
  <c r="AG130" i="9" s="1"/>
  <c r="AA90" i="9"/>
  <c r="AA130" i="9" s="1"/>
  <c r="X90" i="9"/>
  <c r="X130" i="9" s="1"/>
  <c r="AC89" i="9"/>
  <c r="AC129" i="9" s="1"/>
  <c r="Z89" i="9"/>
  <c r="Z129" i="9" s="1"/>
  <c r="Y89" i="9"/>
  <c r="Y129" i="9" s="1"/>
  <c r="M89" i="9"/>
  <c r="M129" i="9" s="1"/>
  <c r="AC87" i="9"/>
  <c r="AC127" i="9" s="1"/>
  <c r="W87" i="9"/>
  <c r="W127" i="9" s="1"/>
  <c r="U87" i="9"/>
  <c r="U127" i="9" s="1"/>
  <c r="T87" i="9"/>
  <c r="T127" i="9" s="1"/>
  <c r="S87" i="9"/>
  <c r="S127" i="9" s="1"/>
  <c r="J87" i="9"/>
  <c r="J127" i="9" s="1"/>
  <c r="AI86" i="9"/>
  <c r="AI126" i="9" s="1"/>
  <c r="W86" i="9"/>
  <c r="W126" i="9" s="1"/>
  <c r="S86" i="9"/>
  <c r="S126" i="9" s="1"/>
  <c r="Q86" i="9"/>
  <c r="Q126" i="9" s="1"/>
  <c r="P86" i="9"/>
  <c r="P126" i="9" s="1"/>
  <c r="O86" i="9"/>
  <c r="O126" i="9" s="1"/>
  <c r="U85" i="9"/>
  <c r="U125" i="9" s="1"/>
  <c r="Q85" i="9"/>
  <c r="Q125" i="9" s="1"/>
  <c r="O85" i="9"/>
  <c r="O125" i="9" s="1"/>
  <c r="AI84" i="9"/>
  <c r="AI124" i="9" s="1"/>
  <c r="AE84" i="9"/>
  <c r="AE124" i="9" s="1"/>
  <c r="AC84" i="9"/>
  <c r="AC124" i="9" s="1"/>
  <c r="AB84" i="9"/>
  <c r="AB124" i="9" s="1"/>
  <c r="AA84" i="9"/>
  <c r="AA124" i="9" s="1"/>
  <c r="S84" i="9"/>
  <c r="S124" i="9" s="1"/>
  <c r="O84" i="9"/>
  <c r="O124" i="9" s="1"/>
  <c r="M84" i="9"/>
  <c r="M124" i="9" s="1"/>
  <c r="L84" i="9"/>
  <c r="L124" i="9" s="1"/>
  <c r="K84" i="9"/>
  <c r="K124" i="9" s="1"/>
  <c r="AK83" i="9"/>
  <c r="AI83" i="9"/>
  <c r="AI123" i="9" s="1"/>
  <c r="AH83" i="9"/>
  <c r="AH123" i="9" s="1"/>
  <c r="AG83" i="9"/>
  <c r="AG123" i="9" s="1"/>
  <c r="AC83" i="9"/>
  <c r="AC123" i="9" s="1"/>
  <c r="AA83" i="9"/>
  <c r="AA123" i="9" s="1"/>
  <c r="Z83" i="9"/>
  <c r="Z123" i="9" s="1"/>
  <c r="Y83" i="9"/>
  <c r="U83" i="9"/>
  <c r="S83" i="9"/>
  <c r="S123" i="9" s="1"/>
  <c r="R83" i="9"/>
  <c r="Q83" i="9"/>
  <c r="Q123" i="9" s="1"/>
  <c r="M83" i="9"/>
  <c r="M123" i="9" s="1"/>
  <c r="K83" i="9"/>
  <c r="K123" i="9" s="1"/>
  <c r="J83" i="9"/>
  <c r="J123" i="9" s="1"/>
  <c r="I83" i="9"/>
  <c r="I123" i="9" s="1"/>
  <c r="AE82" i="9"/>
  <c r="AE122" i="9" s="1"/>
  <c r="AA82" i="9"/>
  <c r="AA122" i="9" s="1"/>
  <c r="Y82" i="9"/>
  <c r="Y122" i="9" s="1"/>
  <c r="X82" i="9"/>
  <c r="X122" i="9" s="1"/>
  <c r="I82" i="9"/>
  <c r="H82" i="9"/>
  <c r="H122" i="9" s="1"/>
  <c r="AK81" i="9"/>
  <c r="AG81" i="9"/>
  <c r="AE81" i="9"/>
  <c r="AE121" i="9" s="1"/>
  <c r="AD81" i="9"/>
  <c r="AC81" i="9"/>
  <c r="Y81" i="9"/>
  <c r="W81" i="9"/>
  <c r="V81" i="9"/>
  <c r="U81" i="9"/>
  <c r="Q81" i="9"/>
  <c r="O81" i="9"/>
  <c r="O121" i="9" s="1"/>
  <c r="N81" i="9"/>
  <c r="M81" i="9"/>
  <c r="I81" i="9"/>
  <c r="AK76" i="9"/>
  <c r="AK120" i="9" s="1"/>
  <c r="AI76" i="9"/>
  <c r="AH76" i="9"/>
  <c r="AG76" i="9"/>
  <c r="AG120" i="9" s="1"/>
  <c r="Y76" i="9"/>
  <c r="U76" i="9"/>
  <c r="U120" i="9" s="1"/>
  <c r="S76" i="9"/>
  <c r="R76" i="9"/>
  <c r="Q76" i="9"/>
  <c r="I76" i="9"/>
  <c r="I120" i="9" s="1"/>
  <c r="AI75" i="9"/>
  <c r="AG75" i="9"/>
  <c r="AG119" i="9" s="1"/>
  <c r="AF75" i="9"/>
  <c r="AE75" i="9"/>
  <c r="AE119" i="9" s="1"/>
  <c r="AA75" i="9"/>
  <c r="AA119" i="9" s="1"/>
  <c r="Y75" i="9"/>
  <c r="X75" i="9"/>
  <c r="X119" i="9" s="1"/>
  <c r="W75" i="9"/>
  <c r="W119" i="9" s="1"/>
  <c r="S75" i="9"/>
  <c r="S119" i="9" s="1"/>
  <c r="Q75" i="9"/>
  <c r="Q119" i="9" s="1"/>
  <c r="P75" i="9"/>
  <c r="O75" i="9"/>
  <c r="O119" i="9" s="1"/>
  <c r="K75" i="9"/>
  <c r="I75" i="9"/>
  <c r="I119" i="9" s="1"/>
  <c r="H75" i="9"/>
  <c r="H119" i="9" s="1"/>
  <c r="AK74" i="9"/>
  <c r="AK118" i="9" s="1"/>
  <c r="AG74" i="9"/>
  <c r="AE74" i="9"/>
  <c r="AE118" i="9" s="1"/>
  <c r="AD74" i="9"/>
  <c r="AD118" i="9" s="1"/>
  <c r="AC74" i="9"/>
  <c r="Y74" i="9"/>
  <c r="W74" i="9"/>
  <c r="V74" i="9"/>
  <c r="V118" i="9" s="1"/>
  <c r="U74" i="9"/>
  <c r="U118" i="9" s="1"/>
  <c r="Q74" i="9"/>
  <c r="O74" i="9"/>
  <c r="N74" i="9"/>
  <c r="M74" i="9"/>
  <c r="M118" i="9" s="1"/>
  <c r="I74" i="9"/>
  <c r="AK73" i="9"/>
  <c r="AJ73" i="9"/>
  <c r="AI73" i="9"/>
  <c r="AI117" i="9" s="1"/>
  <c r="AG73" i="9"/>
  <c r="AE73" i="9"/>
  <c r="AE117" i="9" s="1"/>
  <c r="AC73" i="9"/>
  <c r="AB73" i="9"/>
  <c r="AA73" i="9"/>
  <c r="Y73" i="9"/>
  <c r="Y117" i="9" s="1"/>
  <c r="W73" i="9"/>
  <c r="U73" i="9"/>
  <c r="U117" i="9" s="1"/>
  <c r="T73" i="9"/>
  <c r="T117" i="9" s="1"/>
  <c r="S73" i="9"/>
  <c r="Q73" i="9"/>
  <c r="Q117" i="9" s="1"/>
  <c r="O73" i="9"/>
  <c r="O117" i="9" s="1"/>
  <c r="M73" i="9"/>
  <c r="M117" i="9" s="1"/>
  <c r="L73" i="9"/>
  <c r="L117" i="9" s="1"/>
  <c r="K73" i="9"/>
  <c r="K117" i="9" s="1"/>
  <c r="I73" i="9"/>
  <c r="AK71" i="9"/>
  <c r="AI71" i="9"/>
  <c r="AI116" i="9" s="1"/>
  <c r="U71" i="9"/>
  <c r="S71" i="9"/>
  <c r="S116" i="9" s="1"/>
  <c r="R71" i="9"/>
  <c r="Q71" i="9"/>
  <c r="I71" i="9"/>
  <c r="I78" i="9" s="1"/>
  <c r="H67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G62" i="9"/>
  <c r="E62" i="9"/>
  <c r="E138" i="9" s="1"/>
  <c r="D47" i="9"/>
  <c r="AA76" i="9" s="1"/>
  <c r="D46" i="9"/>
  <c r="AD75" i="9" s="1"/>
  <c r="D45" i="9"/>
  <c r="AJ74" i="9" s="1"/>
  <c r="AJ118" i="9" s="1"/>
  <c r="D44" i="9"/>
  <c r="AH73" i="9" s="1"/>
  <c r="AH117" i="9" s="1"/>
  <c r="D42" i="9"/>
  <c r="Y71" i="9" s="1"/>
  <c r="Y78" i="9" s="1"/>
  <c r="D21" i="9"/>
  <c r="O97" i="9" s="1"/>
  <c r="O137" i="9" s="1"/>
  <c r="D20" i="9"/>
  <c r="AI96" i="9" s="1"/>
  <c r="AI136" i="9" s="1"/>
  <c r="D19" i="9"/>
  <c r="Z95" i="9" s="1"/>
  <c r="Z135" i="9" s="1"/>
  <c r="D18" i="9"/>
  <c r="S94" i="9" s="1"/>
  <c r="S134" i="9" s="1"/>
  <c r="D17" i="9"/>
  <c r="D16" i="9"/>
  <c r="AB92" i="9" s="1"/>
  <c r="AB132" i="9" s="1"/>
  <c r="D15" i="9"/>
  <c r="S91" i="9" s="1"/>
  <c r="S131" i="9" s="1"/>
  <c r="D14" i="9"/>
  <c r="D13" i="9"/>
  <c r="G12" i="9"/>
  <c r="D12" i="9"/>
  <c r="D11" i="9"/>
  <c r="AD87" i="9" s="1"/>
  <c r="AD127" i="9" s="1"/>
  <c r="D10" i="9"/>
  <c r="D9" i="9"/>
  <c r="D8" i="9"/>
  <c r="AJ84" i="9" s="1"/>
  <c r="AJ124" i="9" s="1"/>
  <c r="D7" i="9"/>
  <c r="AF83" i="9" s="1"/>
  <c r="AF123" i="9" s="1"/>
  <c r="D6" i="9"/>
  <c r="O82" i="9" s="1"/>
  <c r="D5" i="9"/>
  <c r="AJ81" i="9" s="1"/>
  <c r="AJ121" i="9" s="1"/>
  <c r="D4" i="9"/>
  <c r="E63" i="9" s="1"/>
  <c r="E139" i="9" s="1"/>
  <c r="D139" i="9" s="1"/>
  <c r="G3" i="9"/>
  <c r="D3" i="9"/>
  <c r="V102" i="9" s="1"/>
  <c r="B95" i="8"/>
  <c r="AD94" i="8"/>
  <c r="P94" i="8"/>
  <c r="B94" i="8"/>
  <c r="B93" i="8"/>
  <c r="B92" i="8"/>
  <c r="B91" i="8"/>
  <c r="B90" i="8"/>
  <c r="AK89" i="8"/>
  <c r="AC89" i="8"/>
  <c r="B89" i="8"/>
  <c r="P88" i="8"/>
  <c r="H88" i="8"/>
  <c r="B88" i="8"/>
  <c r="AK87" i="8"/>
  <c r="W87" i="8"/>
  <c r="O87" i="8"/>
  <c r="N87" i="8"/>
  <c r="M87" i="8"/>
  <c r="AK81" i="8"/>
  <c r="AJ81" i="8"/>
  <c r="AI81" i="8"/>
  <c r="AH81" i="8"/>
  <c r="AG81" i="8"/>
  <c r="AF81" i="8"/>
  <c r="AE81" i="8"/>
  <c r="AD81" i="8"/>
  <c r="AC81" i="8"/>
  <c r="AB81" i="8"/>
  <c r="AA81" i="8"/>
  <c r="Z81" i="8"/>
  <c r="Y81" i="8"/>
  <c r="X81" i="8"/>
  <c r="W81" i="8"/>
  <c r="V81" i="8"/>
  <c r="V87" i="8" s="1"/>
  <c r="U81" i="8"/>
  <c r="U87" i="8" s="1"/>
  <c r="T81" i="8"/>
  <c r="S81" i="8"/>
  <c r="R81" i="8"/>
  <c r="Q81" i="8"/>
  <c r="P81" i="8"/>
  <c r="O81" i="8"/>
  <c r="N81" i="8"/>
  <c r="M81" i="8"/>
  <c r="L81" i="8"/>
  <c r="K81" i="8"/>
  <c r="J81" i="8"/>
  <c r="I81" i="8"/>
  <c r="H81" i="8"/>
  <c r="G81" i="8"/>
  <c r="F81" i="8"/>
  <c r="E81" i="8"/>
  <c r="AC73" i="8"/>
  <c r="AB73" i="8"/>
  <c r="AA73" i="8"/>
  <c r="O73" i="8"/>
  <c r="N73" i="8"/>
  <c r="M73" i="8"/>
  <c r="AI68" i="8"/>
  <c r="AI95" i="8" s="1"/>
  <c r="AH68" i="8"/>
  <c r="AH95" i="8" s="1"/>
  <c r="Z68" i="8"/>
  <c r="Z95" i="8" s="1"/>
  <c r="Y68" i="8"/>
  <c r="X68" i="8"/>
  <c r="X95" i="8" s="1"/>
  <c r="W68" i="8"/>
  <c r="W95" i="8" s="1"/>
  <c r="O68" i="8"/>
  <c r="O95" i="8" s="1"/>
  <c r="K68" i="8"/>
  <c r="K95" i="8" s="1"/>
  <c r="J68" i="8"/>
  <c r="J95" i="8" s="1"/>
  <c r="I68" i="8"/>
  <c r="I95" i="8" s="1"/>
  <c r="AD67" i="8"/>
  <c r="AC67" i="8"/>
  <c r="AC94" i="8" s="1"/>
  <c r="Y67" i="8"/>
  <c r="Y94" i="8" s="1"/>
  <c r="P67" i="8"/>
  <c r="O67" i="8"/>
  <c r="O94" i="8" s="1"/>
  <c r="N67" i="8"/>
  <c r="N94" i="8" s="1"/>
  <c r="AE66" i="8"/>
  <c r="AE93" i="8" s="1"/>
  <c r="AD66" i="8"/>
  <c r="AD93" i="8" s="1"/>
  <c r="T66" i="8"/>
  <c r="T93" i="8" s="1"/>
  <c r="S66" i="8"/>
  <c r="S93" i="8" s="1"/>
  <c r="AI65" i="8"/>
  <c r="AI92" i="8" s="1"/>
  <c r="U65" i="8"/>
  <c r="U92" i="8" s="1"/>
  <c r="J65" i="8"/>
  <c r="J92" i="8" s="1"/>
  <c r="AK63" i="8"/>
  <c r="AK90" i="8" s="1"/>
  <c r="AG63" i="8"/>
  <c r="AG90" i="8" s="1"/>
  <c r="AF63" i="8"/>
  <c r="AF90" i="8" s="1"/>
  <c r="AE63" i="8"/>
  <c r="AE90" i="8" s="1"/>
  <c r="Y63" i="8"/>
  <c r="Y90" i="8" s="1"/>
  <c r="X63" i="8"/>
  <c r="X90" i="8" s="1"/>
  <c r="W63" i="8"/>
  <c r="W90" i="8" s="1"/>
  <c r="V63" i="8"/>
  <c r="V90" i="8" s="1"/>
  <c r="U63" i="8"/>
  <c r="U90" i="8" s="1"/>
  <c r="Q63" i="8"/>
  <c r="Q90" i="8" s="1"/>
  <c r="N63" i="8"/>
  <c r="N90" i="8" s="1"/>
  <c r="M63" i="8"/>
  <c r="M90" i="8" s="1"/>
  <c r="I63" i="8"/>
  <c r="I90" i="8" s="1"/>
  <c r="H63" i="8"/>
  <c r="H90" i="8" s="1"/>
  <c r="AK62" i="8"/>
  <c r="AJ62" i="8"/>
  <c r="AJ89" i="8" s="1"/>
  <c r="AC62" i="8"/>
  <c r="AB62" i="8"/>
  <c r="AB89" i="8" s="1"/>
  <c r="AA62" i="8"/>
  <c r="AA89" i="8" s="1"/>
  <c r="Z62" i="8"/>
  <c r="Z89" i="8" s="1"/>
  <c r="W62" i="8"/>
  <c r="W89" i="8" s="1"/>
  <c r="S62" i="8"/>
  <c r="S89" i="8" s="1"/>
  <c r="R62" i="8"/>
  <c r="R89" i="8" s="1"/>
  <c r="O62" i="8"/>
  <c r="O89" i="8" s="1"/>
  <c r="N62" i="8"/>
  <c r="N89" i="8" s="1"/>
  <c r="M62" i="8"/>
  <c r="M89" i="8" s="1"/>
  <c r="AK61" i="8"/>
  <c r="AK88" i="8" s="1"/>
  <c r="AJ61" i="8"/>
  <c r="AJ88" i="8" s="1"/>
  <c r="AI61" i="8"/>
  <c r="AI88" i="8" s="1"/>
  <c r="AH61" i="8"/>
  <c r="AH88" i="8" s="1"/>
  <c r="AG61" i="8"/>
  <c r="AA61" i="8"/>
  <c r="AA88" i="8" s="1"/>
  <c r="Z61" i="8"/>
  <c r="Z88" i="8" s="1"/>
  <c r="Y61" i="8"/>
  <c r="Y88" i="8" s="1"/>
  <c r="X61" i="8"/>
  <c r="X88" i="8" s="1"/>
  <c r="U61" i="8"/>
  <c r="Q61" i="8"/>
  <c r="P61" i="8"/>
  <c r="O61" i="8"/>
  <c r="M61" i="8"/>
  <c r="L61" i="8"/>
  <c r="L88" i="8" s="1"/>
  <c r="H61" i="8"/>
  <c r="O58" i="8"/>
  <c r="AK57" i="8"/>
  <c r="AK58" i="8" s="1"/>
  <c r="AJ57" i="8"/>
  <c r="AJ58" i="8" s="1"/>
  <c r="AF57" i="8"/>
  <c r="AF58" i="8" s="1"/>
  <c r="AE57" i="8"/>
  <c r="AE58" i="8" s="1"/>
  <c r="AD57" i="8"/>
  <c r="AD87" i="8" s="1"/>
  <c r="AC57" i="8"/>
  <c r="AC87" i="8" s="1"/>
  <c r="AB57" i="8"/>
  <c r="AB58" i="8" s="1"/>
  <c r="AA57" i="8"/>
  <c r="AA58" i="8" s="1"/>
  <c r="W57" i="8"/>
  <c r="W58" i="8" s="1"/>
  <c r="V57" i="8"/>
  <c r="V58" i="8" s="1"/>
  <c r="U57" i="8"/>
  <c r="U58" i="8" s="1"/>
  <c r="T57" i="8"/>
  <c r="T58" i="8" s="1"/>
  <c r="S57" i="8"/>
  <c r="S58" i="8" s="1"/>
  <c r="R57" i="8"/>
  <c r="R58" i="8" s="1"/>
  <c r="O57" i="8"/>
  <c r="N57" i="8"/>
  <c r="N58" i="8" s="1"/>
  <c r="M57" i="8"/>
  <c r="M58" i="8" s="1"/>
  <c r="L57" i="8"/>
  <c r="L58" i="8" s="1"/>
  <c r="K57" i="8"/>
  <c r="K58" i="8" s="1"/>
  <c r="J57" i="8"/>
  <c r="J58" i="8" s="1"/>
  <c r="AK52" i="8"/>
  <c r="AJ52" i="8"/>
  <c r="AI52" i="8"/>
  <c r="AH52" i="8"/>
  <c r="AG52" i="8"/>
  <c r="AF52" i="8"/>
  <c r="AE52" i="8"/>
  <c r="AD52" i="8"/>
  <c r="AC52" i="8"/>
  <c r="AB52" i="8"/>
  <c r="AA52" i="8"/>
  <c r="Z52" i="8"/>
  <c r="Y52" i="8"/>
  <c r="X52" i="8"/>
  <c r="W52" i="8"/>
  <c r="V52" i="8"/>
  <c r="U52" i="8"/>
  <c r="T52" i="8"/>
  <c r="S52" i="8"/>
  <c r="R52" i="8"/>
  <c r="F48" i="8"/>
  <c r="F96" i="8" s="1"/>
  <c r="E48" i="8"/>
  <c r="E96" i="8" s="1"/>
  <c r="D33" i="8"/>
  <c r="AG57" i="8" s="1"/>
  <c r="AG58" i="8" s="1"/>
  <c r="D13" i="8"/>
  <c r="G50" i="8" s="1"/>
  <c r="D12" i="8"/>
  <c r="AF68" i="8" s="1"/>
  <c r="AF95" i="8" s="1"/>
  <c r="D11" i="8"/>
  <c r="AG67" i="8" s="1"/>
  <c r="AG94" i="8" s="1"/>
  <c r="D10" i="8"/>
  <c r="AA66" i="8" s="1"/>
  <c r="AA93" i="8" s="1"/>
  <c r="D9" i="8"/>
  <c r="AC65" i="8" s="1"/>
  <c r="AC92" i="8" s="1"/>
  <c r="D8" i="8"/>
  <c r="D7" i="8"/>
  <c r="AC63" i="8" s="1"/>
  <c r="AC90" i="8" s="1"/>
  <c r="D6" i="8"/>
  <c r="AD62" i="8" s="1"/>
  <c r="AD89" i="8" s="1"/>
  <c r="D5" i="8"/>
  <c r="D4" i="8"/>
  <c r="E49" i="8" s="1"/>
  <c r="E97" i="8" s="1"/>
  <c r="D97" i="8" s="1"/>
  <c r="D3" i="8"/>
  <c r="AJ73" i="8" s="1"/>
  <c r="C140" i="2"/>
  <c r="C139" i="2"/>
  <c r="C138" i="2"/>
  <c r="C137" i="2"/>
  <c r="D133" i="2"/>
  <c r="D132" i="2"/>
  <c r="D131" i="2"/>
  <c r="I130" i="2"/>
  <c r="H130" i="2"/>
  <c r="D130" i="2"/>
  <c r="I129" i="2"/>
  <c r="D129" i="2"/>
  <c r="I128" i="2"/>
  <c r="D128" i="2"/>
  <c r="I127" i="2"/>
  <c r="D127" i="2"/>
  <c r="I126" i="2"/>
  <c r="D126" i="2"/>
  <c r="I125" i="2"/>
  <c r="D125" i="2"/>
  <c r="I124" i="2"/>
  <c r="D124" i="2"/>
  <c r="I123" i="2"/>
  <c r="D123" i="2"/>
  <c r="I122" i="2"/>
  <c r="D122" i="2"/>
  <c r="I121" i="2"/>
  <c r="D121" i="2"/>
  <c r="I120" i="2"/>
  <c r="D120" i="2"/>
  <c r="I119" i="2"/>
  <c r="D119" i="2"/>
  <c r="C113" i="2"/>
  <c r="C112" i="2"/>
  <c r="A112" i="2"/>
  <c r="B56" i="11" s="1"/>
  <c r="C111" i="2"/>
  <c r="C110" i="2"/>
  <c r="C109" i="2"/>
  <c r="C108" i="2"/>
  <c r="C107" i="2"/>
  <c r="C106" i="2"/>
  <c r="C102" i="2"/>
  <c r="B102" i="2"/>
  <c r="C101" i="2"/>
  <c r="B101" i="2"/>
  <c r="C100" i="2"/>
  <c r="B100" i="2"/>
  <c r="C99" i="2"/>
  <c r="B99" i="2"/>
  <c r="C98" i="2"/>
  <c r="B98" i="2"/>
  <c r="C97" i="2"/>
  <c r="B97" i="2"/>
  <c r="D93" i="2"/>
  <c r="D92" i="2"/>
  <c r="D91" i="2"/>
  <c r="D90" i="2"/>
  <c r="D89" i="2"/>
  <c r="D88" i="2"/>
  <c r="D87" i="2"/>
  <c r="D86" i="2"/>
  <c r="D85" i="2"/>
  <c r="I84" i="2"/>
  <c r="H84" i="2"/>
  <c r="D84" i="2"/>
  <c r="I83" i="2"/>
  <c r="D83" i="2"/>
  <c r="I82" i="2"/>
  <c r="D82" i="2"/>
  <c r="I81" i="2"/>
  <c r="D81" i="2"/>
  <c r="I80" i="2"/>
  <c r="D80" i="2"/>
  <c r="I79" i="2"/>
  <c r="D79" i="2"/>
  <c r="I78" i="2"/>
  <c r="D78" i="2"/>
  <c r="I77" i="2"/>
  <c r="D77" i="2"/>
  <c r="I76" i="2"/>
  <c r="D76" i="2"/>
  <c r="I75" i="2"/>
  <c r="D75" i="2"/>
  <c r="I74" i="2"/>
  <c r="D74" i="2"/>
  <c r="I73" i="2"/>
  <c r="D73" i="2"/>
  <c r="I72" i="2"/>
  <c r="D72" i="2"/>
  <c r="I71" i="2"/>
  <c r="D71" i="2"/>
  <c r="I70" i="2"/>
  <c r="D70" i="2"/>
  <c r="I69" i="2"/>
  <c r="D69" i="2"/>
  <c r="I68" i="2"/>
  <c r="D68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I11" i="2"/>
  <c r="D11" i="2"/>
  <c r="I10" i="2"/>
  <c r="D10" i="2"/>
  <c r="I9" i="2"/>
  <c r="D9" i="2"/>
  <c r="I8" i="2"/>
  <c r="D8" i="2"/>
  <c r="I7" i="2"/>
  <c r="D7" i="2"/>
  <c r="I6" i="2"/>
  <c r="D6" i="2"/>
  <c r="I5" i="2"/>
  <c r="D5" i="2"/>
  <c r="I4" i="2"/>
  <c r="D4" i="2"/>
  <c r="I3" i="2"/>
  <c r="D3" i="2"/>
  <c r="O122" i="9" l="1"/>
  <c r="M69" i="8"/>
  <c r="L10" i="11"/>
  <c r="F14" i="11"/>
  <c r="AH88" i="9"/>
  <c r="AH128" i="9" s="1"/>
  <c r="Z88" i="9"/>
  <c r="Z128" i="9" s="1"/>
  <c r="R88" i="9"/>
  <c r="R128" i="9" s="1"/>
  <c r="J88" i="9"/>
  <c r="J128" i="9" s="1"/>
  <c r="AD88" i="9"/>
  <c r="AD128" i="9" s="1"/>
  <c r="V88" i="9"/>
  <c r="V128" i="9" s="1"/>
  <c r="N88" i="9"/>
  <c r="N128" i="9" s="1"/>
  <c r="AC88" i="9"/>
  <c r="AC128" i="9" s="1"/>
  <c r="S88" i="9"/>
  <c r="S128" i="9" s="1"/>
  <c r="H88" i="9"/>
  <c r="H128" i="9" s="1"/>
  <c r="AB88" i="9"/>
  <c r="AB128" i="9" s="1"/>
  <c r="Q88" i="9"/>
  <c r="Q128" i="9" s="1"/>
  <c r="AK88" i="9"/>
  <c r="AK128" i="9" s="1"/>
  <c r="AA88" i="9"/>
  <c r="AA128" i="9" s="1"/>
  <c r="P88" i="9"/>
  <c r="P128" i="9" s="1"/>
  <c r="AI88" i="9"/>
  <c r="AI128" i="9" s="1"/>
  <c r="X88" i="9"/>
  <c r="X128" i="9" s="1"/>
  <c r="M88" i="9"/>
  <c r="M128" i="9" s="1"/>
  <c r="Y88" i="9"/>
  <c r="Y128" i="9" s="1"/>
  <c r="W88" i="9"/>
  <c r="W128" i="9" s="1"/>
  <c r="U88" i="9"/>
  <c r="U128" i="9" s="1"/>
  <c r="Y65" i="8"/>
  <c r="Y92" i="8" s="1"/>
  <c r="Q88" i="8"/>
  <c r="AD64" i="8"/>
  <c r="AD91" i="8" s="1"/>
  <c r="V64" i="8"/>
  <c r="V91" i="8" s="1"/>
  <c r="N64" i="8"/>
  <c r="N91" i="8" s="1"/>
  <c r="AK64" i="8"/>
  <c r="AK91" i="8" s="1"/>
  <c r="AC64" i="8"/>
  <c r="AC91" i="8" s="1"/>
  <c r="U64" i="8"/>
  <c r="U91" i="8" s="1"/>
  <c r="M64" i="8"/>
  <c r="M91" i="8" s="1"/>
  <c r="AJ64" i="8"/>
  <c r="AJ91" i="8" s="1"/>
  <c r="AB64" i="8"/>
  <c r="AB91" i="8" s="1"/>
  <c r="T64" i="8"/>
  <c r="T91" i="8" s="1"/>
  <c r="L64" i="8"/>
  <c r="L91" i="8" s="1"/>
  <c r="Z64" i="8"/>
  <c r="Z91" i="8" s="1"/>
  <c r="P64" i="8"/>
  <c r="P91" i="8" s="1"/>
  <c r="L88" i="9"/>
  <c r="L128" i="9" s="1"/>
  <c r="V97" i="9"/>
  <c r="V137" i="9" s="1"/>
  <c r="AE64" i="8"/>
  <c r="AE91" i="8" s="1"/>
  <c r="AK65" i="8"/>
  <c r="AK92" i="8" s="1"/>
  <c r="AA87" i="8"/>
  <c r="U88" i="8"/>
  <c r="AK121" i="9"/>
  <c r="I116" i="9"/>
  <c r="I122" i="9"/>
  <c r="R64" i="8"/>
  <c r="R91" i="8" s="1"/>
  <c r="AA65" i="8"/>
  <c r="AA92" i="8" s="1"/>
  <c r="AJ66" i="8"/>
  <c r="AJ93" i="8" s="1"/>
  <c r="AE67" i="8"/>
  <c r="AE94" i="8" s="1"/>
  <c r="AB87" i="8"/>
  <c r="AJ85" i="9"/>
  <c r="AJ125" i="9" s="1"/>
  <c r="AB85" i="9"/>
  <c r="AB125" i="9" s="1"/>
  <c r="T85" i="9"/>
  <c r="T125" i="9" s="1"/>
  <c r="L85" i="9"/>
  <c r="L125" i="9" s="1"/>
  <c r="AI85" i="9"/>
  <c r="AI125" i="9" s="1"/>
  <c r="AA85" i="9"/>
  <c r="AA125" i="9" s="1"/>
  <c r="S85" i="9"/>
  <c r="S125" i="9" s="1"/>
  <c r="K85" i="9"/>
  <c r="K125" i="9" s="1"/>
  <c r="AH85" i="9"/>
  <c r="AH125" i="9" s="1"/>
  <c r="Z85" i="9"/>
  <c r="Z125" i="9" s="1"/>
  <c r="R85" i="9"/>
  <c r="R125" i="9" s="1"/>
  <c r="J85" i="9"/>
  <c r="J125" i="9" s="1"/>
  <c r="AF85" i="9"/>
  <c r="AF125" i="9" s="1"/>
  <c r="X85" i="9"/>
  <c r="X125" i="9" s="1"/>
  <c r="P85" i="9"/>
  <c r="P125" i="9" s="1"/>
  <c r="H85" i="9"/>
  <c r="H125" i="9" s="1"/>
  <c r="Y85" i="9"/>
  <c r="Y125" i="9" s="1"/>
  <c r="I85" i="9"/>
  <c r="I125" i="9" s="1"/>
  <c r="W85" i="9"/>
  <c r="W125" i="9" s="1"/>
  <c r="V85" i="9"/>
  <c r="V125" i="9" s="1"/>
  <c r="V121" i="9"/>
  <c r="T88" i="9"/>
  <c r="T128" i="9" s="1"/>
  <c r="Q91" i="9"/>
  <c r="Q131" i="9" s="1"/>
  <c r="S64" i="8"/>
  <c r="S91" i="8" s="1"/>
  <c r="L66" i="8"/>
  <c r="L93" i="8" s="1"/>
  <c r="U67" i="8"/>
  <c r="U94" i="8" s="1"/>
  <c r="AA68" i="8"/>
  <c r="AA95" i="8" s="1"/>
  <c r="AJ89" i="9"/>
  <c r="AJ129" i="9" s="1"/>
  <c r="AB89" i="9"/>
  <c r="AB129" i="9" s="1"/>
  <c r="T89" i="9"/>
  <c r="T129" i="9" s="1"/>
  <c r="L89" i="9"/>
  <c r="L129" i="9" s="1"/>
  <c r="AI89" i="9"/>
  <c r="AI129" i="9" s="1"/>
  <c r="AA89" i="9"/>
  <c r="AA129" i="9" s="1"/>
  <c r="S89" i="9"/>
  <c r="S129" i="9" s="1"/>
  <c r="K89" i="9"/>
  <c r="K129" i="9" s="1"/>
  <c r="AF89" i="9"/>
  <c r="AF129" i="9" s="1"/>
  <c r="X89" i="9"/>
  <c r="X129" i="9" s="1"/>
  <c r="P89" i="9"/>
  <c r="P129" i="9" s="1"/>
  <c r="H89" i="9"/>
  <c r="H129" i="9" s="1"/>
  <c r="AK89" i="9"/>
  <c r="AK129" i="9" s="1"/>
  <c r="W89" i="9"/>
  <c r="W129" i="9" s="1"/>
  <c r="J89" i="9"/>
  <c r="J129" i="9" s="1"/>
  <c r="AH89" i="9"/>
  <c r="AH129" i="9" s="1"/>
  <c r="V89" i="9"/>
  <c r="V129" i="9" s="1"/>
  <c r="I89" i="9"/>
  <c r="I129" i="9" s="1"/>
  <c r="AG89" i="9"/>
  <c r="AG129" i="9" s="1"/>
  <c r="U89" i="9"/>
  <c r="U129" i="9" s="1"/>
  <c r="AD89" i="9"/>
  <c r="AD129" i="9" s="1"/>
  <c r="Q89" i="9"/>
  <c r="Q129" i="9" s="1"/>
  <c r="R89" i="9"/>
  <c r="R129" i="9" s="1"/>
  <c r="O89" i="9"/>
  <c r="O129" i="9" s="1"/>
  <c r="N89" i="9"/>
  <c r="N129" i="9" s="1"/>
  <c r="Y123" i="9"/>
  <c r="AD85" i="9"/>
  <c r="AD125" i="9" s="1"/>
  <c r="AE88" i="9"/>
  <c r="AE128" i="9" s="1"/>
  <c r="R91" i="9"/>
  <c r="R131" i="9" s="1"/>
  <c r="Y95" i="9"/>
  <c r="Y135" i="9" s="1"/>
  <c r="AE61" i="8"/>
  <c r="W61" i="8"/>
  <c r="AD61" i="8"/>
  <c r="V61" i="8"/>
  <c r="N61" i="8"/>
  <c r="E54" i="8"/>
  <c r="E53" i="8" s="1"/>
  <c r="E83" i="8" s="1"/>
  <c r="AD58" i="8"/>
  <c r="I61" i="8"/>
  <c r="R61" i="8"/>
  <c r="AB61" i="8"/>
  <c r="J62" i="8"/>
  <c r="J89" i="8" s="1"/>
  <c r="T62" i="8"/>
  <c r="T89" i="8" s="1"/>
  <c r="I64" i="8"/>
  <c r="I91" i="8" s="1"/>
  <c r="W64" i="8"/>
  <c r="W91" i="8" s="1"/>
  <c r="AH64" i="8"/>
  <c r="AH91" i="8" s="1"/>
  <c r="R65" i="8"/>
  <c r="R92" i="8" s="1"/>
  <c r="M66" i="8"/>
  <c r="M93" i="8" s="1"/>
  <c r="H67" i="8"/>
  <c r="H94" i="8" s="1"/>
  <c r="V67" i="8"/>
  <c r="V94" i="8" s="1"/>
  <c r="Q68" i="8"/>
  <c r="Q95" i="8" s="1"/>
  <c r="AE68" i="8"/>
  <c r="AE95" i="8" s="1"/>
  <c r="U73" i="8"/>
  <c r="AI73" i="8"/>
  <c r="AE87" i="8"/>
  <c r="M88" i="8"/>
  <c r="AD86" i="9"/>
  <c r="AD126" i="9" s="1"/>
  <c r="V86" i="9"/>
  <c r="V126" i="9" s="1"/>
  <c r="N86" i="9"/>
  <c r="N126" i="9" s="1"/>
  <c r="AK86" i="9"/>
  <c r="AK126" i="9" s="1"/>
  <c r="AC86" i="9"/>
  <c r="AC126" i="9" s="1"/>
  <c r="U86" i="9"/>
  <c r="U126" i="9" s="1"/>
  <c r="M86" i="9"/>
  <c r="M126" i="9" s="1"/>
  <c r="AJ86" i="9"/>
  <c r="AJ126" i="9" s="1"/>
  <c r="AB86" i="9"/>
  <c r="AB126" i="9" s="1"/>
  <c r="T86" i="9"/>
  <c r="T126" i="9" s="1"/>
  <c r="L86" i="9"/>
  <c r="L126" i="9" s="1"/>
  <c r="AH86" i="9"/>
  <c r="AH126" i="9" s="1"/>
  <c r="Z86" i="9"/>
  <c r="Z126" i="9" s="1"/>
  <c r="R86" i="9"/>
  <c r="R126" i="9" s="1"/>
  <c r="J86" i="9"/>
  <c r="J126" i="9" s="1"/>
  <c r="AA86" i="9"/>
  <c r="AA126" i="9" s="1"/>
  <c r="K86" i="9"/>
  <c r="K126" i="9" s="1"/>
  <c r="Y86" i="9"/>
  <c r="Y126" i="9" s="1"/>
  <c r="I86" i="9"/>
  <c r="I126" i="9" s="1"/>
  <c r="X86" i="9"/>
  <c r="X126" i="9" s="1"/>
  <c r="H86" i="9"/>
  <c r="H126" i="9" s="1"/>
  <c r="AD90" i="9"/>
  <c r="AD130" i="9" s="1"/>
  <c r="V90" i="9"/>
  <c r="V130" i="9" s="1"/>
  <c r="N90" i="9"/>
  <c r="N130" i="9" s="1"/>
  <c r="AK90" i="9"/>
  <c r="AK130" i="9" s="1"/>
  <c r="AC90" i="9"/>
  <c r="AC130" i="9" s="1"/>
  <c r="U90" i="9"/>
  <c r="U130" i="9" s="1"/>
  <c r="M90" i="9"/>
  <c r="M130" i="9" s="1"/>
  <c r="AH90" i="9"/>
  <c r="AH130" i="9" s="1"/>
  <c r="Z90" i="9"/>
  <c r="Z130" i="9" s="1"/>
  <c r="R90" i="9"/>
  <c r="R130" i="9" s="1"/>
  <c r="J90" i="9"/>
  <c r="J130" i="9" s="1"/>
  <c r="AF90" i="9"/>
  <c r="AF130" i="9" s="1"/>
  <c r="S90" i="9"/>
  <c r="S130" i="9" s="1"/>
  <c r="AE90" i="9"/>
  <c r="AE130" i="9" s="1"/>
  <c r="Q90" i="9"/>
  <c r="Q130" i="9" s="1"/>
  <c r="AB90" i="9"/>
  <c r="AB130" i="9" s="1"/>
  <c r="P90" i="9"/>
  <c r="P130" i="9" s="1"/>
  <c r="Y90" i="9"/>
  <c r="Y130" i="9" s="1"/>
  <c r="L90" i="9"/>
  <c r="L130" i="9" s="1"/>
  <c r="O90" i="9"/>
  <c r="O130" i="9" s="1"/>
  <c r="AJ90" i="9"/>
  <c r="AJ130" i="9" s="1"/>
  <c r="K90" i="9"/>
  <c r="K130" i="9" s="1"/>
  <c r="AI90" i="9"/>
  <c r="AI130" i="9" s="1"/>
  <c r="I90" i="9"/>
  <c r="I130" i="9" s="1"/>
  <c r="I121" i="9"/>
  <c r="Y121" i="9"/>
  <c r="K82" i="9"/>
  <c r="K122" i="9" s="1"/>
  <c r="AE85" i="9"/>
  <c r="AE125" i="9" s="1"/>
  <c r="AE86" i="9"/>
  <c r="AE126" i="9" s="1"/>
  <c r="AF88" i="9"/>
  <c r="AF128" i="9" s="1"/>
  <c r="H90" i="9"/>
  <c r="H130" i="9" s="1"/>
  <c r="I134" i="9"/>
  <c r="AE113" i="11"/>
  <c r="AE163" i="11" s="1"/>
  <c r="W113" i="11"/>
  <c r="W163" i="11" s="1"/>
  <c r="O113" i="11"/>
  <c r="O163" i="11" s="1"/>
  <c r="AD113" i="11"/>
  <c r="AD163" i="11" s="1"/>
  <c r="V113" i="11"/>
  <c r="V163" i="11" s="1"/>
  <c r="N113" i="11"/>
  <c r="N163" i="11" s="1"/>
  <c r="AK113" i="11"/>
  <c r="AK163" i="11" s="1"/>
  <c r="AC113" i="11"/>
  <c r="AC163" i="11" s="1"/>
  <c r="U113" i="11"/>
  <c r="U163" i="11" s="1"/>
  <c r="M113" i="11"/>
  <c r="M163" i="11" s="1"/>
  <c r="AJ113" i="11"/>
  <c r="AJ163" i="11" s="1"/>
  <c r="AB113" i="11"/>
  <c r="AB163" i="11" s="1"/>
  <c r="T113" i="11"/>
  <c r="T163" i="11" s="1"/>
  <c r="L113" i="11"/>
  <c r="L163" i="11" s="1"/>
  <c r="AI113" i="11"/>
  <c r="AI163" i="11" s="1"/>
  <c r="AA113" i="11"/>
  <c r="AA163" i="11" s="1"/>
  <c r="S113" i="11"/>
  <c r="S163" i="11" s="1"/>
  <c r="K113" i="11"/>
  <c r="K163" i="11" s="1"/>
  <c r="AH113" i="11"/>
  <c r="AH163" i="11" s="1"/>
  <c r="Z113" i="11"/>
  <c r="Z163" i="11" s="1"/>
  <c r="R113" i="11"/>
  <c r="R163" i="11" s="1"/>
  <c r="J113" i="11"/>
  <c r="J163" i="11" s="1"/>
  <c r="Q113" i="11"/>
  <c r="Q163" i="11" s="1"/>
  <c r="P113" i="11"/>
  <c r="P163" i="11" s="1"/>
  <c r="I113" i="11"/>
  <c r="I163" i="11" s="1"/>
  <c r="H113" i="11"/>
  <c r="H163" i="11" s="1"/>
  <c r="AG113" i="11"/>
  <c r="AG163" i="11" s="1"/>
  <c r="AF113" i="11"/>
  <c r="AF163" i="11" s="1"/>
  <c r="Y113" i="11"/>
  <c r="Y163" i="11" s="1"/>
  <c r="O64" i="8"/>
  <c r="O91" i="8" s="1"/>
  <c r="O116" i="9"/>
  <c r="AF65" i="8"/>
  <c r="AF92" i="8" s="1"/>
  <c r="X65" i="8"/>
  <c r="X92" i="8" s="1"/>
  <c r="P65" i="8"/>
  <c r="P92" i="8" s="1"/>
  <c r="H65" i="8"/>
  <c r="H92" i="8" s="1"/>
  <c r="AE65" i="8"/>
  <c r="AE92" i="8" s="1"/>
  <c r="W65" i="8"/>
  <c r="W92" i="8" s="1"/>
  <c r="O65" i="8"/>
  <c r="O92" i="8" s="1"/>
  <c r="AD65" i="8"/>
  <c r="AD92" i="8" s="1"/>
  <c r="V65" i="8"/>
  <c r="V92" i="8" s="1"/>
  <c r="N65" i="8"/>
  <c r="N92" i="8" s="1"/>
  <c r="AA64" i="8"/>
  <c r="AA91" i="8" s="1"/>
  <c r="AJ65" i="8"/>
  <c r="AJ92" i="8" s="1"/>
  <c r="AF91" i="9"/>
  <c r="AF131" i="9" s="1"/>
  <c r="X91" i="9"/>
  <c r="X131" i="9" s="1"/>
  <c r="P91" i="9"/>
  <c r="P131" i="9" s="1"/>
  <c r="H91" i="9"/>
  <c r="H131" i="9" s="1"/>
  <c r="AE91" i="9"/>
  <c r="AE131" i="9" s="1"/>
  <c r="W91" i="9"/>
  <c r="W131" i="9" s="1"/>
  <c r="O91" i="9"/>
  <c r="O131" i="9" s="1"/>
  <c r="AJ91" i="9"/>
  <c r="AJ131" i="9" s="1"/>
  <c r="AB91" i="9"/>
  <c r="AB131" i="9" s="1"/>
  <c r="T91" i="9"/>
  <c r="T131" i="9" s="1"/>
  <c r="L91" i="9"/>
  <c r="L131" i="9" s="1"/>
  <c r="AA91" i="9"/>
  <c r="AA131" i="9" s="1"/>
  <c r="N91" i="9"/>
  <c r="N131" i="9" s="1"/>
  <c r="Z91" i="9"/>
  <c r="Z131" i="9" s="1"/>
  <c r="M91" i="9"/>
  <c r="M131" i="9" s="1"/>
  <c r="AK91" i="9"/>
  <c r="AK131" i="9" s="1"/>
  <c r="Y91" i="9"/>
  <c r="Y131" i="9" s="1"/>
  <c r="K91" i="9"/>
  <c r="K131" i="9" s="1"/>
  <c r="AH91" i="9"/>
  <c r="AH131" i="9" s="1"/>
  <c r="U91" i="9"/>
  <c r="U131" i="9" s="1"/>
  <c r="I91" i="9"/>
  <c r="I131" i="9" s="1"/>
  <c r="AI91" i="9"/>
  <c r="AI131" i="9" s="1"/>
  <c r="J91" i="9"/>
  <c r="J131" i="9" s="1"/>
  <c r="AG91" i="9"/>
  <c r="AG131" i="9" s="1"/>
  <c r="AD91" i="9"/>
  <c r="AD131" i="9" s="1"/>
  <c r="AH66" i="8"/>
  <c r="AH93" i="8" s="1"/>
  <c r="Z66" i="8"/>
  <c r="Z93" i="8" s="1"/>
  <c r="R66" i="8"/>
  <c r="R93" i="8" s="1"/>
  <c r="J66" i="8"/>
  <c r="J93" i="8" s="1"/>
  <c r="AG66" i="8"/>
  <c r="AG93" i="8" s="1"/>
  <c r="Y66" i="8"/>
  <c r="Y93" i="8" s="1"/>
  <c r="Q66" i="8"/>
  <c r="Q93" i="8" s="1"/>
  <c r="I66" i="8"/>
  <c r="I93" i="8" s="1"/>
  <c r="AF66" i="8"/>
  <c r="AF93" i="8" s="1"/>
  <c r="X66" i="8"/>
  <c r="X93" i="8" s="1"/>
  <c r="P66" i="8"/>
  <c r="P93" i="8" s="1"/>
  <c r="H66" i="8"/>
  <c r="H93" i="8" s="1"/>
  <c r="Q64" i="8"/>
  <c r="Q91" i="8" s="1"/>
  <c r="Z65" i="8"/>
  <c r="Z92" i="8" s="1"/>
  <c r="AI66" i="8"/>
  <c r="AI93" i="8" s="1"/>
  <c r="U121" i="9"/>
  <c r="O88" i="9"/>
  <c r="O128" i="9" s="1"/>
  <c r="AC97" i="9"/>
  <c r="AC137" i="9" s="1"/>
  <c r="AJ67" i="8"/>
  <c r="AJ94" i="8" s="1"/>
  <c r="AB67" i="8"/>
  <c r="AB94" i="8" s="1"/>
  <c r="T67" i="8"/>
  <c r="T94" i="8" s="1"/>
  <c r="L67" i="8"/>
  <c r="L94" i="8" s="1"/>
  <c r="AI67" i="8"/>
  <c r="AI94" i="8" s="1"/>
  <c r="AA67" i="8"/>
  <c r="AA94" i="8" s="1"/>
  <c r="S67" i="8"/>
  <c r="S94" i="8" s="1"/>
  <c r="K67" i="8"/>
  <c r="K94" i="8" s="1"/>
  <c r="AH67" i="8"/>
  <c r="AH94" i="8" s="1"/>
  <c r="Z67" i="8"/>
  <c r="Z94" i="8" s="1"/>
  <c r="R67" i="8"/>
  <c r="R94" i="8" s="1"/>
  <c r="J67" i="8"/>
  <c r="J94" i="8" s="1"/>
  <c r="M65" i="8"/>
  <c r="M92" i="8" s="1"/>
  <c r="V66" i="8"/>
  <c r="V93" i="8" s="1"/>
  <c r="AD73" i="8"/>
  <c r="L87" i="8"/>
  <c r="AJ87" i="8"/>
  <c r="AG88" i="8"/>
  <c r="AC85" i="9"/>
  <c r="AC125" i="9" s="1"/>
  <c r="AG106" i="11"/>
  <c r="AG156" i="11" s="1"/>
  <c r="Y106" i="11"/>
  <c r="Y156" i="11" s="1"/>
  <c r="Q106" i="11"/>
  <c r="Q156" i="11" s="1"/>
  <c r="I106" i="11"/>
  <c r="I156" i="11" s="1"/>
  <c r="AF106" i="11"/>
  <c r="AF156" i="11" s="1"/>
  <c r="X106" i="11"/>
  <c r="X156" i="11" s="1"/>
  <c r="P106" i="11"/>
  <c r="P156" i="11" s="1"/>
  <c r="H106" i="11"/>
  <c r="H156" i="11" s="1"/>
  <c r="AE106" i="11"/>
  <c r="AE156" i="11" s="1"/>
  <c r="W106" i="11"/>
  <c r="W156" i="11" s="1"/>
  <c r="O106" i="11"/>
  <c r="O156" i="11" s="1"/>
  <c r="AD106" i="11"/>
  <c r="AD156" i="11" s="1"/>
  <c r="V106" i="11"/>
  <c r="V156" i="11" s="1"/>
  <c r="N106" i="11"/>
  <c r="N156" i="11" s="1"/>
  <c r="AK106" i="11"/>
  <c r="AK156" i="11" s="1"/>
  <c r="AC106" i="11"/>
  <c r="AC156" i="11" s="1"/>
  <c r="U106" i="11"/>
  <c r="U156" i="11" s="1"/>
  <c r="M106" i="11"/>
  <c r="M156" i="11" s="1"/>
  <c r="AJ106" i="11"/>
  <c r="AJ156" i="11" s="1"/>
  <c r="AB106" i="11"/>
  <c r="AB156" i="11" s="1"/>
  <c r="T106" i="11"/>
  <c r="T156" i="11" s="1"/>
  <c r="L106" i="11"/>
  <c r="L156" i="11" s="1"/>
  <c r="AI106" i="11"/>
  <c r="AI156" i="11" s="1"/>
  <c r="AH106" i="11"/>
  <c r="AH156" i="11" s="1"/>
  <c r="AA106" i="11"/>
  <c r="AA156" i="11" s="1"/>
  <c r="Z106" i="11"/>
  <c r="Z156" i="11" s="1"/>
  <c r="S106" i="11"/>
  <c r="S156" i="11" s="1"/>
  <c r="R106" i="11"/>
  <c r="R156" i="11" s="1"/>
  <c r="K106" i="11"/>
  <c r="K156" i="11" s="1"/>
  <c r="J106" i="11"/>
  <c r="J156" i="11" s="1"/>
  <c r="AC58" i="8"/>
  <c r="AG64" i="8"/>
  <c r="AG91" i="8" s="1"/>
  <c r="AB65" i="8"/>
  <c r="AB92" i="8" s="1"/>
  <c r="AK66" i="8"/>
  <c r="AK93" i="8" s="1"/>
  <c r="P68" i="8"/>
  <c r="P95" i="8" s="1"/>
  <c r="AE73" i="8"/>
  <c r="AF95" i="9"/>
  <c r="AF135" i="9" s="1"/>
  <c r="X95" i="9"/>
  <c r="X135" i="9" s="1"/>
  <c r="P95" i="9"/>
  <c r="P135" i="9" s="1"/>
  <c r="H95" i="9"/>
  <c r="H135" i="9" s="1"/>
  <c r="AE95" i="9"/>
  <c r="AE135" i="9" s="1"/>
  <c r="W95" i="9"/>
  <c r="W135" i="9" s="1"/>
  <c r="O95" i="9"/>
  <c r="O135" i="9" s="1"/>
  <c r="AJ95" i="9"/>
  <c r="AJ135" i="9" s="1"/>
  <c r="AB95" i="9"/>
  <c r="AB135" i="9" s="1"/>
  <c r="T95" i="9"/>
  <c r="T135" i="9" s="1"/>
  <c r="L95" i="9"/>
  <c r="L135" i="9" s="1"/>
  <c r="AI95" i="9"/>
  <c r="AI135" i="9" s="1"/>
  <c r="V95" i="9"/>
  <c r="V135" i="9" s="1"/>
  <c r="J95" i="9"/>
  <c r="J135" i="9" s="1"/>
  <c r="AH95" i="9"/>
  <c r="AH135" i="9" s="1"/>
  <c r="U95" i="9"/>
  <c r="U135" i="9" s="1"/>
  <c r="I95" i="9"/>
  <c r="I135" i="9" s="1"/>
  <c r="AG95" i="9"/>
  <c r="AG135" i="9" s="1"/>
  <c r="S95" i="9"/>
  <c r="S135" i="9" s="1"/>
  <c r="AC95" i="9"/>
  <c r="AC135" i="9" s="1"/>
  <c r="Q95" i="9"/>
  <c r="Q135" i="9" s="1"/>
  <c r="R95" i="9"/>
  <c r="R135" i="9" s="1"/>
  <c r="N95" i="9"/>
  <c r="N135" i="9" s="1"/>
  <c r="M95" i="9"/>
  <c r="M135" i="9" s="1"/>
  <c r="AE89" i="9"/>
  <c r="AE129" i="9" s="1"/>
  <c r="AH62" i="8"/>
  <c r="AH89" i="8" s="1"/>
  <c r="AG62" i="8"/>
  <c r="AG89" i="8" s="1"/>
  <c r="Y62" i="8"/>
  <c r="Y89" i="8" s="1"/>
  <c r="Q62" i="8"/>
  <c r="Q89" i="8" s="1"/>
  <c r="I62" i="8"/>
  <c r="I89" i="8" s="1"/>
  <c r="AF62" i="8"/>
  <c r="AF89" i="8" s="1"/>
  <c r="X62" i="8"/>
  <c r="X89" i="8" s="1"/>
  <c r="P62" i="8"/>
  <c r="P89" i="8" s="1"/>
  <c r="H62" i="8"/>
  <c r="H89" i="8" s="1"/>
  <c r="D19" i="8"/>
  <c r="F54" i="8"/>
  <c r="F53" i="8" s="1"/>
  <c r="F83" i="8" s="1"/>
  <c r="H57" i="8"/>
  <c r="H58" i="8" s="1"/>
  <c r="P57" i="8"/>
  <c r="X57" i="8"/>
  <c r="J61" i="8"/>
  <c r="S61" i="8"/>
  <c r="AC61" i="8"/>
  <c r="K62" i="8"/>
  <c r="K89" i="8" s="1"/>
  <c r="U62" i="8"/>
  <c r="U89" i="8" s="1"/>
  <c r="AE62" i="8"/>
  <c r="AE89" i="8" s="1"/>
  <c r="O63" i="8"/>
  <c r="O90" i="8" s="1"/>
  <c r="J64" i="8"/>
  <c r="J91" i="8" s="1"/>
  <c r="X64" i="8"/>
  <c r="X91" i="8" s="1"/>
  <c r="AI64" i="8"/>
  <c r="AI91" i="8" s="1"/>
  <c r="S65" i="8"/>
  <c r="S92" i="8" s="1"/>
  <c r="AG65" i="8"/>
  <c r="AG92" i="8" s="1"/>
  <c r="N66" i="8"/>
  <c r="N93" i="8" s="1"/>
  <c r="AB66" i="8"/>
  <c r="AB93" i="8" s="1"/>
  <c r="I67" i="8"/>
  <c r="I94" i="8" s="1"/>
  <c r="W67" i="8"/>
  <c r="W94" i="8" s="1"/>
  <c r="AK67" i="8"/>
  <c r="AK94" i="8" s="1"/>
  <c r="R68" i="8"/>
  <c r="R95" i="8" s="1"/>
  <c r="K73" i="8"/>
  <c r="V73" i="8"/>
  <c r="AF87" i="8"/>
  <c r="AJ93" i="9"/>
  <c r="AJ133" i="9" s="1"/>
  <c r="AB93" i="9"/>
  <c r="AB133" i="9" s="1"/>
  <c r="T93" i="9"/>
  <c r="T133" i="9" s="1"/>
  <c r="L93" i="9"/>
  <c r="L133" i="9" s="1"/>
  <c r="AI93" i="9"/>
  <c r="AI133" i="9" s="1"/>
  <c r="AA93" i="9"/>
  <c r="AA133" i="9" s="1"/>
  <c r="S93" i="9"/>
  <c r="S133" i="9" s="1"/>
  <c r="K93" i="9"/>
  <c r="K133" i="9" s="1"/>
  <c r="AF93" i="9"/>
  <c r="AF133" i="9" s="1"/>
  <c r="X93" i="9"/>
  <c r="X133" i="9" s="1"/>
  <c r="P93" i="9"/>
  <c r="P133" i="9" s="1"/>
  <c r="H93" i="9"/>
  <c r="H133" i="9" s="1"/>
  <c r="AE93" i="9"/>
  <c r="AE133" i="9" s="1"/>
  <c r="R93" i="9"/>
  <c r="R133" i="9" s="1"/>
  <c r="AD93" i="9"/>
  <c r="AD133" i="9" s="1"/>
  <c r="Q93" i="9"/>
  <c r="Q133" i="9" s="1"/>
  <c r="AC93" i="9"/>
  <c r="AC133" i="9" s="1"/>
  <c r="O93" i="9"/>
  <c r="O133" i="9" s="1"/>
  <c r="Y93" i="9"/>
  <c r="Y133" i="9" s="1"/>
  <c r="M93" i="9"/>
  <c r="M133" i="9" s="1"/>
  <c r="Z93" i="9"/>
  <c r="Z133" i="9" s="1"/>
  <c r="W93" i="9"/>
  <c r="W133" i="9" s="1"/>
  <c r="V93" i="9"/>
  <c r="V133" i="9" s="1"/>
  <c r="AF71" i="9"/>
  <c r="X71" i="9"/>
  <c r="P71" i="9"/>
  <c r="H71" i="9"/>
  <c r="AE71" i="9"/>
  <c r="W71" i="9"/>
  <c r="O71" i="9"/>
  <c r="AD71" i="9"/>
  <c r="AD78" i="9" s="1"/>
  <c r="V71" i="9"/>
  <c r="N71" i="9"/>
  <c r="AJ71" i="9"/>
  <c r="AB71" i="9"/>
  <c r="T71" i="9"/>
  <c r="L71" i="9"/>
  <c r="AC71" i="9"/>
  <c r="M71" i="9"/>
  <c r="AA71" i="9"/>
  <c r="K71" i="9"/>
  <c r="Z71" i="9"/>
  <c r="J71" i="9"/>
  <c r="AG71" i="9"/>
  <c r="AG78" i="9" s="1"/>
  <c r="M121" i="9"/>
  <c r="AC121" i="9"/>
  <c r="M85" i="9"/>
  <c r="M125" i="9" s="1"/>
  <c r="AG85" i="9"/>
  <c r="AG125" i="9" s="1"/>
  <c r="AF86" i="9"/>
  <c r="AF126" i="9" s="1"/>
  <c r="AG88" i="9"/>
  <c r="AG128" i="9" s="1"/>
  <c r="T90" i="9"/>
  <c r="T130" i="9" s="1"/>
  <c r="V91" i="9"/>
  <c r="V131" i="9" s="1"/>
  <c r="I93" i="9"/>
  <c r="I133" i="9" s="1"/>
  <c r="AA95" i="9"/>
  <c r="AA135" i="9" s="1"/>
  <c r="E112" i="9"/>
  <c r="U116" i="9"/>
  <c r="AC116" i="9"/>
  <c r="AK116" i="9"/>
  <c r="K88" i="9"/>
  <c r="K128" i="9" s="1"/>
  <c r="K65" i="8"/>
  <c r="K92" i="8" s="1"/>
  <c r="AJ97" i="9"/>
  <c r="AJ137" i="9" s="1"/>
  <c r="AB97" i="9"/>
  <c r="AB137" i="9" s="1"/>
  <c r="T97" i="9"/>
  <c r="T137" i="9" s="1"/>
  <c r="L97" i="9"/>
  <c r="L137" i="9" s="1"/>
  <c r="AI97" i="9"/>
  <c r="AI137" i="9" s="1"/>
  <c r="AA97" i="9"/>
  <c r="AA137" i="9" s="1"/>
  <c r="S97" i="9"/>
  <c r="S137" i="9" s="1"/>
  <c r="K97" i="9"/>
  <c r="K137" i="9" s="1"/>
  <c r="AF97" i="9"/>
  <c r="AF137" i="9" s="1"/>
  <c r="X97" i="9"/>
  <c r="X137" i="9" s="1"/>
  <c r="P97" i="9"/>
  <c r="P137" i="9" s="1"/>
  <c r="H97" i="9"/>
  <c r="H137" i="9" s="1"/>
  <c r="Z97" i="9"/>
  <c r="Z137" i="9" s="1"/>
  <c r="N97" i="9"/>
  <c r="N137" i="9" s="1"/>
  <c r="Y97" i="9"/>
  <c r="Y137" i="9" s="1"/>
  <c r="M97" i="9"/>
  <c r="M137" i="9" s="1"/>
  <c r="AK97" i="9"/>
  <c r="AK137" i="9" s="1"/>
  <c r="W97" i="9"/>
  <c r="W137" i="9" s="1"/>
  <c r="J97" i="9"/>
  <c r="J137" i="9" s="1"/>
  <c r="AG97" i="9"/>
  <c r="AG137" i="9" s="1"/>
  <c r="U97" i="9"/>
  <c r="U137" i="9" s="1"/>
  <c r="AH97" i="9"/>
  <c r="AH137" i="9" s="1"/>
  <c r="I97" i="9"/>
  <c r="I137" i="9" s="1"/>
  <c r="AE97" i="9"/>
  <c r="AE137" i="9" s="1"/>
  <c r="AD97" i="9"/>
  <c r="AD137" i="9" s="1"/>
  <c r="Q78" i="9"/>
  <c r="L65" i="8"/>
  <c r="L92" i="8" s="1"/>
  <c r="U66" i="8"/>
  <c r="U93" i="8" s="1"/>
  <c r="Y95" i="8"/>
  <c r="Y116" i="9"/>
  <c r="AH73" i="8"/>
  <c r="Z73" i="8"/>
  <c r="R73" i="8"/>
  <c r="J73" i="8"/>
  <c r="AG73" i="8"/>
  <c r="Y73" i="8"/>
  <c r="Q73" i="8"/>
  <c r="I73" i="8"/>
  <c r="AF73" i="8"/>
  <c r="X73" i="8"/>
  <c r="P73" i="8"/>
  <c r="H73" i="8"/>
  <c r="G48" i="8"/>
  <c r="AF64" i="8"/>
  <c r="AF91" i="8" s="1"/>
  <c r="K66" i="8"/>
  <c r="K93" i="8" s="1"/>
  <c r="Q67" i="8"/>
  <c r="Q94" i="8" s="1"/>
  <c r="S73" i="8"/>
  <c r="T87" i="8"/>
  <c r="AD68" i="8"/>
  <c r="AD95" i="8" s="1"/>
  <c r="V68" i="8"/>
  <c r="V95" i="8" s="1"/>
  <c r="N68" i="8"/>
  <c r="N95" i="8" s="1"/>
  <c r="AK68" i="8"/>
  <c r="AK95" i="8" s="1"/>
  <c r="AC68" i="8"/>
  <c r="AC95" i="8" s="1"/>
  <c r="U68" i="8"/>
  <c r="U95" i="8" s="1"/>
  <c r="M68" i="8"/>
  <c r="M95" i="8" s="1"/>
  <c r="AJ68" i="8"/>
  <c r="AJ95" i="8" s="1"/>
  <c r="AB68" i="8"/>
  <c r="AB95" i="8" s="1"/>
  <c r="T68" i="8"/>
  <c r="T95" i="8" s="1"/>
  <c r="L68" i="8"/>
  <c r="L95" i="8" s="1"/>
  <c r="H64" i="8"/>
  <c r="H91" i="8" s="1"/>
  <c r="Q65" i="8"/>
  <c r="Q92" i="8" s="1"/>
  <c r="W66" i="8"/>
  <c r="W93" i="8" s="1"/>
  <c r="AF67" i="8"/>
  <c r="AF94" i="8" s="1"/>
  <c r="T73" i="8"/>
  <c r="AJ63" i="8"/>
  <c r="AJ90" i="8" s="1"/>
  <c r="AB63" i="8"/>
  <c r="AB90" i="8" s="1"/>
  <c r="T63" i="8"/>
  <c r="T90" i="8" s="1"/>
  <c r="L63" i="8"/>
  <c r="L90" i="8" s="1"/>
  <c r="AI63" i="8"/>
  <c r="AI90" i="8" s="1"/>
  <c r="AA63" i="8"/>
  <c r="AA90" i="8" s="1"/>
  <c r="S63" i="8"/>
  <c r="S90" i="8" s="1"/>
  <c r="K63" i="8"/>
  <c r="K90" i="8" s="1"/>
  <c r="AH63" i="8"/>
  <c r="AH90" i="8" s="1"/>
  <c r="Z63" i="8"/>
  <c r="Z90" i="8" s="1"/>
  <c r="R63" i="8"/>
  <c r="R90" i="8" s="1"/>
  <c r="J63" i="8"/>
  <c r="J90" i="8" s="1"/>
  <c r="D90" i="8" s="1"/>
  <c r="AH57" i="8"/>
  <c r="AH58" i="8" s="1"/>
  <c r="Z57" i="8"/>
  <c r="Z58" i="8" s="1"/>
  <c r="H53" i="8"/>
  <c r="I57" i="8"/>
  <c r="I58" i="8" s="1"/>
  <c r="Q57" i="8"/>
  <c r="Q58" i="8" s="1"/>
  <c r="Y57" i="8"/>
  <c r="Y58" i="8" s="1"/>
  <c r="AI57" i="8"/>
  <c r="AI58" i="8" s="1"/>
  <c r="K61" i="8"/>
  <c r="T61" i="8"/>
  <c r="AF61" i="8"/>
  <c r="L62" i="8"/>
  <c r="L89" i="8" s="1"/>
  <c r="V62" i="8"/>
  <c r="V89" i="8" s="1"/>
  <c r="AI62" i="8"/>
  <c r="AI89" i="8" s="1"/>
  <c r="P63" i="8"/>
  <c r="P90" i="8" s="1"/>
  <c r="AD63" i="8"/>
  <c r="AD90" i="8" s="1"/>
  <c r="K64" i="8"/>
  <c r="K91" i="8" s="1"/>
  <c r="Y64" i="8"/>
  <c r="Y91" i="8" s="1"/>
  <c r="I65" i="8"/>
  <c r="I92" i="8" s="1"/>
  <c r="T65" i="8"/>
  <c r="T92" i="8" s="1"/>
  <c r="AH65" i="8"/>
  <c r="AH92" i="8" s="1"/>
  <c r="O66" i="8"/>
  <c r="O93" i="8" s="1"/>
  <c r="AC66" i="8"/>
  <c r="AC93" i="8" s="1"/>
  <c r="M67" i="8"/>
  <c r="M94" i="8" s="1"/>
  <c r="X67" i="8"/>
  <c r="X94" i="8" s="1"/>
  <c r="H68" i="8"/>
  <c r="H95" i="8" s="1"/>
  <c r="D95" i="8" s="1"/>
  <c r="S68" i="8"/>
  <c r="S95" i="8" s="1"/>
  <c r="AG68" i="8"/>
  <c r="AG95" i="8" s="1"/>
  <c r="L73" i="8"/>
  <c r="W73" i="8"/>
  <c r="AK73" i="8"/>
  <c r="AG87" i="8"/>
  <c r="O88" i="8"/>
  <c r="AD82" i="9"/>
  <c r="AD122" i="9" s="1"/>
  <c r="V82" i="9"/>
  <c r="V122" i="9" s="1"/>
  <c r="N82" i="9"/>
  <c r="N122" i="9" s="1"/>
  <c r="AK82" i="9"/>
  <c r="AK122" i="9" s="1"/>
  <c r="AC82" i="9"/>
  <c r="AC122" i="9" s="1"/>
  <c r="U82" i="9"/>
  <c r="U122" i="9" s="1"/>
  <c r="M82" i="9"/>
  <c r="M122" i="9" s="1"/>
  <c r="AJ82" i="9"/>
  <c r="AB82" i="9"/>
  <c r="AB122" i="9" s="1"/>
  <c r="T82" i="9"/>
  <c r="T122" i="9" s="1"/>
  <c r="L82" i="9"/>
  <c r="L122" i="9" s="1"/>
  <c r="AH82" i="9"/>
  <c r="AH122" i="9" s="1"/>
  <c r="Z82" i="9"/>
  <c r="Z122" i="9" s="1"/>
  <c r="R82" i="9"/>
  <c r="R122" i="9" s="1"/>
  <c r="J82" i="9"/>
  <c r="J122" i="9" s="1"/>
  <c r="AI82" i="9"/>
  <c r="AI122" i="9" s="1"/>
  <c r="S82" i="9"/>
  <c r="S122" i="9" s="1"/>
  <c r="AG82" i="9"/>
  <c r="AG122" i="9" s="1"/>
  <c r="Q82" i="9"/>
  <c r="AF82" i="9"/>
  <c r="AF122" i="9" s="1"/>
  <c r="P82" i="9"/>
  <c r="P122" i="9" s="1"/>
  <c r="AH71" i="9"/>
  <c r="W82" i="9"/>
  <c r="W122" i="9" s="1"/>
  <c r="N85" i="9"/>
  <c r="N125" i="9" s="1"/>
  <c r="AK85" i="9"/>
  <c r="AK125" i="9" s="1"/>
  <c r="AG86" i="9"/>
  <c r="AG126" i="9" s="1"/>
  <c r="I88" i="9"/>
  <c r="I128" i="9" s="1"/>
  <c r="AJ88" i="9"/>
  <c r="AJ128" i="9" s="1"/>
  <c r="W90" i="9"/>
  <c r="W130" i="9" s="1"/>
  <c r="AC91" i="9"/>
  <c r="AC131" i="9" s="1"/>
  <c r="J93" i="9"/>
  <c r="J133" i="9" s="1"/>
  <c r="AD95" i="9"/>
  <c r="AD135" i="9" s="1"/>
  <c r="Q97" i="9"/>
  <c r="Q137" i="9" s="1"/>
  <c r="V116" i="9"/>
  <c r="AD116" i="9"/>
  <c r="N121" i="9"/>
  <c r="J87" i="8"/>
  <c r="R87" i="8"/>
  <c r="J76" i="9"/>
  <c r="J120" i="9" s="1"/>
  <c r="Z76" i="9"/>
  <c r="AD98" i="9"/>
  <c r="AD121" i="9"/>
  <c r="T84" i="9"/>
  <c r="T124" i="9" s="1"/>
  <c r="K87" i="9"/>
  <c r="K127" i="9" s="1"/>
  <c r="AA92" i="9"/>
  <c r="AA132" i="9" s="1"/>
  <c r="Q94" i="9"/>
  <c r="Q134" i="9" s="1"/>
  <c r="H96" i="9"/>
  <c r="H136" i="9" s="1"/>
  <c r="U102" i="9"/>
  <c r="AG98" i="11"/>
  <c r="AG148" i="11" s="1"/>
  <c r="Y98" i="11"/>
  <c r="Y148" i="11" s="1"/>
  <c r="Q98" i="11"/>
  <c r="Q148" i="11" s="1"/>
  <c r="I98" i="11"/>
  <c r="I148" i="11" s="1"/>
  <c r="AF98" i="11"/>
  <c r="AF148" i="11" s="1"/>
  <c r="X98" i="11"/>
  <c r="X148" i="11" s="1"/>
  <c r="P98" i="11"/>
  <c r="P148" i="11" s="1"/>
  <c r="H98" i="11"/>
  <c r="H148" i="11" s="1"/>
  <c r="AE98" i="11"/>
  <c r="AE148" i="11" s="1"/>
  <c r="W98" i="11"/>
  <c r="W148" i="11" s="1"/>
  <c r="O98" i="11"/>
  <c r="O148" i="11" s="1"/>
  <c r="AK98" i="11"/>
  <c r="AK148" i="11" s="1"/>
  <c r="AC98" i="11"/>
  <c r="AC148" i="11" s="1"/>
  <c r="U98" i="11"/>
  <c r="U148" i="11" s="1"/>
  <c r="M98" i="11"/>
  <c r="M148" i="11" s="1"/>
  <c r="AJ98" i="11"/>
  <c r="AJ148" i="11" s="1"/>
  <c r="AB98" i="11"/>
  <c r="AB148" i="11" s="1"/>
  <c r="T98" i="11"/>
  <c r="T148" i="11" s="1"/>
  <c r="L98" i="11"/>
  <c r="L148" i="11" s="1"/>
  <c r="AD98" i="11"/>
  <c r="AD148" i="11" s="1"/>
  <c r="J98" i="11"/>
  <c r="J148" i="11" s="1"/>
  <c r="AA98" i="11"/>
  <c r="AA148" i="11" s="1"/>
  <c r="Z98" i="11"/>
  <c r="Z148" i="11" s="1"/>
  <c r="V98" i="11"/>
  <c r="V148" i="11" s="1"/>
  <c r="S98" i="11"/>
  <c r="S148" i="11" s="1"/>
  <c r="R98" i="11"/>
  <c r="R148" i="11" s="1"/>
  <c r="K98" i="11"/>
  <c r="K148" i="11" s="1"/>
  <c r="AI98" i="11"/>
  <c r="AI148" i="11" s="1"/>
  <c r="AG114" i="11"/>
  <c r="AG164" i="11" s="1"/>
  <c r="Y114" i="11"/>
  <c r="Y164" i="11" s="1"/>
  <c r="Q114" i="11"/>
  <c r="Q164" i="11" s="1"/>
  <c r="I114" i="11"/>
  <c r="I164" i="11" s="1"/>
  <c r="AF114" i="11"/>
  <c r="AF164" i="11" s="1"/>
  <c r="X114" i="11"/>
  <c r="X164" i="11" s="1"/>
  <c r="P114" i="11"/>
  <c r="P164" i="11" s="1"/>
  <c r="H114" i="11"/>
  <c r="H164" i="11" s="1"/>
  <c r="AE114" i="11"/>
  <c r="AE164" i="11" s="1"/>
  <c r="W114" i="11"/>
  <c r="W164" i="11" s="1"/>
  <c r="O114" i="11"/>
  <c r="O164" i="11" s="1"/>
  <c r="AD114" i="11"/>
  <c r="AD164" i="11" s="1"/>
  <c r="V114" i="11"/>
  <c r="V164" i="11" s="1"/>
  <c r="N114" i="11"/>
  <c r="N164" i="11" s="1"/>
  <c r="AK114" i="11"/>
  <c r="AK164" i="11" s="1"/>
  <c r="AC114" i="11"/>
  <c r="AC164" i="11" s="1"/>
  <c r="U114" i="11"/>
  <c r="U164" i="11" s="1"/>
  <c r="M114" i="11"/>
  <c r="M164" i="11" s="1"/>
  <c r="AJ114" i="11"/>
  <c r="AJ164" i="11" s="1"/>
  <c r="AB114" i="11"/>
  <c r="AB164" i="11" s="1"/>
  <c r="T114" i="11"/>
  <c r="T164" i="11" s="1"/>
  <c r="L114" i="11"/>
  <c r="L164" i="11" s="1"/>
  <c r="S114" i="11"/>
  <c r="S164" i="11" s="1"/>
  <c r="R114" i="11"/>
  <c r="R164" i="11" s="1"/>
  <c r="K114" i="11"/>
  <c r="K164" i="11" s="1"/>
  <c r="J114" i="11"/>
  <c r="J164" i="11" s="1"/>
  <c r="AI114" i="11"/>
  <c r="AI164" i="11" s="1"/>
  <c r="AH114" i="11"/>
  <c r="AH164" i="11" s="1"/>
  <c r="AA114" i="11"/>
  <c r="AA164" i="11" s="1"/>
  <c r="Z114" i="11"/>
  <c r="Z164" i="11" s="1"/>
  <c r="AH98" i="11"/>
  <c r="AH148" i="11" s="1"/>
  <c r="K87" i="8"/>
  <c r="S87" i="8"/>
  <c r="AH84" i="9"/>
  <c r="AH124" i="9" s="1"/>
  <c r="Z84" i="9"/>
  <c r="Z124" i="9" s="1"/>
  <c r="R84" i="9"/>
  <c r="R124" i="9" s="1"/>
  <c r="J84" i="9"/>
  <c r="J124" i="9" s="1"/>
  <c r="AG84" i="9"/>
  <c r="AG124" i="9" s="1"/>
  <c r="Y84" i="9"/>
  <c r="Y124" i="9" s="1"/>
  <c r="Q84" i="9"/>
  <c r="Q124" i="9" s="1"/>
  <c r="I84" i="9"/>
  <c r="I124" i="9" s="1"/>
  <c r="AF84" i="9"/>
  <c r="AF124" i="9" s="1"/>
  <c r="X84" i="9"/>
  <c r="X124" i="9" s="1"/>
  <c r="P84" i="9"/>
  <c r="P124" i="9" s="1"/>
  <c r="H84" i="9"/>
  <c r="H124" i="9" s="1"/>
  <c r="AD84" i="9"/>
  <c r="AD124" i="9" s="1"/>
  <c r="V84" i="9"/>
  <c r="V124" i="9" s="1"/>
  <c r="N84" i="9"/>
  <c r="N124" i="9" s="1"/>
  <c r="AF87" i="9"/>
  <c r="AF127" i="9" s="1"/>
  <c r="X87" i="9"/>
  <c r="X127" i="9" s="1"/>
  <c r="P87" i="9"/>
  <c r="P127" i="9" s="1"/>
  <c r="H87" i="9"/>
  <c r="H127" i="9" s="1"/>
  <c r="AJ87" i="9"/>
  <c r="AJ127" i="9" s="1"/>
  <c r="AB87" i="9"/>
  <c r="AB127" i="9" s="1"/>
  <c r="AA87" i="9"/>
  <c r="AA127" i="9" s="1"/>
  <c r="R87" i="9"/>
  <c r="R127" i="9" s="1"/>
  <c r="I87" i="9"/>
  <c r="I127" i="9" s="1"/>
  <c r="AK87" i="9"/>
  <c r="AK127" i="9" s="1"/>
  <c r="Z87" i="9"/>
  <c r="Z127" i="9" s="1"/>
  <c r="Q87" i="9"/>
  <c r="Q127" i="9" s="1"/>
  <c r="AI87" i="9"/>
  <c r="AI127" i="9" s="1"/>
  <c r="Y87" i="9"/>
  <c r="Y127" i="9" s="1"/>
  <c r="O87" i="9"/>
  <c r="O127" i="9" s="1"/>
  <c r="AG87" i="9"/>
  <c r="AG127" i="9" s="1"/>
  <c r="V87" i="9"/>
  <c r="V127" i="9" s="1"/>
  <c r="M87" i="9"/>
  <c r="M127" i="9" s="1"/>
  <c r="AH96" i="9"/>
  <c r="AH136" i="9" s="1"/>
  <c r="Z96" i="9"/>
  <c r="Z136" i="9" s="1"/>
  <c r="R96" i="9"/>
  <c r="R136" i="9" s="1"/>
  <c r="J96" i="9"/>
  <c r="J136" i="9" s="1"/>
  <c r="AG96" i="9"/>
  <c r="AG136" i="9" s="1"/>
  <c r="Y96" i="9"/>
  <c r="Y136" i="9" s="1"/>
  <c r="Q96" i="9"/>
  <c r="Q136" i="9" s="1"/>
  <c r="I96" i="9"/>
  <c r="I136" i="9" s="1"/>
  <c r="AD96" i="9"/>
  <c r="AD136" i="9" s="1"/>
  <c r="V96" i="9"/>
  <c r="V136" i="9" s="1"/>
  <c r="N96" i="9"/>
  <c r="N136" i="9" s="1"/>
  <c r="AE96" i="9"/>
  <c r="AE136" i="9" s="1"/>
  <c r="S96" i="9"/>
  <c r="S136" i="9" s="1"/>
  <c r="AC96" i="9"/>
  <c r="AC136" i="9" s="1"/>
  <c r="P96" i="9"/>
  <c r="P136" i="9" s="1"/>
  <c r="AB96" i="9"/>
  <c r="AB136" i="9" s="1"/>
  <c r="O96" i="9"/>
  <c r="O136" i="9" s="1"/>
  <c r="AK96" i="9"/>
  <c r="AK136" i="9" s="1"/>
  <c r="X96" i="9"/>
  <c r="X136" i="9" s="1"/>
  <c r="L96" i="9"/>
  <c r="L136" i="9" s="1"/>
  <c r="D22" i="9"/>
  <c r="G64" i="9" s="1"/>
  <c r="K76" i="9"/>
  <c r="U84" i="9"/>
  <c r="U124" i="9" s="1"/>
  <c r="AK84" i="9"/>
  <c r="AK124" i="9" s="1"/>
  <c r="L87" i="9"/>
  <c r="L127" i="9" s="1"/>
  <c r="AE87" i="9"/>
  <c r="AE127" i="9" s="1"/>
  <c r="K96" i="9"/>
  <c r="K136" i="9" s="1"/>
  <c r="AJ96" i="9"/>
  <c r="AJ136" i="9" s="1"/>
  <c r="AI122" i="11"/>
  <c r="AA122" i="11"/>
  <c r="S122" i="11"/>
  <c r="K122" i="11"/>
  <c r="AH122" i="11"/>
  <c r="Z122" i="11"/>
  <c r="R122" i="11"/>
  <c r="J122" i="11"/>
  <c r="E78" i="11"/>
  <c r="E77" i="11" s="1"/>
  <c r="AG122" i="11"/>
  <c r="Y122" i="11"/>
  <c r="Q122" i="11"/>
  <c r="I122" i="11"/>
  <c r="AF122" i="11"/>
  <c r="X122" i="11"/>
  <c r="P122" i="11"/>
  <c r="H122" i="11"/>
  <c r="AE122" i="11"/>
  <c r="W122" i="11"/>
  <c r="O122" i="11"/>
  <c r="AD122" i="11"/>
  <c r="V122" i="11"/>
  <c r="N122" i="11"/>
  <c r="AC122" i="11"/>
  <c r="AB122" i="11"/>
  <c r="U122" i="11"/>
  <c r="T122" i="11"/>
  <c r="H77" i="11"/>
  <c r="M122" i="11"/>
  <c r="G72" i="11"/>
  <c r="L122" i="11"/>
  <c r="F72" i="11"/>
  <c r="AK122" i="11"/>
  <c r="E72" i="11"/>
  <c r="E168" i="11" s="1"/>
  <c r="D34" i="11"/>
  <c r="D28" i="11"/>
  <c r="G74" i="11" s="1"/>
  <c r="AJ122" i="11"/>
  <c r="AF102" i="9"/>
  <c r="X102" i="9"/>
  <c r="P102" i="9"/>
  <c r="H102" i="9"/>
  <c r="AE102" i="9"/>
  <c r="W102" i="9"/>
  <c r="O102" i="9"/>
  <c r="AJ102" i="9"/>
  <c r="AB102" i="9"/>
  <c r="T102" i="9"/>
  <c r="L102" i="9"/>
  <c r="AD102" i="9"/>
  <c r="R102" i="9"/>
  <c r="F68" i="9"/>
  <c r="D28" i="9"/>
  <c r="AC102" i="9"/>
  <c r="Q102" i="9"/>
  <c r="E68" i="9"/>
  <c r="E67" i="9" s="1"/>
  <c r="AA102" i="9"/>
  <c r="N102" i="9"/>
  <c r="AK102" i="9"/>
  <c r="Y102" i="9"/>
  <c r="K102" i="9"/>
  <c r="F62" i="9"/>
  <c r="AH92" i="9"/>
  <c r="AH132" i="9" s="1"/>
  <c r="Z92" i="9"/>
  <c r="Z132" i="9" s="1"/>
  <c r="R92" i="9"/>
  <c r="R132" i="9" s="1"/>
  <c r="J92" i="9"/>
  <c r="J132" i="9" s="1"/>
  <c r="AG92" i="9"/>
  <c r="AG132" i="9" s="1"/>
  <c r="Y92" i="9"/>
  <c r="Y132" i="9" s="1"/>
  <c r="Q92" i="9"/>
  <c r="Q132" i="9" s="1"/>
  <c r="I92" i="9"/>
  <c r="I132" i="9" s="1"/>
  <c r="AD92" i="9"/>
  <c r="AD132" i="9" s="1"/>
  <c r="V92" i="9"/>
  <c r="V132" i="9" s="1"/>
  <c r="N92" i="9"/>
  <c r="N132" i="9" s="1"/>
  <c r="AJ92" i="9"/>
  <c r="AJ132" i="9" s="1"/>
  <c r="W92" i="9"/>
  <c r="W132" i="9" s="1"/>
  <c r="K92" i="9"/>
  <c r="K132" i="9" s="1"/>
  <c r="AI92" i="9"/>
  <c r="AI132" i="9" s="1"/>
  <c r="U92" i="9"/>
  <c r="U132" i="9" s="1"/>
  <c r="H92" i="9"/>
  <c r="H132" i="9" s="1"/>
  <c r="AF92" i="9"/>
  <c r="AF132" i="9" s="1"/>
  <c r="T92" i="9"/>
  <c r="T132" i="9" s="1"/>
  <c r="AC92" i="9"/>
  <c r="AC132" i="9" s="1"/>
  <c r="P92" i="9"/>
  <c r="P132" i="9" s="1"/>
  <c r="AD94" i="9"/>
  <c r="AD134" i="9" s="1"/>
  <c r="V94" i="9"/>
  <c r="V134" i="9" s="1"/>
  <c r="N94" i="9"/>
  <c r="N134" i="9" s="1"/>
  <c r="AK94" i="9"/>
  <c r="AK134" i="9" s="1"/>
  <c r="AC94" i="9"/>
  <c r="AC134" i="9" s="1"/>
  <c r="U94" i="9"/>
  <c r="U134" i="9" s="1"/>
  <c r="M94" i="9"/>
  <c r="M134" i="9" s="1"/>
  <c r="AH94" i="9"/>
  <c r="AH134" i="9" s="1"/>
  <c r="Z94" i="9"/>
  <c r="Z134" i="9" s="1"/>
  <c r="R94" i="9"/>
  <c r="R134" i="9" s="1"/>
  <c r="J94" i="9"/>
  <c r="J134" i="9" s="1"/>
  <c r="AA94" i="9"/>
  <c r="AA134" i="9" s="1"/>
  <c r="O94" i="9"/>
  <c r="O134" i="9" s="1"/>
  <c r="Y94" i="9"/>
  <c r="Y134" i="9" s="1"/>
  <c r="L94" i="9"/>
  <c r="L134" i="9" s="1"/>
  <c r="AJ94" i="9"/>
  <c r="AJ134" i="9" s="1"/>
  <c r="X94" i="9"/>
  <c r="X134" i="9" s="1"/>
  <c r="K94" i="9"/>
  <c r="K134" i="9" s="1"/>
  <c r="AG94" i="9"/>
  <c r="AG134" i="9" s="1"/>
  <c r="T94" i="9"/>
  <c r="T134" i="9" s="1"/>
  <c r="H94" i="9"/>
  <c r="H134" i="9" s="1"/>
  <c r="AF76" i="9"/>
  <c r="AF120" i="9" s="1"/>
  <c r="X76" i="9"/>
  <c r="X120" i="9" s="1"/>
  <c r="P76" i="9"/>
  <c r="P120" i="9" s="1"/>
  <c r="H76" i="9"/>
  <c r="AE76" i="9"/>
  <c r="AE120" i="9" s="1"/>
  <c r="W76" i="9"/>
  <c r="W120" i="9" s="1"/>
  <c r="O76" i="9"/>
  <c r="O120" i="9" s="1"/>
  <c r="AD76" i="9"/>
  <c r="AD120" i="9" s="1"/>
  <c r="V76" i="9"/>
  <c r="V120" i="9" s="1"/>
  <c r="N76" i="9"/>
  <c r="N120" i="9" s="1"/>
  <c r="AJ76" i="9"/>
  <c r="AB76" i="9"/>
  <c r="AB120" i="9" s="1"/>
  <c r="T76" i="9"/>
  <c r="T120" i="9" s="1"/>
  <c r="L76" i="9"/>
  <c r="L120" i="9" s="1"/>
  <c r="M76" i="9"/>
  <c r="AC76" i="9"/>
  <c r="AC120" i="9" s="1"/>
  <c r="Q121" i="9"/>
  <c r="AG121" i="9"/>
  <c r="U123" i="9"/>
  <c r="W84" i="9"/>
  <c r="W124" i="9" s="1"/>
  <c r="N87" i="9"/>
  <c r="N127" i="9" s="1"/>
  <c r="AH87" i="9"/>
  <c r="AH127" i="9" s="1"/>
  <c r="AE92" i="9"/>
  <c r="AE132" i="9" s="1"/>
  <c r="W94" i="9"/>
  <c r="W134" i="9" s="1"/>
  <c r="M96" i="9"/>
  <c r="M136" i="9" s="1"/>
  <c r="AE98" i="9"/>
  <c r="Z102" i="9"/>
  <c r="N73" i="9"/>
  <c r="N117" i="9" s="1"/>
  <c r="V73" i="9"/>
  <c r="V117" i="9" s="1"/>
  <c r="AD73" i="9"/>
  <c r="AD117" i="9" s="1"/>
  <c r="H74" i="9"/>
  <c r="H118" i="9" s="1"/>
  <c r="P74" i="9"/>
  <c r="P118" i="9" s="1"/>
  <c r="X74" i="9"/>
  <c r="AF74" i="9"/>
  <c r="AF118" i="9" s="1"/>
  <c r="J75" i="9"/>
  <c r="R75" i="9"/>
  <c r="Z75" i="9"/>
  <c r="AH75" i="9"/>
  <c r="H81" i="9"/>
  <c r="P81" i="9"/>
  <c r="X81" i="9"/>
  <c r="AF81" i="9"/>
  <c r="L83" i="9"/>
  <c r="L123" i="9" s="1"/>
  <c r="T83" i="9"/>
  <c r="T123" i="9" s="1"/>
  <c r="AB83" i="9"/>
  <c r="AB123" i="9" s="1"/>
  <c r="AJ83" i="9"/>
  <c r="AJ123" i="9" s="1"/>
  <c r="AI99" i="11"/>
  <c r="AI149" i="11" s="1"/>
  <c r="AA99" i="11"/>
  <c r="AA149" i="11" s="1"/>
  <c r="S99" i="11"/>
  <c r="S149" i="11" s="1"/>
  <c r="K99" i="11"/>
  <c r="K149" i="11" s="1"/>
  <c r="AH99" i="11"/>
  <c r="AH149" i="11" s="1"/>
  <c r="Z99" i="11"/>
  <c r="Z149" i="11" s="1"/>
  <c r="R99" i="11"/>
  <c r="R149" i="11" s="1"/>
  <c r="J99" i="11"/>
  <c r="J149" i="11" s="1"/>
  <c r="AG99" i="11"/>
  <c r="AG149" i="11" s="1"/>
  <c r="Y99" i="11"/>
  <c r="Y149" i="11" s="1"/>
  <c r="Q99" i="11"/>
  <c r="Q149" i="11" s="1"/>
  <c r="I99" i="11"/>
  <c r="I149" i="11" s="1"/>
  <c r="AE99" i="11"/>
  <c r="AE149" i="11" s="1"/>
  <c r="W99" i="11"/>
  <c r="W149" i="11" s="1"/>
  <c r="O99" i="11"/>
  <c r="O149" i="11" s="1"/>
  <c r="AD99" i="11"/>
  <c r="AD149" i="11" s="1"/>
  <c r="V99" i="11"/>
  <c r="V149" i="11" s="1"/>
  <c r="N99" i="11"/>
  <c r="N149" i="11" s="1"/>
  <c r="U99" i="11"/>
  <c r="U149" i="11" s="1"/>
  <c r="T99" i="11"/>
  <c r="T149" i="11" s="1"/>
  <c r="AK99" i="11"/>
  <c r="AK149" i="11" s="1"/>
  <c r="P99" i="11"/>
  <c r="P149" i="11" s="1"/>
  <c r="AJ99" i="11"/>
  <c r="AJ149" i="11" s="1"/>
  <c r="M99" i="11"/>
  <c r="M149" i="11" s="1"/>
  <c r="AF99" i="11"/>
  <c r="AF149" i="11" s="1"/>
  <c r="L99" i="11"/>
  <c r="L149" i="11" s="1"/>
  <c r="AC99" i="11"/>
  <c r="AC149" i="11" s="1"/>
  <c r="H99" i="11"/>
  <c r="H149" i="11" s="1"/>
  <c r="X99" i="11"/>
  <c r="X149" i="11" s="1"/>
  <c r="AG110" i="11"/>
  <c r="AG160" i="11" s="1"/>
  <c r="Y110" i="11"/>
  <c r="Y160" i="11" s="1"/>
  <c r="Q110" i="11"/>
  <c r="Q160" i="11" s="1"/>
  <c r="I110" i="11"/>
  <c r="I160" i="11" s="1"/>
  <c r="AF110" i="11"/>
  <c r="AF160" i="11" s="1"/>
  <c r="X110" i="11"/>
  <c r="X160" i="11" s="1"/>
  <c r="P110" i="11"/>
  <c r="P160" i="11" s="1"/>
  <c r="H110" i="11"/>
  <c r="H160" i="11" s="1"/>
  <c r="AE110" i="11"/>
  <c r="AE160" i="11" s="1"/>
  <c r="W110" i="11"/>
  <c r="W160" i="11" s="1"/>
  <c r="O110" i="11"/>
  <c r="O160" i="11" s="1"/>
  <c r="AD110" i="11"/>
  <c r="AD160" i="11" s="1"/>
  <c r="V110" i="11"/>
  <c r="V160" i="11" s="1"/>
  <c r="N110" i="11"/>
  <c r="N160" i="11" s="1"/>
  <c r="AK110" i="11"/>
  <c r="AK160" i="11" s="1"/>
  <c r="AC110" i="11"/>
  <c r="AC160" i="11" s="1"/>
  <c r="U110" i="11"/>
  <c r="U160" i="11" s="1"/>
  <c r="M110" i="11"/>
  <c r="M160" i="11" s="1"/>
  <c r="AJ110" i="11"/>
  <c r="AJ160" i="11" s="1"/>
  <c r="AB110" i="11"/>
  <c r="AB160" i="11" s="1"/>
  <c r="T110" i="11"/>
  <c r="T160" i="11" s="1"/>
  <c r="L110" i="11"/>
  <c r="L160" i="11" s="1"/>
  <c r="K110" i="11"/>
  <c r="K160" i="11" s="1"/>
  <c r="J110" i="11"/>
  <c r="J160" i="11" s="1"/>
  <c r="AI110" i="11"/>
  <c r="AI160" i="11" s="1"/>
  <c r="AH110" i="11"/>
  <c r="AH160" i="11" s="1"/>
  <c r="AA110" i="11"/>
  <c r="AA160" i="11" s="1"/>
  <c r="Z110" i="11"/>
  <c r="Z160" i="11" s="1"/>
  <c r="S110" i="11"/>
  <c r="S160" i="11" s="1"/>
  <c r="H73" i="9"/>
  <c r="P73" i="9"/>
  <c r="X73" i="9"/>
  <c r="AF73" i="9"/>
  <c r="AF117" i="9" s="1"/>
  <c r="J74" i="9"/>
  <c r="J118" i="9" s="1"/>
  <c r="R74" i="9"/>
  <c r="R118" i="9" s="1"/>
  <c r="Z74" i="9"/>
  <c r="Z118" i="9" s="1"/>
  <c r="AH74" i="9"/>
  <c r="AH118" i="9" s="1"/>
  <c r="L75" i="9"/>
  <c r="T75" i="9"/>
  <c r="T119" i="9" s="1"/>
  <c r="AB75" i="9"/>
  <c r="AB119" i="9" s="1"/>
  <c r="AJ75" i="9"/>
  <c r="AJ119" i="9" s="1"/>
  <c r="J81" i="9"/>
  <c r="R81" i="9"/>
  <c r="Z81" i="9"/>
  <c r="AH81" i="9"/>
  <c r="N83" i="9"/>
  <c r="N123" i="9" s="1"/>
  <c r="V83" i="9"/>
  <c r="V123" i="9" s="1"/>
  <c r="AD83" i="9"/>
  <c r="AD123" i="9" s="1"/>
  <c r="R116" i="9"/>
  <c r="AI111" i="11"/>
  <c r="AI161" i="11" s="1"/>
  <c r="AA111" i="11"/>
  <c r="AA161" i="11" s="1"/>
  <c r="S111" i="11"/>
  <c r="S161" i="11" s="1"/>
  <c r="K111" i="11"/>
  <c r="K161" i="11" s="1"/>
  <c r="AH111" i="11"/>
  <c r="AH161" i="11" s="1"/>
  <c r="Z111" i="11"/>
  <c r="Z161" i="11" s="1"/>
  <c r="R111" i="11"/>
  <c r="R161" i="11" s="1"/>
  <c r="J111" i="11"/>
  <c r="J161" i="11" s="1"/>
  <c r="AG111" i="11"/>
  <c r="AG161" i="11" s="1"/>
  <c r="Y111" i="11"/>
  <c r="Y161" i="11" s="1"/>
  <c r="Q111" i="11"/>
  <c r="Q161" i="11" s="1"/>
  <c r="I111" i="11"/>
  <c r="I161" i="11" s="1"/>
  <c r="AF111" i="11"/>
  <c r="AF161" i="11" s="1"/>
  <c r="X111" i="11"/>
  <c r="X161" i="11" s="1"/>
  <c r="P111" i="11"/>
  <c r="P161" i="11" s="1"/>
  <c r="H111" i="11"/>
  <c r="H161" i="11" s="1"/>
  <c r="AE111" i="11"/>
  <c r="AE161" i="11" s="1"/>
  <c r="W111" i="11"/>
  <c r="W161" i="11" s="1"/>
  <c r="O111" i="11"/>
  <c r="O161" i="11" s="1"/>
  <c r="AD111" i="11"/>
  <c r="AD161" i="11" s="1"/>
  <c r="V111" i="11"/>
  <c r="V161" i="11" s="1"/>
  <c r="N111" i="11"/>
  <c r="N161" i="11" s="1"/>
  <c r="M111" i="11"/>
  <c r="M161" i="11" s="1"/>
  <c r="L111" i="11"/>
  <c r="L161" i="11" s="1"/>
  <c r="AK111" i="11"/>
  <c r="AK161" i="11" s="1"/>
  <c r="AJ111" i="11"/>
  <c r="AJ161" i="11" s="1"/>
  <c r="AC111" i="11"/>
  <c r="AC161" i="11" s="1"/>
  <c r="AB111" i="11"/>
  <c r="AB161" i="11" s="1"/>
  <c r="U111" i="11"/>
  <c r="U161" i="11" s="1"/>
  <c r="T145" i="11"/>
  <c r="K74" i="9"/>
  <c r="K118" i="9" s="1"/>
  <c r="S74" i="9"/>
  <c r="S118" i="9" s="1"/>
  <c r="AA74" i="9"/>
  <c r="AA118" i="9" s="1"/>
  <c r="AI74" i="9"/>
  <c r="AI118" i="9" s="1"/>
  <c r="M75" i="9"/>
  <c r="M119" i="9" s="1"/>
  <c r="U75" i="9"/>
  <c r="U119" i="9" s="1"/>
  <c r="AC75" i="9"/>
  <c r="AK75" i="9"/>
  <c r="AK119" i="9" s="1"/>
  <c r="K81" i="9"/>
  <c r="S81" i="9"/>
  <c r="AA81" i="9"/>
  <c r="AI81" i="9"/>
  <c r="O83" i="9"/>
  <c r="O123" i="9" s="1"/>
  <c r="W83" i="9"/>
  <c r="W123" i="9" s="1"/>
  <c r="AE83" i="9"/>
  <c r="AE123" i="9" s="1"/>
  <c r="AA116" i="9"/>
  <c r="AK104" i="11"/>
  <c r="AK154" i="11" s="1"/>
  <c r="AC104" i="11"/>
  <c r="AC154" i="11" s="1"/>
  <c r="U104" i="11"/>
  <c r="U154" i="11" s="1"/>
  <c r="M104" i="11"/>
  <c r="M154" i="11" s="1"/>
  <c r="AJ104" i="11"/>
  <c r="AJ154" i="11" s="1"/>
  <c r="AB104" i="11"/>
  <c r="AB154" i="11" s="1"/>
  <c r="T104" i="11"/>
  <c r="T154" i="11" s="1"/>
  <c r="L104" i="11"/>
  <c r="L154" i="11" s="1"/>
  <c r="AI104" i="11"/>
  <c r="AI154" i="11" s="1"/>
  <c r="AA104" i="11"/>
  <c r="AA154" i="11" s="1"/>
  <c r="S104" i="11"/>
  <c r="S154" i="11" s="1"/>
  <c r="K104" i="11"/>
  <c r="K154" i="11" s="1"/>
  <c r="AH104" i="11"/>
  <c r="AH154" i="11" s="1"/>
  <c r="Z104" i="11"/>
  <c r="Z154" i="11" s="1"/>
  <c r="R104" i="11"/>
  <c r="R154" i="11" s="1"/>
  <c r="J104" i="11"/>
  <c r="J154" i="11" s="1"/>
  <c r="AG104" i="11"/>
  <c r="AG154" i="11" s="1"/>
  <c r="Y104" i="11"/>
  <c r="Y154" i="11" s="1"/>
  <c r="Q104" i="11"/>
  <c r="Q154" i="11" s="1"/>
  <c r="I104" i="11"/>
  <c r="I154" i="11" s="1"/>
  <c r="AF104" i="11"/>
  <c r="AF154" i="11" s="1"/>
  <c r="X104" i="11"/>
  <c r="X154" i="11" s="1"/>
  <c r="P104" i="11"/>
  <c r="P154" i="11" s="1"/>
  <c r="H104" i="11"/>
  <c r="H154" i="11" s="1"/>
  <c r="AE104" i="11"/>
  <c r="AE154" i="11" s="1"/>
  <c r="AD104" i="11"/>
  <c r="AD154" i="11" s="1"/>
  <c r="W104" i="11"/>
  <c r="W154" i="11" s="1"/>
  <c r="V104" i="11"/>
  <c r="V154" i="11" s="1"/>
  <c r="O104" i="11"/>
  <c r="O154" i="11" s="1"/>
  <c r="N104" i="11"/>
  <c r="N154" i="11" s="1"/>
  <c r="AK108" i="11"/>
  <c r="AK158" i="11" s="1"/>
  <c r="AC108" i="11"/>
  <c r="AC158" i="11" s="1"/>
  <c r="U108" i="11"/>
  <c r="U158" i="11" s="1"/>
  <c r="M108" i="11"/>
  <c r="M158" i="11" s="1"/>
  <c r="AJ108" i="11"/>
  <c r="AJ158" i="11" s="1"/>
  <c r="AB108" i="11"/>
  <c r="AB158" i="11" s="1"/>
  <c r="T108" i="11"/>
  <c r="T158" i="11" s="1"/>
  <c r="L108" i="11"/>
  <c r="L158" i="11" s="1"/>
  <c r="AI108" i="11"/>
  <c r="AI158" i="11" s="1"/>
  <c r="AA108" i="11"/>
  <c r="AA158" i="11" s="1"/>
  <c r="S108" i="11"/>
  <c r="S158" i="11" s="1"/>
  <c r="K108" i="11"/>
  <c r="K158" i="11" s="1"/>
  <c r="AH108" i="11"/>
  <c r="AH158" i="11" s="1"/>
  <c r="Z108" i="11"/>
  <c r="Z158" i="11" s="1"/>
  <c r="R108" i="11"/>
  <c r="R158" i="11" s="1"/>
  <c r="J108" i="11"/>
  <c r="J158" i="11" s="1"/>
  <c r="AG108" i="11"/>
  <c r="AG158" i="11" s="1"/>
  <c r="Y108" i="11"/>
  <c r="Y158" i="11" s="1"/>
  <c r="Q108" i="11"/>
  <c r="Q158" i="11" s="1"/>
  <c r="I108" i="11"/>
  <c r="I158" i="11" s="1"/>
  <c r="AF108" i="11"/>
  <c r="AF158" i="11" s="1"/>
  <c r="X108" i="11"/>
  <c r="X158" i="11" s="1"/>
  <c r="P108" i="11"/>
  <c r="P158" i="11" s="1"/>
  <c r="H108" i="11"/>
  <c r="H158" i="11" s="1"/>
  <c r="AE108" i="11"/>
  <c r="AE158" i="11" s="1"/>
  <c r="AD108" i="11"/>
  <c r="AD158" i="11" s="1"/>
  <c r="W108" i="11"/>
  <c r="W158" i="11" s="1"/>
  <c r="V108" i="11"/>
  <c r="V158" i="11" s="1"/>
  <c r="O108" i="11"/>
  <c r="O158" i="11" s="1"/>
  <c r="N108" i="11"/>
  <c r="N158" i="11" s="1"/>
  <c r="AK112" i="11"/>
  <c r="AK162" i="11" s="1"/>
  <c r="AC112" i="11"/>
  <c r="AC162" i="11" s="1"/>
  <c r="U112" i="11"/>
  <c r="U162" i="11" s="1"/>
  <c r="M112" i="11"/>
  <c r="M162" i="11" s="1"/>
  <c r="AJ112" i="11"/>
  <c r="AJ162" i="11" s="1"/>
  <c r="AB112" i="11"/>
  <c r="AB162" i="11" s="1"/>
  <c r="T112" i="11"/>
  <c r="T162" i="11" s="1"/>
  <c r="L112" i="11"/>
  <c r="L162" i="11" s="1"/>
  <c r="AI112" i="11"/>
  <c r="AI162" i="11" s="1"/>
  <c r="AA112" i="11"/>
  <c r="AA162" i="11" s="1"/>
  <c r="S112" i="11"/>
  <c r="S162" i="11" s="1"/>
  <c r="K112" i="11"/>
  <c r="K162" i="11" s="1"/>
  <c r="AH112" i="11"/>
  <c r="AH162" i="11" s="1"/>
  <c r="Z112" i="11"/>
  <c r="Z162" i="11" s="1"/>
  <c r="R112" i="11"/>
  <c r="R162" i="11" s="1"/>
  <c r="J112" i="11"/>
  <c r="J162" i="11" s="1"/>
  <c r="AG112" i="11"/>
  <c r="AG162" i="11" s="1"/>
  <c r="Y112" i="11"/>
  <c r="Y162" i="11" s="1"/>
  <c r="Q112" i="11"/>
  <c r="Q162" i="11" s="1"/>
  <c r="I112" i="11"/>
  <c r="I162" i="11" s="1"/>
  <c r="AF112" i="11"/>
  <c r="AF162" i="11" s="1"/>
  <c r="X112" i="11"/>
  <c r="X162" i="11" s="1"/>
  <c r="P112" i="11"/>
  <c r="P162" i="11" s="1"/>
  <c r="H112" i="11"/>
  <c r="H162" i="11" s="1"/>
  <c r="D162" i="11" s="1"/>
  <c r="G35" i="11" s="1"/>
  <c r="O112" i="11"/>
  <c r="O162" i="11" s="1"/>
  <c r="N112" i="11"/>
  <c r="N162" i="11" s="1"/>
  <c r="AE112" i="11"/>
  <c r="AE162" i="11" s="1"/>
  <c r="AD112" i="11"/>
  <c r="AD162" i="11" s="1"/>
  <c r="W112" i="11"/>
  <c r="W162" i="11" s="1"/>
  <c r="V112" i="11"/>
  <c r="V162" i="11" s="1"/>
  <c r="AK145" i="11"/>
  <c r="AK118" i="11"/>
  <c r="J73" i="9"/>
  <c r="R73" i="9"/>
  <c r="R78" i="9" s="1"/>
  <c r="Z73" i="9"/>
  <c r="Z117" i="9" s="1"/>
  <c r="L74" i="9"/>
  <c r="L118" i="9" s="1"/>
  <c r="T74" i="9"/>
  <c r="T118" i="9" s="1"/>
  <c r="AB74" i="9"/>
  <c r="AB118" i="9" s="1"/>
  <c r="N75" i="9"/>
  <c r="N119" i="9" s="1"/>
  <c r="V75" i="9"/>
  <c r="V119" i="9" s="1"/>
  <c r="L81" i="9"/>
  <c r="T81" i="9"/>
  <c r="AB81" i="9"/>
  <c r="H83" i="9"/>
  <c r="H123" i="9" s="1"/>
  <c r="P83" i="9"/>
  <c r="P123" i="9" s="1"/>
  <c r="X83" i="9"/>
  <c r="X123" i="9" s="1"/>
  <c r="L116" i="9"/>
  <c r="AJ116" i="9"/>
  <c r="AI120" i="9"/>
  <c r="AA120" i="9"/>
  <c r="S120" i="9"/>
  <c r="K120" i="9"/>
  <c r="AH119" i="9"/>
  <c r="Z119" i="9"/>
  <c r="R119" i="9"/>
  <c r="J119" i="9"/>
  <c r="D119" i="9" s="1"/>
  <c r="G10" i="9" s="1"/>
  <c r="AG118" i="9"/>
  <c r="Y118" i="9"/>
  <c r="Q118" i="9"/>
  <c r="I118" i="9"/>
  <c r="X117" i="9"/>
  <c r="P117" i="9"/>
  <c r="H117" i="9"/>
  <c r="W117" i="9"/>
  <c r="AG117" i="9"/>
  <c r="AC118" i="9"/>
  <c r="P119" i="9"/>
  <c r="Y119" i="9"/>
  <c r="AI119" i="9"/>
  <c r="M120" i="9"/>
  <c r="B143" i="11"/>
  <c r="C81" i="11"/>
  <c r="B65" i="11"/>
  <c r="AE101" i="11"/>
  <c r="AE151" i="11" s="1"/>
  <c r="W101" i="11"/>
  <c r="W151" i="11" s="1"/>
  <c r="O101" i="11"/>
  <c r="O151" i="11" s="1"/>
  <c r="AD101" i="11"/>
  <c r="AD151" i="11" s="1"/>
  <c r="V101" i="11"/>
  <c r="V151" i="11" s="1"/>
  <c r="N101" i="11"/>
  <c r="N151" i="11" s="1"/>
  <c r="AK101" i="11"/>
  <c r="AK151" i="11" s="1"/>
  <c r="AC101" i="11"/>
  <c r="AC151" i="11" s="1"/>
  <c r="U101" i="11"/>
  <c r="U151" i="11" s="1"/>
  <c r="M101" i="11"/>
  <c r="M151" i="11" s="1"/>
  <c r="AJ101" i="11"/>
  <c r="AJ151" i="11" s="1"/>
  <c r="AB101" i="11"/>
  <c r="AB151" i="11" s="1"/>
  <c r="AI101" i="11"/>
  <c r="AI151" i="11" s="1"/>
  <c r="AA101" i="11"/>
  <c r="AA151" i="11" s="1"/>
  <c r="S101" i="11"/>
  <c r="S151" i="11" s="1"/>
  <c r="K101" i="11"/>
  <c r="K151" i="11" s="1"/>
  <c r="AH101" i="11"/>
  <c r="AH151" i="11" s="1"/>
  <c r="Z101" i="11"/>
  <c r="Z151" i="11" s="1"/>
  <c r="R101" i="11"/>
  <c r="R151" i="11" s="1"/>
  <c r="J101" i="11"/>
  <c r="J151" i="11" s="1"/>
  <c r="Y101" i="11"/>
  <c r="Y151" i="11" s="1"/>
  <c r="X101" i="11"/>
  <c r="X151" i="11" s="1"/>
  <c r="T101" i="11"/>
  <c r="T151" i="11" s="1"/>
  <c r="Q101" i="11"/>
  <c r="Q151" i="11" s="1"/>
  <c r="P101" i="11"/>
  <c r="P151" i="11" s="1"/>
  <c r="L101" i="11"/>
  <c r="L151" i="11" s="1"/>
  <c r="AI115" i="11"/>
  <c r="AI165" i="11" s="1"/>
  <c r="AA115" i="11"/>
  <c r="AA165" i="11" s="1"/>
  <c r="S115" i="11"/>
  <c r="S165" i="11" s="1"/>
  <c r="K115" i="11"/>
  <c r="K165" i="11" s="1"/>
  <c r="AH115" i="11"/>
  <c r="AH165" i="11" s="1"/>
  <c r="Z115" i="11"/>
  <c r="Z165" i="11" s="1"/>
  <c r="R115" i="11"/>
  <c r="R165" i="11" s="1"/>
  <c r="J115" i="11"/>
  <c r="J165" i="11" s="1"/>
  <c r="AG115" i="11"/>
  <c r="AG165" i="11" s="1"/>
  <c r="Y115" i="11"/>
  <c r="Y165" i="11" s="1"/>
  <c r="Q115" i="11"/>
  <c r="Q165" i="11" s="1"/>
  <c r="I115" i="11"/>
  <c r="I165" i="11" s="1"/>
  <c r="AF115" i="11"/>
  <c r="AF165" i="11" s="1"/>
  <c r="X115" i="11"/>
  <c r="X165" i="11" s="1"/>
  <c r="P115" i="11"/>
  <c r="P165" i="11" s="1"/>
  <c r="H115" i="11"/>
  <c r="H165" i="11" s="1"/>
  <c r="AE115" i="11"/>
  <c r="AE165" i="11" s="1"/>
  <c r="W115" i="11"/>
  <c r="W165" i="11" s="1"/>
  <c r="O115" i="11"/>
  <c r="O165" i="11" s="1"/>
  <c r="AD115" i="11"/>
  <c r="AD165" i="11" s="1"/>
  <c r="V115" i="11"/>
  <c r="V165" i="11" s="1"/>
  <c r="N115" i="11"/>
  <c r="N165" i="11" s="1"/>
  <c r="U115" i="11"/>
  <c r="U165" i="11" s="1"/>
  <c r="T115" i="11"/>
  <c r="T165" i="11" s="1"/>
  <c r="M115" i="11"/>
  <c r="M165" i="11" s="1"/>
  <c r="L115" i="11"/>
  <c r="L165" i="11" s="1"/>
  <c r="AK115" i="11"/>
  <c r="AK165" i="11" s="1"/>
  <c r="AJ115" i="11"/>
  <c r="AJ165" i="11" s="1"/>
  <c r="AC115" i="11"/>
  <c r="AC165" i="11" s="1"/>
  <c r="U145" i="11"/>
  <c r="AI107" i="11"/>
  <c r="AI157" i="11" s="1"/>
  <c r="AA107" i="11"/>
  <c r="AA157" i="11" s="1"/>
  <c r="S107" i="11"/>
  <c r="S157" i="11" s="1"/>
  <c r="K107" i="11"/>
  <c r="K157" i="11" s="1"/>
  <c r="AH107" i="11"/>
  <c r="AH157" i="11" s="1"/>
  <c r="Z107" i="11"/>
  <c r="Z157" i="11" s="1"/>
  <c r="R107" i="11"/>
  <c r="R157" i="11" s="1"/>
  <c r="J107" i="11"/>
  <c r="J157" i="11" s="1"/>
  <c r="AG107" i="11"/>
  <c r="AG157" i="11" s="1"/>
  <c r="Y107" i="11"/>
  <c r="Y157" i="11" s="1"/>
  <c r="Q107" i="11"/>
  <c r="Q157" i="11" s="1"/>
  <c r="I107" i="11"/>
  <c r="I157" i="11" s="1"/>
  <c r="AF107" i="11"/>
  <c r="AF157" i="11" s="1"/>
  <c r="X107" i="11"/>
  <c r="X157" i="11" s="1"/>
  <c r="P107" i="11"/>
  <c r="P157" i="11" s="1"/>
  <c r="H107" i="11"/>
  <c r="H157" i="11" s="1"/>
  <c r="AE107" i="11"/>
  <c r="AE157" i="11" s="1"/>
  <c r="W107" i="11"/>
  <c r="W157" i="11" s="1"/>
  <c r="O107" i="11"/>
  <c r="O157" i="11" s="1"/>
  <c r="AD107" i="11"/>
  <c r="AD157" i="11" s="1"/>
  <c r="V107" i="11"/>
  <c r="V157" i="11" s="1"/>
  <c r="N107" i="11"/>
  <c r="N157" i="11" s="1"/>
  <c r="AK107" i="11"/>
  <c r="AK157" i="11" s="1"/>
  <c r="AJ107" i="11"/>
  <c r="AJ157" i="11" s="1"/>
  <c r="AC107" i="11"/>
  <c r="AC157" i="11" s="1"/>
  <c r="AB107" i="11"/>
  <c r="AB157" i="11" s="1"/>
  <c r="U107" i="11"/>
  <c r="U157" i="11" s="1"/>
  <c r="T107" i="11"/>
  <c r="T157" i="11" s="1"/>
  <c r="AE109" i="11"/>
  <c r="AE159" i="11" s="1"/>
  <c r="W109" i="11"/>
  <c r="W159" i="11" s="1"/>
  <c r="O109" i="11"/>
  <c r="O159" i="11" s="1"/>
  <c r="AD109" i="11"/>
  <c r="AD159" i="11" s="1"/>
  <c r="V109" i="11"/>
  <c r="V159" i="11" s="1"/>
  <c r="N109" i="11"/>
  <c r="N159" i="11" s="1"/>
  <c r="AK109" i="11"/>
  <c r="AK159" i="11" s="1"/>
  <c r="AC109" i="11"/>
  <c r="AC159" i="11" s="1"/>
  <c r="U109" i="11"/>
  <c r="U159" i="11" s="1"/>
  <c r="M109" i="11"/>
  <c r="M159" i="11" s="1"/>
  <c r="AJ109" i="11"/>
  <c r="AJ159" i="11" s="1"/>
  <c r="AB109" i="11"/>
  <c r="AB159" i="11" s="1"/>
  <c r="T109" i="11"/>
  <c r="T159" i="11" s="1"/>
  <c r="L109" i="11"/>
  <c r="L159" i="11" s="1"/>
  <c r="AI109" i="11"/>
  <c r="AI159" i="11" s="1"/>
  <c r="AA109" i="11"/>
  <c r="AA159" i="11" s="1"/>
  <c r="S109" i="11"/>
  <c r="S159" i="11" s="1"/>
  <c r="K109" i="11"/>
  <c r="K159" i="11" s="1"/>
  <c r="AH109" i="11"/>
  <c r="AH159" i="11" s="1"/>
  <c r="Z109" i="11"/>
  <c r="Z159" i="11" s="1"/>
  <c r="R109" i="11"/>
  <c r="R159" i="11" s="1"/>
  <c r="J109" i="11"/>
  <c r="J159" i="11" s="1"/>
  <c r="I109" i="11"/>
  <c r="I159" i="11" s="1"/>
  <c r="H109" i="11"/>
  <c r="H159" i="11" s="1"/>
  <c r="AG109" i="11"/>
  <c r="AG159" i="11" s="1"/>
  <c r="AF109" i="11"/>
  <c r="AF159" i="11" s="1"/>
  <c r="Y109" i="11"/>
  <c r="Y159" i="11" s="1"/>
  <c r="X109" i="11"/>
  <c r="X159" i="11" s="1"/>
  <c r="D48" i="11"/>
  <c r="AE86" i="11"/>
  <c r="AE140" i="11" s="1"/>
  <c r="W86" i="11"/>
  <c r="O86" i="11"/>
  <c r="AD86" i="11"/>
  <c r="V86" i="11"/>
  <c r="V140" i="11" s="1"/>
  <c r="N86" i="11"/>
  <c r="AK86" i="11"/>
  <c r="AK140" i="11" s="1"/>
  <c r="AC86" i="11"/>
  <c r="U86" i="11"/>
  <c r="U140" i="11" s="1"/>
  <c r="M86" i="11"/>
  <c r="AI86" i="11"/>
  <c r="AA86" i="11"/>
  <c r="S86" i="11"/>
  <c r="S140" i="11" s="1"/>
  <c r="K86" i="11"/>
  <c r="AH86" i="11"/>
  <c r="Z86" i="11"/>
  <c r="R86" i="11"/>
  <c r="J86" i="11"/>
  <c r="X86" i="11"/>
  <c r="T86" i="11"/>
  <c r="Q86" i="11"/>
  <c r="Q140" i="11" s="1"/>
  <c r="AJ86" i="11"/>
  <c r="P86" i="11"/>
  <c r="P140" i="11" s="1"/>
  <c r="AG86" i="11"/>
  <c r="L86" i="11"/>
  <c r="L140" i="11" s="1"/>
  <c r="AF86" i="11"/>
  <c r="I86" i="11"/>
  <c r="J83" i="11"/>
  <c r="T97" i="11"/>
  <c r="T147" i="11" s="1"/>
  <c r="O100" i="11"/>
  <c r="O150" i="11" s="1"/>
  <c r="I117" i="9"/>
  <c r="R117" i="9"/>
  <c r="AA117" i="9"/>
  <c r="AJ117" i="9"/>
  <c r="N118" i="9"/>
  <c r="W118" i="9"/>
  <c r="K119" i="9"/>
  <c r="AC119" i="9"/>
  <c r="Y120" i="9"/>
  <c r="AH120" i="9"/>
  <c r="AK96" i="11"/>
  <c r="AK146" i="11" s="1"/>
  <c r="AC96" i="11"/>
  <c r="AC146" i="11" s="1"/>
  <c r="U96" i="11"/>
  <c r="U146" i="11" s="1"/>
  <c r="M96" i="11"/>
  <c r="M146" i="11" s="1"/>
  <c r="AJ96" i="11"/>
  <c r="AJ146" i="11" s="1"/>
  <c r="AB96" i="11"/>
  <c r="AB146" i="11" s="1"/>
  <c r="T96" i="11"/>
  <c r="T146" i="11" s="1"/>
  <c r="L96" i="11"/>
  <c r="L146" i="11" s="1"/>
  <c r="AI96" i="11"/>
  <c r="AI146" i="11" s="1"/>
  <c r="AA96" i="11"/>
  <c r="AA146" i="11" s="1"/>
  <c r="S96" i="11"/>
  <c r="S146" i="11" s="1"/>
  <c r="K96" i="11"/>
  <c r="K146" i="11" s="1"/>
  <c r="AG96" i="11"/>
  <c r="AG146" i="11" s="1"/>
  <c r="Y96" i="11"/>
  <c r="Y146" i="11" s="1"/>
  <c r="Q96" i="11"/>
  <c r="Q146" i="11" s="1"/>
  <c r="I96" i="11"/>
  <c r="I146" i="11" s="1"/>
  <c r="AF96" i="11"/>
  <c r="AF146" i="11" s="1"/>
  <c r="X96" i="11"/>
  <c r="X146" i="11" s="1"/>
  <c r="P96" i="11"/>
  <c r="P146" i="11" s="1"/>
  <c r="H96" i="11"/>
  <c r="H146" i="11" s="1"/>
  <c r="Z96" i="11"/>
  <c r="Z146" i="11" s="1"/>
  <c r="W96" i="11"/>
  <c r="W146" i="11" s="1"/>
  <c r="V96" i="11"/>
  <c r="V146" i="11" s="1"/>
  <c r="R96" i="11"/>
  <c r="R146" i="11" s="1"/>
  <c r="O96" i="11"/>
  <c r="O146" i="11" s="1"/>
  <c r="AH96" i="11"/>
  <c r="AH146" i="11" s="1"/>
  <c r="N96" i="11"/>
  <c r="N146" i="11" s="1"/>
  <c r="AG102" i="11"/>
  <c r="AG152" i="11" s="1"/>
  <c r="Y102" i="11"/>
  <c r="Y152" i="11" s="1"/>
  <c r="Q102" i="11"/>
  <c r="Q152" i="11" s="1"/>
  <c r="I102" i="11"/>
  <c r="I152" i="11" s="1"/>
  <c r="AF102" i="11"/>
  <c r="AF152" i="11" s="1"/>
  <c r="X102" i="11"/>
  <c r="X152" i="11" s="1"/>
  <c r="P102" i="11"/>
  <c r="P152" i="11" s="1"/>
  <c r="H102" i="11"/>
  <c r="H152" i="11" s="1"/>
  <c r="AE102" i="11"/>
  <c r="AE152" i="11" s="1"/>
  <c r="W102" i="11"/>
  <c r="W152" i="11" s="1"/>
  <c r="O102" i="11"/>
  <c r="O152" i="11" s="1"/>
  <c r="AD102" i="11"/>
  <c r="AD152" i="11" s="1"/>
  <c r="V102" i="11"/>
  <c r="V152" i="11" s="1"/>
  <c r="N102" i="11"/>
  <c r="N152" i="11" s="1"/>
  <c r="AK102" i="11"/>
  <c r="AK152" i="11" s="1"/>
  <c r="AC102" i="11"/>
  <c r="AC152" i="11" s="1"/>
  <c r="U102" i="11"/>
  <c r="U152" i="11" s="1"/>
  <c r="M102" i="11"/>
  <c r="M152" i="11" s="1"/>
  <c r="AJ102" i="11"/>
  <c r="AJ152" i="11" s="1"/>
  <c r="AB102" i="11"/>
  <c r="AB152" i="11" s="1"/>
  <c r="T102" i="11"/>
  <c r="T152" i="11" s="1"/>
  <c r="L102" i="11"/>
  <c r="L152" i="11" s="1"/>
  <c r="AA102" i="11"/>
  <c r="AA152" i="11" s="1"/>
  <c r="Z102" i="11"/>
  <c r="Z152" i="11" s="1"/>
  <c r="S102" i="11"/>
  <c r="S152" i="11" s="1"/>
  <c r="R102" i="11"/>
  <c r="R152" i="11" s="1"/>
  <c r="K102" i="11"/>
  <c r="K152" i="11" s="1"/>
  <c r="J102" i="11"/>
  <c r="J152" i="11" s="1"/>
  <c r="H86" i="11"/>
  <c r="AB115" i="11"/>
  <c r="AB165" i="11" s="1"/>
  <c r="AF116" i="9"/>
  <c r="J117" i="9"/>
  <c r="S117" i="9"/>
  <c r="AB117" i="9"/>
  <c r="AK117" i="9"/>
  <c r="O118" i="9"/>
  <c r="X118" i="9"/>
  <c r="L119" i="9"/>
  <c r="AD119" i="9"/>
  <c r="H120" i="9"/>
  <c r="Q120" i="9"/>
  <c r="Z120" i="9"/>
  <c r="AJ120" i="9"/>
  <c r="AE97" i="11"/>
  <c r="AE147" i="11" s="1"/>
  <c r="W97" i="11"/>
  <c r="W147" i="11" s="1"/>
  <c r="O97" i="11"/>
  <c r="O147" i="11" s="1"/>
  <c r="AD97" i="11"/>
  <c r="AD147" i="11" s="1"/>
  <c r="V97" i="11"/>
  <c r="V147" i="11" s="1"/>
  <c r="N97" i="11"/>
  <c r="N147" i="11" s="1"/>
  <c r="AK97" i="11"/>
  <c r="AK147" i="11" s="1"/>
  <c r="AC97" i="11"/>
  <c r="AC147" i="11" s="1"/>
  <c r="U97" i="11"/>
  <c r="U147" i="11" s="1"/>
  <c r="M97" i="11"/>
  <c r="M147" i="11" s="1"/>
  <c r="AI97" i="11"/>
  <c r="AI147" i="11" s="1"/>
  <c r="AA97" i="11"/>
  <c r="AA147" i="11" s="1"/>
  <c r="S97" i="11"/>
  <c r="S147" i="11" s="1"/>
  <c r="K97" i="11"/>
  <c r="K147" i="11" s="1"/>
  <c r="AH97" i="11"/>
  <c r="AH147" i="11" s="1"/>
  <c r="Z97" i="11"/>
  <c r="Z147" i="11" s="1"/>
  <c r="R97" i="11"/>
  <c r="R147" i="11" s="1"/>
  <c r="J97" i="11"/>
  <c r="J147" i="11" s="1"/>
  <c r="Q97" i="11"/>
  <c r="Q147" i="11" s="1"/>
  <c r="AJ97" i="11"/>
  <c r="AJ147" i="11" s="1"/>
  <c r="P97" i="11"/>
  <c r="P147" i="11" s="1"/>
  <c r="AG97" i="11"/>
  <c r="AG147" i="11" s="1"/>
  <c r="L97" i="11"/>
  <c r="L147" i="11" s="1"/>
  <c r="AF97" i="11"/>
  <c r="AF147" i="11" s="1"/>
  <c r="I97" i="11"/>
  <c r="I147" i="11" s="1"/>
  <c r="AB97" i="11"/>
  <c r="AB147" i="11" s="1"/>
  <c r="H97" i="11"/>
  <c r="H147" i="11" s="1"/>
  <c r="Y97" i="11"/>
  <c r="Y147" i="11" s="1"/>
  <c r="AK100" i="11"/>
  <c r="AK150" i="11" s="1"/>
  <c r="AC100" i="11"/>
  <c r="AC150" i="11" s="1"/>
  <c r="U100" i="11"/>
  <c r="U150" i="11" s="1"/>
  <c r="M100" i="11"/>
  <c r="M150" i="11" s="1"/>
  <c r="AJ100" i="11"/>
  <c r="AJ150" i="11" s="1"/>
  <c r="AB100" i="11"/>
  <c r="AB150" i="11" s="1"/>
  <c r="T100" i="11"/>
  <c r="T150" i="11" s="1"/>
  <c r="L100" i="11"/>
  <c r="L150" i="11" s="1"/>
  <c r="AI100" i="11"/>
  <c r="AI150" i="11" s="1"/>
  <c r="AA100" i="11"/>
  <c r="AA150" i="11" s="1"/>
  <c r="S100" i="11"/>
  <c r="S150" i="11" s="1"/>
  <c r="K100" i="11"/>
  <c r="K150" i="11" s="1"/>
  <c r="AG100" i="11"/>
  <c r="AG150" i="11" s="1"/>
  <c r="Y100" i="11"/>
  <c r="Y150" i="11" s="1"/>
  <c r="Q100" i="11"/>
  <c r="Q150" i="11" s="1"/>
  <c r="I100" i="11"/>
  <c r="I150" i="11" s="1"/>
  <c r="AF100" i="11"/>
  <c r="AF150" i="11" s="1"/>
  <c r="X100" i="11"/>
  <c r="X150" i="11" s="1"/>
  <c r="P100" i="11"/>
  <c r="P150" i="11" s="1"/>
  <c r="H100" i="11"/>
  <c r="H150" i="11" s="1"/>
  <c r="AH100" i="11"/>
  <c r="AH150" i="11" s="1"/>
  <c r="N100" i="11"/>
  <c r="N150" i="11" s="1"/>
  <c r="AE100" i="11"/>
  <c r="AE150" i="11" s="1"/>
  <c r="J100" i="11"/>
  <c r="J150" i="11" s="1"/>
  <c r="AD100" i="11"/>
  <c r="AD150" i="11" s="1"/>
  <c r="Z100" i="11"/>
  <c r="Z150" i="11" s="1"/>
  <c r="W100" i="11"/>
  <c r="W150" i="11" s="1"/>
  <c r="V100" i="11"/>
  <c r="V150" i="11" s="1"/>
  <c r="AE105" i="11"/>
  <c r="AE155" i="11" s="1"/>
  <c r="W105" i="11"/>
  <c r="W155" i="11" s="1"/>
  <c r="O105" i="11"/>
  <c r="O155" i="11" s="1"/>
  <c r="AD105" i="11"/>
  <c r="AD155" i="11" s="1"/>
  <c r="V105" i="11"/>
  <c r="V155" i="11" s="1"/>
  <c r="N105" i="11"/>
  <c r="N155" i="11" s="1"/>
  <c r="AK105" i="11"/>
  <c r="AK155" i="11" s="1"/>
  <c r="AC105" i="11"/>
  <c r="AC155" i="11" s="1"/>
  <c r="U105" i="11"/>
  <c r="U155" i="11" s="1"/>
  <c r="M105" i="11"/>
  <c r="M155" i="11" s="1"/>
  <c r="AJ105" i="11"/>
  <c r="AJ155" i="11" s="1"/>
  <c r="AB105" i="11"/>
  <c r="AB155" i="11" s="1"/>
  <c r="T105" i="11"/>
  <c r="T155" i="11" s="1"/>
  <c r="L105" i="11"/>
  <c r="L155" i="11" s="1"/>
  <c r="AI105" i="11"/>
  <c r="AI155" i="11" s="1"/>
  <c r="AA105" i="11"/>
  <c r="AA155" i="11" s="1"/>
  <c r="S105" i="11"/>
  <c r="S155" i="11" s="1"/>
  <c r="K105" i="11"/>
  <c r="K155" i="11" s="1"/>
  <c r="AH105" i="11"/>
  <c r="AH155" i="11" s="1"/>
  <c r="Z105" i="11"/>
  <c r="Z155" i="11" s="1"/>
  <c r="R105" i="11"/>
  <c r="R155" i="11" s="1"/>
  <c r="J105" i="11"/>
  <c r="J155" i="11" s="1"/>
  <c r="AG105" i="11"/>
  <c r="AG155" i="11" s="1"/>
  <c r="AF105" i="11"/>
  <c r="AF155" i="11" s="1"/>
  <c r="Y105" i="11"/>
  <c r="Y155" i="11" s="1"/>
  <c r="X105" i="11"/>
  <c r="X155" i="11" s="1"/>
  <c r="Q105" i="11"/>
  <c r="Q155" i="11" s="1"/>
  <c r="P105" i="11"/>
  <c r="P155" i="11" s="1"/>
  <c r="AK116" i="11"/>
  <c r="AK166" i="11" s="1"/>
  <c r="AC116" i="11"/>
  <c r="AC166" i="11" s="1"/>
  <c r="U116" i="11"/>
  <c r="U166" i="11" s="1"/>
  <c r="M116" i="11"/>
  <c r="M166" i="11" s="1"/>
  <c r="AJ116" i="11"/>
  <c r="AJ166" i="11" s="1"/>
  <c r="AB116" i="11"/>
  <c r="AB166" i="11" s="1"/>
  <c r="T116" i="11"/>
  <c r="T166" i="11" s="1"/>
  <c r="L116" i="11"/>
  <c r="L166" i="11" s="1"/>
  <c r="AI116" i="11"/>
  <c r="AI166" i="11" s="1"/>
  <c r="AA116" i="11"/>
  <c r="AA166" i="11" s="1"/>
  <c r="S116" i="11"/>
  <c r="S166" i="11" s="1"/>
  <c r="K116" i="11"/>
  <c r="K166" i="11" s="1"/>
  <c r="AH116" i="11"/>
  <c r="AH166" i="11" s="1"/>
  <c r="Z116" i="11"/>
  <c r="Z166" i="11" s="1"/>
  <c r="R116" i="11"/>
  <c r="R166" i="11" s="1"/>
  <c r="J116" i="11"/>
  <c r="J166" i="11" s="1"/>
  <c r="AG116" i="11"/>
  <c r="AG166" i="11" s="1"/>
  <c r="Y116" i="11"/>
  <c r="Y166" i="11" s="1"/>
  <c r="Q116" i="11"/>
  <c r="Q166" i="11" s="1"/>
  <c r="I116" i="11"/>
  <c r="I166" i="11" s="1"/>
  <c r="AF116" i="11"/>
  <c r="AF166" i="11" s="1"/>
  <c r="X116" i="11"/>
  <c r="X166" i="11" s="1"/>
  <c r="P116" i="11"/>
  <c r="P166" i="11" s="1"/>
  <c r="H116" i="11"/>
  <c r="H166" i="11" s="1"/>
  <c r="D166" i="11" s="1"/>
  <c r="G39" i="11" s="1"/>
  <c r="W116" i="11"/>
  <c r="W166" i="11" s="1"/>
  <c r="V116" i="11"/>
  <c r="V166" i="11" s="1"/>
  <c r="O116" i="11"/>
  <c r="O166" i="11" s="1"/>
  <c r="N116" i="11"/>
  <c r="N166" i="11" s="1"/>
  <c r="AE116" i="11"/>
  <c r="AE166" i="11" s="1"/>
  <c r="AG83" i="11"/>
  <c r="AG137" i="11" s="1"/>
  <c r="Y83" i="11"/>
  <c r="Q83" i="11"/>
  <c r="Q137" i="11" s="1"/>
  <c r="I83" i="11"/>
  <c r="AF83" i="11"/>
  <c r="X83" i="11"/>
  <c r="P83" i="11"/>
  <c r="H83" i="11"/>
  <c r="AE83" i="11"/>
  <c r="W83" i="11"/>
  <c r="O83" i="11"/>
  <c r="AK83" i="11"/>
  <c r="AK137" i="11" s="1"/>
  <c r="AC83" i="11"/>
  <c r="U83" i="11"/>
  <c r="M83" i="11"/>
  <c r="M137" i="11" s="1"/>
  <c r="AJ83" i="11"/>
  <c r="AB83" i="11"/>
  <c r="AB137" i="11" s="1"/>
  <c r="T83" i="11"/>
  <c r="T137" i="11" s="1"/>
  <c r="L83" i="11"/>
  <c r="L137" i="11" s="1"/>
  <c r="AA83" i="11"/>
  <c r="Z83" i="11"/>
  <c r="V83" i="11"/>
  <c r="S83" i="11"/>
  <c r="S137" i="11" s="1"/>
  <c r="R83" i="11"/>
  <c r="R137" i="11" s="1"/>
  <c r="AI83" i="11"/>
  <c r="N83" i="11"/>
  <c r="AG87" i="11"/>
  <c r="AG141" i="11" s="1"/>
  <c r="Y87" i="11"/>
  <c r="Y141" i="11" s="1"/>
  <c r="Q87" i="11"/>
  <c r="I87" i="11"/>
  <c r="AF87" i="11"/>
  <c r="AF141" i="11" s="1"/>
  <c r="X87" i="11"/>
  <c r="P87" i="11"/>
  <c r="H87" i="11"/>
  <c r="H141" i="11" s="1"/>
  <c r="AE87" i="11"/>
  <c r="AE141" i="11" s="1"/>
  <c r="W87" i="11"/>
  <c r="O87" i="11"/>
  <c r="AK87" i="11"/>
  <c r="AC87" i="11"/>
  <c r="AC141" i="11" s="1"/>
  <c r="U87" i="11"/>
  <c r="U141" i="11" s="1"/>
  <c r="M87" i="11"/>
  <c r="M141" i="11" s="1"/>
  <c r="AJ87" i="11"/>
  <c r="AB87" i="11"/>
  <c r="AB141" i="11" s="1"/>
  <c r="T87" i="11"/>
  <c r="L87" i="11"/>
  <c r="AI87" i="11"/>
  <c r="AI141" i="11" s="1"/>
  <c r="N87" i="11"/>
  <c r="AH87" i="11"/>
  <c r="AH141" i="11" s="1"/>
  <c r="K87" i="11"/>
  <c r="K141" i="11" s="1"/>
  <c r="AD87" i="11"/>
  <c r="AD141" i="11" s="1"/>
  <c r="J87" i="11"/>
  <c r="J141" i="11" s="1"/>
  <c r="AA87" i="11"/>
  <c r="AA141" i="11" s="1"/>
  <c r="Z87" i="11"/>
  <c r="V87" i="11"/>
  <c r="AD83" i="11"/>
  <c r="AD137" i="11" s="1"/>
  <c r="Y86" i="11"/>
  <c r="P145" i="11"/>
  <c r="H101" i="11"/>
  <c r="H151" i="11" s="1"/>
  <c r="D151" i="11" s="1"/>
  <c r="G24" i="11" s="1"/>
  <c r="H105" i="11"/>
  <c r="H155" i="11" s="1"/>
  <c r="P109" i="11"/>
  <c r="P159" i="11" s="1"/>
  <c r="AD116" i="11"/>
  <c r="AD166" i="11" s="1"/>
  <c r="AI84" i="11"/>
  <c r="AA84" i="11"/>
  <c r="AA138" i="11" s="1"/>
  <c r="S84" i="11"/>
  <c r="S138" i="11" s="1"/>
  <c r="K84" i="11"/>
  <c r="AH84" i="11"/>
  <c r="Z84" i="11"/>
  <c r="Z138" i="11" s="1"/>
  <c r="R84" i="11"/>
  <c r="J84" i="11"/>
  <c r="J138" i="11" s="1"/>
  <c r="AG84" i="11"/>
  <c r="AG138" i="11" s="1"/>
  <c r="Y84" i="11"/>
  <c r="Q84" i="11"/>
  <c r="Q138" i="11" s="1"/>
  <c r="I84" i="11"/>
  <c r="AE84" i="11"/>
  <c r="W84" i="11"/>
  <c r="O84" i="11"/>
  <c r="AD84" i="11"/>
  <c r="V84" i="11"/>
  <c r="N84" i="11"/>
  <c r="N138" i="11" s="1"/>
  <c r="AI88" i="11"/>
  <c r="AI142" i="11" s="1"/>
  <c r="AA88" i="11"/>
  <c r="S88" i="11"/>
  <c r="K88" i="11"/>
  <c r="K142" i="11" s="1"/>
  <c r="AH88" i="11"/>
  <c r="AH142" i="11" s="1"/>
  <c r="Z88" i="11"/>
  <c r="Z142" i="11" s="1"/>
  <c r="R88" i="11"/>
  <c r="J88" i="11"/>
  <c r="AG88" i="11"/>
  <c r="Y88" i="11"/>
  <c r="Q88" i="11"/>
  <c r="I88" i="11"/>
  <c r="I142" i="11" s="1"/>
  <c r="AE88" i="11"/>
  <c r="W88" i="11"/>
  <c r="W142" i="11" s="1"/>
  <c r="O88" i="11"/>
  <c r="O142" i="11" s="1"/>
  <c r="AD88" i="11"/>
  <c r="AD142" i="11" s="1"/>
  <c r="V88" i="11"/>
  <c r="N88" i="11"/>
  <c r="AB84" i="11"/>
  <c r="R85" i="11"/>
  <c r="R139" i="11" s="1"/>
  <c r="M88" i="11"/>
  <c r="AJ88" i="11"/>
  <c r="Z89" i="11"/>
  <c r="Q90" i="11"/>
  <c r="Q144" i="11" s="1"/>
  <c r="L103" i="11"/>
  <c r="L153" i="11" s="1"/>
  <c r="AI95" i="11"/>
  <c r="AA95" i="11"/>
  <c r="S95" i="11"/>
  <c r="K95" i="11"/>
  <c r="AH95" i="11"/>
  <c r="Z95" i="11"/>
  <c r="R95" i="11"/>
  <c r="J95" i="11"/>
  <c r="AG95" i="11"/>
  <c r="Y95" i="11"/>
  <c r="Q95" i="11"/>
  <c r="I95" i="11"/>
  <c r="AE95" i="11"/>
  <c r="W95" i="11"/>
  <c r="O95" i="11"/>
  <c r="AD95" i="11"/>
  <c r="V95" i="11"/>
  <c r="N95" i="11"/>
  <c r="AE117" i="11"/>
  <c r="AE167" i="11" s="1"/>
  <c r="W117" i="11"/>
  <c r="W167" i="11" s="1"/>
  <c r="O117" i="11"/>
  <c r="O167" i="11" s="1"/>
  <c r="AD117" i="11"/>
  <c r="AD167" i="11" s="1"/>
  <c r="V117" i="11"/>
  <c r="V167" i="11" s="1"/>
  <c r="N117" i="11"/>
  <c r="N167" i="11" s="1"/>
  <c r="AK117" i="11"/>
  <c r="AK167" i="11" s="1"/>
  <c r="AC117" i="11"/>
  <c r="AC167" i="11" s="1"/>
  <c r="U117" i="11"/>
  <c r="U167" i="11" s="1"/>
  <c r="M117" i="11"/>
  <c r="M167" i="11" s="1"/>
  <c r="AJ117" i="11"/>
  <c r="AJ167" i="11" s="1"/>
  <c r="AB117" i="11"/>
  <c r="AB167" i="11" s="1"/>
  <c r="T117" i="11"/>
  <c r="T167" i="11" s="1"/>
  <c r="L117" i="11"/>
  <c r="L167" i="11" s="1"/>
  <c r="AI117" i="11"/>
  <c r="AI167" i="11" s="1"/>
  <c r="AA117" i="11"/>
  <c r="AA167" i="11" s="1"/>
  <c r="S117" i="11"/>
  <c r="S167" i="11" s="1"/>
  <c r="K117" i="11"/>
  <c r="K167" i="11" s="1"/>
  <c r="AH117" i="11"/>
  <c r="AH167" i="11" s="1"/>
  <c r="Z117" i="11"/>
  <c r="Z167" i="11" s="1"/>
  <c r="R117" i="11"/>
  <c r="R167" i="11" s="1"/>
  <c r="J117" i="11"/>
  <c r="J167" i="11" s="1"/>
  <c r="H84" i="11"/>
  <c r="AC84" i="11"/>
  <c r="P88" i="11"/>
  <c r="P142" i="11" s="1"/>
  <c r="AK88" i="11"/>
  <c r="AK142" i="11" s="1"/>
  <c r="T90" i="11"/>
  <c r="X95" i="11"/>
  <c r="M103" i="11"/>
  <c r="M153" i="11" s="1"/>
  <c r="I117" i="11"/>
  <c r="I167" i="11" s="1"/>
  <c r="D167" i="11" s="1"/>
  <c r="G40" i="11" s="1"/>
  <c r="AK85" i="11"/>
  <c r="AC85" i="11"/>
  <c r="AC139" i="11" s="1"/>
  <c r="U85" i="11"/>
  <c r="M85" i="11"/>
  <c r="M139" i="11" s="1"/>
  <c r="AJ85" i="11"/>
  <c r="AB85" i="11"/>
  <c r="T85" i="11"/>
  <c r="L85" i="11"/>
  <c r="AI85" i="11"/>
  <c r="AI139" i="11" s="1"/>
  <c r="AA85" i="11"/>
  <c r="AA139" i="11" s="1"/>
  <c r="S85" i="11"/>
  <c r="K85" i="11"/>
  <c r="K139" i="11" s="1"/>
  <c r="AG85" i="11"/>
  <c r="AG139" i="11" s="1"/>
  <c r="Y85" i="11"/>
  <c r="Y139" i="11" s="1"/>
  <c r="Q85" i="11"/>
  <c r="I85" i="11"/>
  <c r="AF85" i="11"/>
  <c r="X85" i="11"/>
  <c r="P85" i="11"/>
  <c r="H85" i="11"/>
  <c r="AK89" i="11"/>
  <c r="AC89" i="11"/>
  <c r="AC143" i="11" s="1"/>
  <c r="U89" i="11"/>
  <c r="M89" i="11"/>
  <c r="AJ89" i="11"/>
  <c r="AJ143" i="11" s="1"/>
  <c r="AB89" i="11"/>
  <c r="AB143" i="11" s="1"/>
  <c r="T89" i="11"/>
  <c r="L89" i="11"/>
  <c r="L143" i="11" s="1"/>
  <c r="AI89" i="11"/>
  <c r="AI143" i="11" s="1"/>
  <c r="AA89" i="11"/>
  <c r="AA143" i="11" s="1"/>
  <c r="S89" i="11"/>
  <c r="S143" i="11" s="1"/>
  <c r="K89" i="11"/>
  <c r="AG89" i="11"/>
  <c r="Y89" i="11"/>
  <c r="Y143" i="11" s="1"/>
  <c r="Q89" i="11"/>
  <c r="I89" i="11"/>
  <c r="I143" i="11" s="1"/>
  <c r="AF89" i="11"/>
  <c r="AF143" i="11" s="1"/>
  <c r="X89" i="11"/>
  <c r="P89" i="11"/>
  <c r="H89" i="11"/>
  <c r="L84" i="11"/>
  <c r="AF84" i="11"/>
  <c r="W85" i="11"/>
  <c r="W139" i="11" s="1"/>
  <c r="T88" i="11"/>
  <c r="J89" i="11"/>
  <c r="J143" i="11" s="1"/>
  <c r="AE89" i="11"/>
  <c r="AE143" i="11" s="1"/>
  <c r="X90" i="11"/>
  <c r="X144" i="11" s="1"/>
  <c r="AB95" i="11"/>
  <c r="AI103" i="11"/>
  <c r="AI153" i="11" s="1"/>
  <c r="AA103" i="11"/>
  <c r="AA153" i="11" s="1"/>
  <c r="S103" i="11"/>
  <c r="S153" i="11" s="1"/>
  <c r="K103" i="11"/>
  <c r="K153" i="11" s="1"/>
  <c r="AH103" i="11"/>
  <c r="AH153" i="11" s="1"/>
  <c r="Z103" i="11"/>
  <c r="Z153" i="11" s="1"/>
  <c r="R103" i="11"/>
  <c r="R153" i="11" s="1"/>
  <c r="J103" i="11"/>
  <c r="J153" i="11" s="1"/>
  <c r="AG103" i="11"/>
  <c r="AG153" i="11" s="1"/>
  <c r="Y103" i="11"/>
  <c r="Y153" i="11" s="1"/>
  <c r="Q103" i="11"/>
  <c r="Q153" i="11" s="1"/>
  <c r="I103" i="11"/>
  <c r="I153" i="11" s="1"/>
  <c r="AF103" i="11"/>
  <c r="AF153" i="11" s="1"/>
  <c r="X103" i="11"/>
  <c r="X153" i="11" s="1"/>
  <c r="P103" i="11"/>
  <c r="P153" i="11" s="1"/>
  <c r="H103" i="11"/>
  <c r="H153" i="11" s="1"/>
  <c r="AE103" i="11"/>
  <c r="AE153" i="11" s="1"/>
  <c r="W103" i="11"/>
  <c r="W153" i="11" s="1"/>
  <c r="O103" i="11"/>
  <c r="O153" i="11" s="1"/>
  <c r="AD103" i="11"/>
  <c r="AD153" i="11" s="1"/>
  <c r="V103" i="11"/>
  <c r="V153" i="11" s="1"/>
  <c r="N103" i="11"/>
  <c r="N153" i="11" s="1"/>
  <c r="M84" i="11"/>
  <c r="M138" i="11" s="1"/>
  <c r="AJ84" i="11"/>
  <c r="Z85" i="11"/>
  <c r="U88" i="11"/>
  <c r="U142" i="11" s="1"/>
  <c r="N89" i="11"/>
  <c r="AH89" i="11"/>
  <c r="AH143" i="11" s="1"/>
  <c r="H95" i="11"/>
  <c r="AC95" i="11"/>
  <c r="U103" i="11"/>
  <c r="U153" i="11" s="1"/>
  <c r="Q117" i="11"/>
  <c r="Q167" i="11" s="1"/>
  <c r="AE90" i="11"/>
  <c r="W90" i="11"/>
  <c r="W144" i="11" s="1"/>
  <c r="O90" i="11"/>
  <c r="AD90" i="11"/>
  <c r="V90" i="11"/>
  <c r="V144" i="11" s="1"/>
  <c r="N90" i="11"/>
  <c r="AK90" i="11"/>
  <c r="AC90" i="11"/>
  <c r="U90" i="11"/>
  <c r="M90" i="11"/>
  <c r="M144" i="11" s="1"/>
  <c r="AI90" i="11"/>
  <c r="AA90" i="11"/>
  <c r="S90" i="11"/>
  <c r="S144" i="11" s="1"/>
  <c r="K90" i="11"/>
  <c r="K144" i="11" s="1"/>
  <c r="AH90" i="11"/>
  <c r="Z90" i="11"/>
  <c r="R90" i="11"/>
  <c r="J90" i="11"/>
  <c r="P84" i="11"/>
  <c r="AK84" i="11"/>
  <c r="AK138" i="11" s="1"/>
  <c r="AD85" i="11"/>
  <c r="AD139" i="11" s="1"/>
  <c r="X88" i="11"/>
  <c r="X142" i="11" s="1"/>
  <c r="O89" i="11"/>
  <c r="H90" i="11"/>
  <c r="AB90" i="11"/>
  <c r="L95" i="11"/>
  <c r="AF95" i="11"/>
  <c r="AB103" i="11"/>
  <c r="AB153" i="11" s="1"/>
  <c r="X117" i="11"/>
  <c r="X167" i="11" s="1"/>
  <c r="T84" i="11"/>
  <c r="T138" i="11" s="1"/>
  <c r="J85" i="11"/>
  <c r="J139" i="11" s="1"/>
  <c r="AE85" i="11"/>
  <c r="AB88" i="11"/>
  <c r="R89" i="11"/>
  <c r="R143" i="11" s="1"/>
  <c r="I90" i="11"/>
  <c r="I144" i="11" s="1"/>
  <c r="AF90" i="11"/>
  <c r="AF144" i="11" s="1"/>
  <c r="M95" i="11"/>
  <c r="AJ95" i="11"/>
  <c r="AC103" i="11"/>
  <c r="AC153" i="11" s="1"/>
  <c r="Y117" i="11"/>
  <c r="Y167" i="11" s="1"/>
  <c r="AK144" i="11"/>
  <c r="AC144" i="11"/>
  <c r="U144" i="11"/>
  <c r="T143" i="11"/>
  <c r="AJ142" i="11"/>
  <c r="AB142" i="11"/>
  <c r="T142" i="11"/>
  <c r="L142" i="11"/>
  <c r="S141" i="11"/>
  <c r="AH140" i="11"/>
  <c r="Z140" i="11"/>
  <c r="R140" i="11"/>
  <c r="J140" i="11"/>
  <c r="Q139" i="11"/>
  <c r="I139" i="11"/>
  <c r="AF138" i="11"/>
  <c r="AJ144" i="11"/>
  <c r="AB144" i="11"/>
  <c r="T144" i="11"/>
  <c r="L144" i="11"/>
  <c r="K143" i="11"/>
  <c r="AA142" i="11"/>
  <c r="S142" i="11"/>
  <c r="Z141" i="11"/>
  <c r="R141" i="11"/>
  <c r="AG140" i="11"/>
  <c r="Y140" i="11"/>
  <c r="I140" i="11"/>
  <c r="AF139" i="11"/>
  <c r="X139" i="11"/>
  <c r="P139" i="11"/>
  <c r="H139" i="11"/>
  <c r="AE138" i="11"/>
  <c r="W138" i="11"/>
  <c r="O138" i="11"/>
  <c r="J144" i="11"/>
  <c r="U143" i="11"/>
  <c r="AE142" i="11"/>
  <c r="T141" i="11"/>
  <c r="AC140" i="11"/>
  <c r="AB139" i="11"/>
  <c r="R138" i="11"/>
  <c r="I138" i="11"/>
  <c r="AE137" i="11"/>
  <c r="W137" i="11"/>
  <c r="O137" i="11"/>
  <c r="AE144" i="11"/>
  <c r="AD143" i="11"/>
  <c r="H143" i="11"/>
  <c r="R142" i="11"/>
  <c r="H142" i="11"/>
  <c r="Q141" i="11"/>
  <c r="AB140" i="11"/>
  <c r="AK139" i="11"/>
  <c r="O139" i="11"/>
  <c r="AJ138" i="11"/>
  <c r="H138" i="11"/>
  <c r="V137" i="11"/>
  <c r="N137" i="11"/>
  <c r="AD144" i="11"/>
  <c r="R144" i="11"/>
  <c r="H144" i="11"/>
  <c r="Q143" i="11"/>
  <c r="AC142" i="11"/>
  <c r="Q142" i="11"/>
  <c r="P141" i="11"/>
  <c r="AA140" i="11"/>
  <c r="O140" i="11"/>
  <c r="AJ139" i="11"/>
  <c r="Z139" i="11"/>
  <c r="N139" i="11"/>
  <c r="AI138" i="11"/>
  <c r="Y138" i="11"/>
  <c r="P138" i="11"/>
  <c r="AC137" i="11"/>
  <c r="U137" i="11"/>
  <c r="AA144" i="11"/>
  <c r="Z143" i="11"/>
  <c r="P143" i="11"/>
  <c r="AK141" i="11"/>
  <c r="O141" i="11"/>
  <c r="AJ140" i="11"/>
  <c r="X140" i="11"/>
  <c r="N140" i="11"/>
  <c r="AH138" i="11"/>
  <c r="X138" i="11"/>
  <c r="AJ137" i="11"/>
  <c r="Z144" i="11"/>
  <c r="P144" i="11"/>
  <c r="AK143" i="11"/>
  <c r="O143" i="11"/>
  <c r="Y142" i="11"/>
  <c r="AJ141" i="11"/>
  <c r="X141" i="11"/>
  <c r="N141" i="11"/>
  <c r="AI140" i="11"/>
  <c r="W140" i="11"/>
  <c r="M140" i="11"/>
  <c r="AH139" i="11"/>
  <c r="V139" i="11"/>
  <c r="L139" i="11"/>
  <c r="V138" i="11"/>
  <c r="AI137" i="11"/>
  <c r="AA137" i="11"/>
  <c r="K137" i="11"/>
  <c r="AI144" i="11"/>
  <c r="Y144" i="11"/>
  <c r="O144" i="11"/>
  <c r="X143" i="11"/>
  <c r="N143" i="11"/>
  <c r="N142" i="11"/>
  <c r="W141" i="11"/>
  <c r="AF140" i="11"/>
  <c r="AE139" i="11"/>
  <c r="U139" i="11"/>
  <c r="AD138" i="11"/>
  <c r="U138" i="11"/>
  <c r="L138" i="11"/>
  <c r="AH137" i="11"/>
  <c r="Z137" i="11"/>
  <c r="J137" i="11"/>
  <c r="AH144" i="11"/>
  <c r="N144" i="11"/>
  <c r="AG143" i="11"/>
  <c r="W143" i="11"/>
  <c r="M143" i="11"/>
  <c r="AG142" i="11"/>
  <c r="M142" i="11"/>
  <c r="V141" i="11"/>
  <c r="L141" i="11"/>
  <c r="K140" i="11"/>
  <c r="T139" i="11"/>
  <c r="AC138" i="11"/>
  <c r="K138" i="11"/>
  <c r="Y137" i="11"/>
  <c r="I137" i="11"/>
  <c r="AG144" i="11"/>
  <c r="V143" i="11"/>
  <c r="AF142" i="11"/>
  <c r="V142" i="11"/>
  <c r="J142" i="11"/>
  <c r="I141" i="11"/>
  <c r="AD140" i="11"/>
  <c r="T140" i="11"/>
  <c r="H140" i="11"/>
  <c r="S139" i="11"/>
  <c r="AB138" i="11"/>
  <c r="AF137" i="11"/>
  <c r="X137" i="11"/>
  <c r="P137" i="11"/>
  <c r="H137" i="11"/>
  <c r="D48" i="3"/>
  <c r="D94" i="3"/>
  <c r="D97" i="3" s="1"/>
  <c r="L48" i="3"/>
  <c r="L94" i="3"/>
  <c r="L97" i="3" s="1"/>
  <c r="C92" i="3"/>
  <c r="K92" i="3"/>
  <c r="E97" i="3"/>
  <c r="I97" i="3"/>
  <c r="E83" i="3"/>
  <c r="I83" i="3"/>
  <c r="J97" i="3"/>
  <c r="J48" i="3"/>
  <c r="G92" i="3"/>
  <c r="C97" i="3"/>
  <c r="K97" i="3"/>
  <c r="G48" i="3"/>
  <c r="C83" i="3"/>
  <c r="K83" i="3"/>
  <c r="H97" i="3"/>
  <c r="H48" i="3"/>
  <c r="D141" i="11" l="1"/>
  <c r="G12" i="11" s="1"/>
  <c r="D122" i="9"/>
  <c r="G15" i="9" s="1"/>
  <c r="AJ145" i="11"/>
  <c r="AJ118" i="11"/>
  <c r="D139" i="11"/>
  <c r="G10" i="11" s="1"/>
  <c r="D138" i="11"/>
  <c r="G9" i="11" s="1"/>
  <c r="N145" i="11"/>
  <c r="N118" i="11"/>
  <c r="D142" i="11"/>
  <c r="G13" i="11" s="1"/>
  <c r="O145" i="11"/>
  <c r="O118" i="11"/>
  <c r="R145" i="11"/>
  <c r="R118" i="11"/>
  <c r="D155" i="11"/>
  <c r="G28" i="11" s="1"/>
  <c r="D120" i="9"/>
  <c r="G11" i="9" s="1"/>
  <c r="D117" i="9"/>
  <c r="G8" i="9" s="1"/>
  <c r="L121" i="9"/>
  <c r="L98" i="9"/>
  <c r="J121" i="9"/>
  <c r="J98" i="9"/>
  <c r="F138" i="9"/>
  <c r="D138" i="9" s="1"/>
  <c r="G13" i="9" s="1"/>
  <c r="K116" i="9"/>
  <c r="K78" i="9"/>
  <c r="N78" i="9"/>
  <c r="N116" i="9"/>
  <c r="X78" i="9"/>
  <c r="X116" i="9"/>
  <c r="J88" i="8"/>
  <c r="J69" i="8"/>
  <c r="AC75" i="8"/>
  <c r="D93" i="8"/>
  <c r="X69" i="8"/>
  <c r="D130" i="9"/>
  <c r="G23" i="9" s="1"/>
  <c r="I98" i="9"/>
  <c r="N69" i="8"/>
  <c r="N88" i="8"/>
  <c r="AJ69" i="8"/>
  <c r="U78" i="9"/>
  <c r="P66" i="9"/>
  <c r="H66" i="9"/>
  <c r="H68" i="9" s="1"/>
  <c r="O66" i="9"/>
  <c r="N66" i="9"/>
  <c r="L66" i="9"/>
  <c r="Q66" i="9"/>
  <c r="M66" i="9"/>
  <c r="K66" i="9"/>
  <c r="J66" i="9"/>
  <c r="I66" i="9"/>
  <c r="G168" i="11"/>
  <c r="D124" i="9"/>
  <c r="G17" i="9" s="1"/>
  <c r="AA78" i="9"/>
  <c r="V78" i="9"/>
  <c r="AF78" i="9"/>
  <c r="X58" i="8"/>
  <c r="X87" i="8"/>
  <c r="AI87" i="8"/>
  <c r="D131" i="9"/>
  <c r="G24" i="9" s="1"/>
  <c r="S78" i="9"/>
  <c r="V69" i="8"/>
  <c r="V88" i="8"/>
  <c r="D129" i="9"/>
  <c r="G22" i="9" s="1"/>
  <c r="AK98" i="9"/>
  <c r="D137" i="11"/>
  <c r="G8" i="11" s="1"/>
  <c r="M145" i="11"/>
  <c r="M118" i="11"/>
  <c r="H145" i="11"/>
  <c r="H118" i="11"/>
  <c r="AE145" i="11"/>
  <c r="AE118" i="11"/>
  <c r="AH145" i="11"/>
  <c r="AH118" i="11"/>
  <c r="P118" i="11"/>
  <c r="D147" i="11"/>
  <c r="G20" i="11" s="1"/>
  <c r="D146" i="11"/>
  <c r="G19" i="11" s="1"/>
  <c r="AE81" i="11"/>
  <c r="W81" i="11"/>
  <c r="O81" i="11"/>
  <c r="AD81" i="11"/>
  <c r="V81" i="11"/>
  <c r="N81" i="11"/>
  <c r="AK81" i="11"/>
  <c r="AC81" i="11"/>
  <c r="U81" i="11"/>
  <c r="M81" i="11"/>
  <c r="AI81" i="11"/>
  <c r="AA81" i="11"/>
  <c r="S81" i="11"/>
  <c r="K81" i="11"/>
  <c r="AH81" i="11"/>
  <c r="Z81" i="11"/>
  <c r="R81" i="11"/>
  <c r="J81" i="11"/>
  <c r="AJ81" i="11"/>
  <c r="P81" i="11"/>
  <c r="AG81" i="11"/>
  <c r="L81" i="11"/>
  <c r="AF81" i="11"/>
  <c r="I81" i="11"/>
  <c r="AB81" i="11"/>
  <c r="H81" i="11"/>
  <c r="Y81" i="11"/>
  <c r="X81" i="11"/>
  <c r="Q81" i="11"/>
  <c r="T81" i="11"/>
  <c r="D165" i="11"/>
  <c r="G38" i="11" s="1"/>
  <c r="D160" i="11"/>
  <c r="G33" i="11" s="1"/>
  <c r="F67" i="9"/>
  <c r="F112" i="9" s="1"/>
  <c r="G68" i="9"/>
  <c r="G67" i="9" s="1"/>
  <c r="G112" i="9" s="1"/>
  <c r="D127" i="9"/>
  <c r="G20" i="9" s="1"/>
  <c r="D164" i="11"/>
  <c r="G37" i="11" s="1"/>
  <c r="Q122" i="9"/>
  <c r="Q98" i="9"/>
  <c r="AC98" i="9"/>
  <c r="M78" i="9"/>
  <c r="P87" i="8"/>
  <c r="P58" i="8"/>
  <c r="AD69" i="8"/>
  <c r="AD88" i="8"/>
  <c r="AI78" i="9"/>
  <c r="D128" i="9"/>
  <c r="G21" i="9" s="1"/>
  <c r="Q76" i="11"/>
  <c r="I76" i="11"/>
  <c r="P76" i="11"/>
  <c r="H76" i="11"/>
  <c r="H78" i="11" s="1"/>
  <c r="O76" i="11"/>
  <c r="N76" i="11"/>
  <c r="M76" i="11"/>
  <c r="L76" i="11"/>
  <c r="J76" i="11"/>
  <c r="K76" i="11"/>
  <c r="F78" i="11"/>
  <c r="AH87" i="8"/>
  <c r="G54" i="8"/>
  <c r="G53" i="8" s="1"/>
  <c r="G83" i="8" s="1"/>
  <c r="D91" i="8"/>
  <c r="D137" i="9"/>
  <c r="G30" i="9" s="1"/>
  <c r="M98" i="9"/>
  <c r="AC78" i="9"/>
  <c r="O78" i="9"/>
  <c r="Y69" i="8"/>
  <c r="Y75" i="8" s="1"/>
  <c r="D126" i="9"/>
  <c r="G19" i="9" s="1"/>
  <c r="D94" i="8"/>
  <c r="AB88" i="8"/>
  <c r="AB69" i="8"/>
  <c r="W69" i="8"/>
  <c r="W88" i="8"/>
  <c r="W98" i="9"/>
  <c r="P69" i="8"/>
  <c r="Q87" i="8"/>
  <c r="AC145" i="11"/>
  <c r="AC118" i="11"/>
  <c r="W145" i="11"/>
  <c r="W118" i="11"/>
  <c r="D143" i="11"/>
  <c r="G14" i="11" s="1"/>
  <c r="I145" i="11"/>
  <c r="I118" i="11"/>
  <c r="D152" i="11"/>
  <c r="G25" i="11" s="1"/>
  <c r="D157" i="11"/>
  <c r="G30" i="11" s="1"/>
  <c r="U118" i="11"/>
  <c r="AI121" i="9"/>
  <c r="AI98" i="9"/>
  <c r="D149" i="11"/>
  <c r="G22" i="11" s="1"/>
  <c r="AF98" i="9"/>
  <c r="AF121" i="9"/>
  <c r="AF145" i="11"/>
  <c r="AF118" i="11"/>
  <c r="Q145" i="11"/>
  <c r="Q118" i="11"/>
  <c r="S145" i="11"/>
  <c r="S118" i="11"/>
  <c r="AA121" i="9"/>
  <c r="AA98" i="9"/>
  <c r="X121" i="9"/>
  <c r="X98" i="9"/>
  <c r="AG98" i="9"/>
  <c r="Z87" i="8"/>
  <c r="AF69" i="8"/>
  <c r="AF88" i="8"/>
  <c r="H69" i="8"/>
  <c r="L78" i="9"/>
  <c r="W78" i="9"/>
  <c r="D135" i="9"/>
  <c r="G28" i="9" s="1"/>
  <c r="R88" i="8"/>
  <c r="R69" i="8"/>
  <c r="AE69" i="8"/>
  <c r="AE88" i="8"/>
  <c r="W116" i="9"/>
  <c r="AG69" i="8"/>
  <c r="O98" i="9"/>
  <c r="I87" i="8"/>
  <c r="Q52" i="8"/>
  <c r="Q75" i="8" s="1"/>
  <c r="I52" i="8"/>
  <c r="I75" i="8" s="1"/>
  <c r="P52" i="8"/>
  <c r="H52" i="8"/>
  <c r="H54" i="8" s="1"/>
  <c r="J52" i="8"/>
  <c r="O52" i="8"/>
  <c r="N52" i="8"/>
  <c r="M52" i="8"/>
  <c r="K52" i="8"/>
  <c r="L52" i="8"/>
  <c r="D163" i="11"/>
  <c r="G36" i="11" s="1"/>
  <c r="Y98" i="9"/>
  <c r="AK69" i="8"/>
  <c r="I88" i="8"/>
  <c r="I69" i="8"/>
  <c r="AG116" i="9"/>
  <c r="D125" i="9"/>
  <c r="G18" i="9" s="1"/>
  <c r="O69" i="8"/>
  <c r="K145" i="11"/>
  <c r="K118" i="11"/>
  <c r="AA145" i="11"/>
  <c r="AA118" i="11"/>
  <c r="D150" i="11"/>
  <c r="G23" i="11" s="1"/>
  <c r="S121" i="9"/>
  <c r="S98" i="9"/>
  <c r="AH98" i="9"/>
  <c r="AH121" i="9"/>
  <c r="P121" i="9"/>
  <c r="P98" i="9"/>
  <c r="T88" i="8"/>
  <c r="T69" i="8"/>
  <c r="V145" i="11"/>
  <c r="V118" i="11"/>
  <c r="AG145" i="11"/>
  <c r="AG118" i="11"/>
  <c r="AI145" i="11"/>
  <c r="AI118" i="11"/>
  <c r="AB121" i="9"/>
  <c r="AB98" i="9"/>
  <c r="K121" i="9"/>
  <c r="K98" i="9"/>
  <c r="D161" i="11"/>
  <c r="G34" i="11" s="1"/>
  <c r="Z121" i="9"/>
  <c r="Z98" i="9"/>
  <c r="H121" i="9"/>
  <c r="H98" i="9"/>
  <c r="D118" i="9"/>
  <c r="G9" i="9" s="1"/>
  <c r="D134" i="9"/>
  <c r="G27" i="9" s="1"/>
  <c r="D148" i="11"/>
  <c r="G21" i="11" s="1"/>
  <c r="N98" i="9"/>
  <c r="K88" i="8"/>
  <c r="K69" i="8"/>
  <c r="AH75" i="8"/>
  <c r="Y87" i="8"/>
  <c r="J116" i="9"/>
  <c r="J78" i="9"/>
  <c r="AB116" i="9"/>
  <c r="AB78" i="9"/>
  <c r="H116" i="9"/>
  <c r="H78" i="9"/>
  <c r="AA69" i="8"/>
  <c r="AC88" i="8"/>
  <c r="AC69" i="8"/>
  <c r="D89" i="8"/>
  <c r="Z69" i="8"/>
  <c r="Z75" i="8" s="1"/>
  <c r="AI69" i="8"/>
  <c r="AI75" i="8" s="1"/>
  <c r="AH69" i="8"/>
  <c r="E132" i="11"/>
  <c r="AK78" i="9"/>
  <c r="X145" i="11"/>
  <c r="X118" i="11"/>
  <c r="Z145" i="11"/>
  <c r="Z118" i="11"/>
  <c r="D140" i="11"/>
  <c r="G11" i="11" s="1"/>
  <c r="L145" i="11"/>
  <c r="L118" i="11"/>
  <c r="Y145" i="11"/>
  <c r="Y118" i="11"/>
  <c r="D123" i="9"/>
  <c r="G16" i="9" s="1"/>
  <c r="D154" i="11"/>
  <c r="G27" i="11" s="1"/>
  <c r="AJ122" i="9"/>
  <c r="AJ98" i="9"/>
  <c r="T116" i="9"/>
  <c r="T78" i="9"/>
  <c r="AE78" i="9"/>
  <c r="D133" i="9"/>
  <c r="G26" i="9" s="1"/>
  <c r="D144" i="11"/>
  <c r="G15" i="11" s="1"/>
  <c r="D153" i="11"/>
  <c r="G26" i="11" s="1"/>
  <c r="AB145" i="11"/>
  <c r="AB118" i="11"/>
  <c r="AD145" i="11"/>
  <c r="AD118" i="11"/>
  <c r="J145" i="11"/>
  <c r="J118" i="11"/>
  <c r="D159" i="11"/>
  <c r="G32" i="11" s="1"/>
  <c r="T121" i="9"/>
  <c r="T98" i="9"/>
  <c r="D158" i="11"/>
  <c r="G31" i="11" s="1"/>
  <c r="T118" i="11"/>
  <c r="R98" i="9"/>
  <c r="R121" i="9"/>
  <c r="D132" i="9"/>
  <c r="G25" i="9" s="1"/>
  <c r="F168" i="11"/>
  <c r="D168" i="11" s="1"/>
  <c r="G17" i="11" s="1"/>
  <c r="D136" i="9"/>
  <c r="G29" i="9" s="1"/>
  <c r="AH78" i="9"/>
  <c r="AH116" i="9"/>
  <c r="G96" i="8"/>
  <c r="D96" i="8" s="1"/>
  <c r="M116" i="9"/>
  <c r="Z78" i="9"/>
  <c r="Z116" i="9"/>
  <c r="AJ78" i="9"/>
  <c r="P78" i="9"/>
  <c r="P116" i="9"/>
  <c r="S88" i="8"/>
  <c r="S69" i="8"/>
  <c r="D156" i="11"/>
  <c r="G29" i="11" s="1"/>
  <c r="U98" i="9"/>
  <c r="D92" i="8"/>
  <c r="L69" i="8"/>
  <c r="V98" i="9"/>
  <c r="AE116" i="9"/>
  <c r="H87" i="8"/>
  <c r="D87" i="8" s="1"/>
  <c r="U69" i="8"/>
  <c r="Q69" i="8"/>
  <c r="AH92" i="11" l="1"/>
  <c r="AH136" i="11"/>
  <c r="N75" i="8"/>
  <c r="R92" i="11"/>
  <c r="R136" i="11"/>
  <c r="AE92" i="11"/>
  <c r="AE136" i="11"/>
  <c r="I67" i="9"/>
  <c r="I104" i="9" s="1"/>
  <c r="J75" i="8"/>
  <c r="AF92" i="11"/>
  <c r="AF136" i="11"/>
  <c r="AD75" i="8"/>
  <c r="D116" i="9"/>
  <c r="G7" i="9" s="1"/>
  <c r="AB92" i="11"/>
  <c r="AB136" i="11"/>
  <c r="U92" i="11"/>
  <c r="U136" i="11"/>
  <c r="D88" i="8"/>
  <c r="O75" i="8"/>
  <c r="AG75" i="8"/>
  <c r="I92" i="11"/>
  <c r="I136" i="11"/>
  <c r="Z92" i="11"/>
  <c r="Z136" i="11"/>
  <c r="AC92" i="11"/>
  <c r="AC136" i="11"/>
  <c r="D145" i="11"/>
  <c r="G18" i="11" s="1"/>
  <c r="AK75" i="8"/>
  <c r="V75" i="8"/>
  <c r="P75" i="8"/>
  <c r="I54" i="8"/>
  <c r="I53" i="8"/>
  <c r="H75" i="8"/>
  <c r="H77" i="8" s="1"/>
  <c r="I78" i="11"/>
  <c r="I77" i="11"/>
  <c r="T92" i="11"/>
  <c r="T136" i="11"/>
  <c r="L92" i="11"/>
  <c r="L136" i="11"/>
  <c r="K92" i="11"/>
  <c r="K136" i="11"/>
  <c r="N92" i="11"/>
  <c r="N136" i="11"/>
  <c r="AE75" i="8"/>
  <c r="AF75" i="8"/>
  <c r="F77" i="11"/>
  <c r="F132" i="11" s="1"/>
  <c r="G78" i="11"/>
  <c r="G77" i="11" s="1"/>
  <c r="G132" i="11" s="1"/>
  <c r="Q92" i="11"/>
  <c r="Q136" i="11"/>
  <c r="AG92" i="11"/>
  <c r="AG136" i="11"/>
  <c r="S92" i="11"/>
  <c r="S136" i="11"/>
  <c r="V92" i="11"/>
  <c r="V136" i="11"/>
  <c r="AK92" i="11"/>
  <c r="AK136" i="11"/>
  <c r="L75" i="8"/>
  <c r="R75" i="8"/>
  <c r="W75" i="8"/>
  <c r="X92" i="11"/>
  <c r="X136" i="11"/>
  <c r="P92" i="11"/>
  <c r="P136" i="11"/>
  <c r="AA92" i="11"/>
  <c r="AA136" i="11"/>
  <c r="AD92" i="11"/>
  <c r="AD136" i="11"/>
  <c r="AJ75" i="8"/>
  <c r="U75" i="8"/>
  <c r="S75" i="8"/>
  <c r="AA75" i="8"/>
  <c r="K75" i="8"/>
  <c r="AB75" i="8"/>
  <c r="Y92" i="11"/>
  <c r="Y136" i="11"/>
  <c r="AJ92" i="11"/>
  <c r="AJ136" i="11"/>
  <c r="AI92" i="11"/>
  <c r="AI136" i="11"/>
  <c r="O92" i="11"/>
  <c r="O136" i="11"/>
  <c r="H104" i="9"/>
  <c r="H106" i="9" s="1"/>
  <c r="D121" i="9"/>
  <c r="G14" i="9" s="1"/>
  <c r="T75" i="8"/>
  <c r="M75" i="8"/>
  <c r="H92" i="11"/>
  <c r="H136" i="11"/>
  <c r="J92" i="11"/>
  <c r="J136" i="11"/>
  <c r="M92" i="11"/>
  <c r="M136" i="11"/>
  <c r="W92" i="11"/>
  <c r="W136" i="11"/>
  <c r="X75" i="8"/>
  <c r="I124" i="11" l="1"/>
  <c r="L124" i="11"/>
  <c r="V124" i="11"/>
  <c r="P124" i="11"/>
  <c r="M124" i="11"/>
  <c r="AK124" i="11"/>
  <c r="S124" i="11"/>
  <c r="AE124" i="11"/>
  <c r="H107" i="9"/>
  <c r="I105" i="9"/>
  <c r="I106" i="9" s="1"/>
  <c r="AI124" i="11"/>
  <c r="T124" i="11"/>
  <c r="J124" i="11"/>
  <c r="D136" i="11"/>
  <c r="G7" i="11" s="1"/>
  <c r="AJ124" i="11"/>
  <c r="AD124" i="11"/>
  <c r="N124" i="11"/>
  <c r="J77" i="11"/>
  <c r="J78" i="11" s="1"/>
  <c r="AC124" i="11"/>
  <c r="U124" i="11"/>
  <c r="AH124" i="11"/>
  <c r="O124" i="11"/>
  <c r="X124" i="11"/>
  <c r="AF124" i="11"/>
  <c r="H124" i="11"/>
  <c r="H126" i="11" s="1"/>
  <c r="AG124" i="11"/>
  <c r="I76" i="8"/>
  <c r="I77" i="8" s="1"/>
  <c r="H78" i="8"/>
  <c r="R124" i="11"/>
  <c r="W124" i="11"/>
  <c r="Y124" i="11"/>
  <c r="AA124" i="11"/>
  <c r="K124" i="11"/>
  <c r="Z124" i="11"/>
  <c r="AB124" i="11"/>
  <c r="I68" i="9"/>
  <c r="Q124" i="11"/>
  <c r="J54" i="8"/>
  <c r="J53" i="8"/>
  <c r="K77" i="11" l="1"/>
  <c r="K78" i="11"/>
  <c r="H127" i="11"/>
  <c r="I125" i="11"/>
  <c r="I126" i="11" s="1"/>
  <c r="H115" i="9"/>
  <c r="H109" i="9"/>
  <c r="H111" i="9" s="1"/>
  <c r="J67" i="9"/>
  <c r="J104" i="9" s="1"/>
  <c r="I107" i="9"/>
  <c r="J105" i="9"/>
  <c r="H86" i="8"/>
  <c r="H80" i="8"/>
  <c r="H82" i="8" s="1"/>
  <c r="K53" i="8"/>
  <c r="K54" i="8" s="1"/>
  <c r="I78" i="8"/>
  <c r="J76" i="8"/>
  <c r="J77" i="8" s="1"/>
  <c r="L53" i="8" l="1"/>
  <c r="L54" i="8" s="1"/>
  <c r="J68" i="9"/>
  <c r="I127" i="11"/>
  <c r="J125" i="11"/>
  <c r="J126" i="11" s="1"/>
  <c r="H135" i="11"/>
  <c r="H129" i="11"/>
  <c r="H131" i="11" s="1"/>
  <c r="J78" i="8"/>
  <c r="K76" i="8"/>
  <c r="K77" i="8" s="1"/>
  <c r="I86" i="8"/>
  <c r="I80" i="8"/>
  <c r="I82" i="8" s="1"/>
  <c r="J106" i="9"/>
  <c r="L78" i="11"/>
  <c r="L77" i="11"/>
  <c r="I115" i="9"/>
  <c r="I109" i="9"/>
  <c r="I111" i="9" s="1"/>
  <c r="M53" i="8" l="1"/>
  <c r="M54" i="8"/>
  <c r="K105" i="9"/>
  <c r="K106" i="9" s="1"/>
  <c r="J107" i="9"/>
  <c r="M78" i="11"/>
  <c r="M77" i="11"/>
  <c r="J127" i="11"/>
  <c r="K125" i="11"/>
  <c r="K126" i="11" s="1"/>
  <c r="K78" i="8"/>
  <c r="L76" i="8"/>
  <c r="L77" i="8" s="1"/>
  <c r="K67" i="9"/>
  <c r="K104" i="9" s="1"/>
  <c r="K68" i="9"/>
  <c r="I135" i="11"/>
  <c r="I129" i="11"/>
  <c r="I131" i="11" s="1"/>
  <c r="J86" i="8"/>
  <c r="J80" i="8"/>
  <c r="J82" i="8" s="1"/>
  <c r="N77" i="11" l="1"/>
  <c r="N78" i="11" s="1"/>
  <c r="M76" i="8"/>
  <c r="M77" i="8" s="1"/>
  <c r="L78" i="8"/>
  <c r="N53" i="8"/>
  <c r="N54" i="8" s="1"/>
  <c r="L67" i="9"/>
  <c r="L104" i="9" s="1"/>
  <c r="K86" i="8"/>
  <c r="K80" i="8"/>
  <c r="K82" i="8" s="1"/>
  <c r="J115" i="9"/>
  <c r="J109" i="9"/>
  <c r="J111" i="9" s="1"/>
  <c r="L125" i="11"/>
  <c r="L126" i="11" s="1"/>
  <c r="K127" i="11"/>
  <c r="J135" i="11"/>
  <c r="J129" i="11"/>
  <c r="J131" i="11" s="1"/>
  <c r="L105" i="9"/>
  <c r="L106" i="9" s="1"/>
  <c r="K107" i="9"/>
  <c r="O53" i="8" l="1"/>
  <c r="O54" i="8" s="1"/>
  <c r="O77" i="11"/>
  <c r="O78" i="11"/>
  <c r="L127" i="11"/>
  <c r="M125" i="11"/>
  <c r="M126" i="11" s="1"/>
  <c r="L86" i="8"/>
  <c r="L80" i="8"/>
  <c r="L82" i="8" s="1"/>
  <c r="N76" i="8"/>
  <c r="N77" i="8" s="1"/>
  <c r="M78" i="8"/>
  <c r="K115" i="9"/>
  <c r="K109" i="9"/>
  <c r="K111" i="9" s="1"/>
  <c r="M105" i="9"/>
  <c r="L107" i="9"/>
  <c r="K135" i="11"/>
  <c r="K129" i="11"/>
  <c r="K131" i="11" s="1"/>
  <c r="L68" i="9"/>
  <c r="P53" i="8" l="1"/>
  <c r="P54" i="8"/>
  <c r="M127" i="11"/>
  <c r="N125" i="11"/>
  <c r="N126" i="11" s="1"/>
  <c r="M67" i="9"/>
  <c r="M104" i="9" s="1"/>
  <c r="M106" i="9" s="1"/>
  <c r="L135" i="11"/>
  <c r="L129" i="11"/>
  <c r="L131" i="11" s="1"/>
  <c r="M86" i="8"/>
  <c r="M80" i="8"/>
  <c r="M82" i="8" s="1"/>
  <c r="O76" i="8"/>
  <c r="O77" i="8" s="1"/>
  <c r="N78" i="8"/>
  <c r="L115" i="9"/>
  <c r="L109" i="9"/>
  <c r="L111" i="9" s="1"/>
  <c r="P77" i="11"/>
  <c r="P78" i="11"/>
  <c r="M107" i="9" l="1"/>
  <c r="N105" i="9"/>
  <c r="Q77" i="11"/>
  <c r="Q78" i="11" s="1"/>
  <c r="N127" i="11"/>
  <c r="O125" i="11"/>
  <c r="O126" i="11" s="1"/>
  <c r="P76" i="8"/>
  <c r="P77" i="8" s="1"/>
  <c r="O78" i="8"/>
  <c r="M68" i="9"/>
  <c r="N86" i="8"/>
  <c r="N80" i="8"/>
  <c r="N82" i="8" s="1"/>
  <c r="M135" i="11"/>
  <c r="M129" i="11"/>
  <c r="M131" i="11" s="1"/>
  <c r="Q53" i="8"/>
  <c r="Q54" i="8"/>
  <c r="R77" i="11" l="1"/>
  <c r="R78" i="11" s="1"/>
  <c r="Q76" i="8"/>
  <c r="Q77" i="8" s="1"/>
  <c r="P78" i="8"/>
  <c r="P125" i="11"/>
  <c r="P126" i="11" s="1"/>
  <c r="O127" i="11"/>
  <c r="R53" i="8"/>
  <c r="R54" i="8" s="1"/>
  <c r="N135" i="11"/>
  <c r="N129" i="11"/>
  <c r="N131" i="11" s="1"/>
  <c r="N68" i="9"/>
  <c r="N67" i="9"/>
  <c r="N104" i="9" s="1"/>
  <c r="N106" i="9"/>
  <c r="O86" i="8"/>
  <c r="O80" i="8"/>
  <c r="O82" i="8" s="1"/>
  <c r="M115" i="9"/>
  <c r="M109" i="9"/>
  <c r="M111" i="9" s="1"/>
  <c r="S77" i="11" l="1"/>
  <c r="S78" i="11"/>
  <c r="S53" i="8"/>
  <c r="S54" i="8"/>
  <c r="O135" i="11"/>
  <c r="O129" i="11"/>
  <c r="O131" i="11" s="1"/>
  <c r="P86" i="8"/>
  <c r="P80" i="8"/>
  <c r="P82" i="8" s="1"/>
  <c r="N107" i="9"/>
  <c r="O105" i="9"/>
  <c r="O106" i="9" s="1"/>
  <c r="Q78" i="8"/>
  <c r="R76" i="8"/>
  <c r="R77" i="8" s="1"/>
  <c r="O67" i="9"/>
  <c r="O104" i="9" s="1"/>
  <c r="O68" i="9"/>
  <c r="P127" i="11"/>
  <c r="Q125" i="11"/>
  <c r="Q126" i="11" s="1"/>
  <c r="P135" i="11" l="1"/>
  <c r="P129" i="11"/>
  <c r="P131" i="11" s="1"/>
  <c r="R125" i="11"/>
  <c r="R126" i="11" s="1"/>
  <c r="Q127" i="11"/>
  <c r="P68" i="9"/>
  <c r="P67" i="9"/>
  <c r="P104" i="9" s="1"/>
  <c r="T53" i="8"/>
  <c r="T54" i="8" s="1"/>
  <c r="O107" i="9"/>
  <c r="P105" i="9"/>
  <c r="N115" i="9"/>
  <c r="N109" i="9"/>
  <c r="N111" i="9" s="1"/>
  <c r="R78" i="8"/>
  <c r="S76" i="8"/>
  <c r="S77" i="8" s="1"/>
  <c r="Q86" i="8"/>
  <c r="Q80" i="8"/>
  <c r="Q82" i="8" s="1"/>
  <c r="T78" i="11"/>
  <c r="T77" i="11"/>
  <c r="U53" i="8" l="1"/>
  <c r="U54" i="8"/>
  <c r="Q67" i="9"/>
  <c r="Q104" i="9" s="1"/>
  <c r="Q135" i="11"/>
  <c r="Q129" i="11"/>
  <c r="Q131" i="11" s="1"/>
  <c r="R86" i="8"/>
  <c r="R80" i="8"/>
  <c r="R82" i="8" s="1"/>
  <c r="R127" i="11"/>
  <c r="S125" i="11"/>
  <c r="S126" i="11" s="1"/>
  <c r="S78" i="8"/>
  <c r="T76" i="8"/>
  <c r="T77" i="8" s="1"/>
  <c r="P106" i="9"/>
  <c r="U77" i="11"/>
  <c r="U78" i="11" s="1"/>
  <c r="O115" i="9"/>
  <c r="O109" i="9"/>
  <c r="O111" i="9" s="1"/>
  <c r="V77" i="11" l="1"/>
  <c r="V78" i="11" s="1"/>
  <c r="U76" i="8"/>
  <c r="U77" i="8" s="1"/>
  <c r="T78" i="8"/>
  <c r="Q68" i="9"/>
  <c r="S86" i="8"/>
  <c r="S80" i="8"/>
  <c r="S82" i="8" s="1"/>
  <c r="T125" i="11"/>
  <c r="T126" i="11" s="1"/>
  <c r="S127" i="11"/>
  <c r="V53" i="8"/>
  <c r="V54" i="8" s="1"/>
  <c r="P107" i="9"/>
  <c r="Q105" i="9"/>
  <c r="Q106" i="9" s="1"/>
  <c r="R135" i="11"/>
  <c r="R129" i="11"/>
  <c r="R131" i="11" s="1"/>
  <c r="W53" i="8" l="1"/>
  <c r="W54" i="8" s="1"/>
  <c r="W77" i="11"/>
  <c r="W78" i="11"/>
  <c r="R67" i="9"/>
  <c r="R104" i="9" s="1"/>
  <c r="T86" i="8"/>
  <c r="T80" i="8"/>
  <c r="T82" i="8" s="1"/>
  <c r="Q107" i="9"/>
  <c r="R105" i="9"/>
  <c r="V76" i="8"/>
  <c r="V77" i="8" s="1"/>
  <c r="U78" i="8"/>
  <c r="T127" i="11"/>
  <c r="U125" i="11"/>
  <c r="U126" i="11" s="1"/>
  <c r="P115" i="9"/>
  <c r="P109" i="9"/>
  <c r="P111" i="9" s="1"/>
  <c r="S135" i="11"/>
  <c r="S129" i="11"/>
  <c r="S131" i="11" s="1"/>
  <c r="X53" i="8" l="1"/>
  <c r="X54" i="8"/>
  <c r="U127" i="11"/>
  <c r="V125" i="11"/>
  <c r="V126" i="11" s="1"/>
  <c r="U86" i="8"/>
  <c r="U80" i="8"/>
  <c r="U82" i="8" s="1"/>
  <c r="X77" i="11"/>
  <c r="X78" i="11" s="1"/>
  <c r="W76" i="8"/>
  <c r="W77" i="8" s="1"/>
  <c r="V78" i="8"/>
  <c r="T135" i="11"/>
  <c r="T129" i="11"/>
  <c r="T131" i="11" s="1"/>
  <c r="R106" i="9"/>
  <c r="R68" i="9"/>
  <c r="Q115" i="9"/>
  <c r="Q109" i="9"/>
  <c r="Q111" i="9" s="1"/>
  <c r="Y77" i="11" l="1"/>
  <c r="Y78" i="11" s="1"/>
  <c r="V127" i="11"/>
  <c r="W125" i="11"/>
  <c r="W126" i="11" s="1"/>
  <c r="U135" i="11"/>
  <c r="U129" i="11"/>
  <c r="U131" i="11" s="1"/>
  <c r="S105" i="9"/>
  <c r="S106" i="9" s="1"/>
  <c r="R107" i="9"/>
  <c r="Y53" i="8"/>
  <c r="Y54" i="8" s="1"/>
  <c r="S67" i="9"/>
  <c r="S104" i="9" s="1"/>
  <c r="S68" i="9"/>
  <c r="V86" i="8"/>
  <c r="V80" i="8"/>
  <c r="V82" i="8" s="1"/>
  <c r="X76" i="8"/>
  <c r="X77" i="8" s="1"/>
  <c r="W78" i="8"/>
  <c r="Z53" i="8" l="1"/>
  <c r="Z54" i="8" s="1"/>
  <c r="Z77" i="11"/>
  <c r="Z78" i="11" s="1"/>
  <c r="T105" i="9"/>
  <c r="S107" i="9"/>
  <c r="W86" i="8"/>
  <c r="W80" i="8"/>
  <c r="W82" i="8" s="1"/>
  <c r="X125" i="11"/>
  <c r="X126" i="11" s="1"/>
  <c r="W127" i="11"/>
  <c r="V135" i="11"/>
  <c r="V129" i="11"/>
  <c r="V131" i="11" s="1"/>
  <c r="R115" i="9"/>
  <c r="R109" i="9"/>
  <c r="R111" i="9" s="1"/>
  <c r="Y76" i="8"/>
  <c r="Y77" i="8" s="1"/>
  <c r="X78" i="8"/>
  <c r="T67" i="9"/>
  <c r="T104" i="9" s="1"/>
  <c r="AA77" i="11" l="1"/>
  <c r="AA78" i="11" s="1"/>
  <c r="AA53" i="8"/>
  <c r="AA54" i="8" s="1"/>
  <c r="Y78" i="8"/>
  <c r="Z76" i="8"/>
  <c r="Z77" i="8" s="1"/>
  <c r="T106" i="9"/>
  <c r="W135" i="11"/>
  <c r="W129" i="11"/>
  <c r="W131" i="11" s="1"/>
  <c r="X86" i="8"/>
  <c r="X80" i="8"/>
  <c r="X82" i="8" s="1"/>
  <c r="S115" i="9"/>
  <c r="S109" i="9"/>
  <c r="S111" i="9" s="1"/>
  <c r="T68" i="9"/>
  <c r="X127" i="11"/>
  <c r="Y125" i="11"/>
  <c r="Y126" i="11" s="1"/>
  <c r="AB53" i="8" l="1"/>
  <c r="AB54" i="8" s="1"/>
  <c r="AB77" i="11"/>
  <c r="AB78" i="11" s="1"/>
  <c r="Z125" i="11"/>
  <c r="Z126" i="11" s="1"/>
  <c r="Y127" i="11"/>
  <c r="X135" i="11"/>
  <c r="X129" i="11"/>
  <c r="X131" i="11" s="1"/>
  <c r="Z78" i="8"/>
  <c r="AA76" i="8"/>
  <c r="AA77" i="8" s="1"/>
  <c r="U105" i="9"/>
  <c r="T107" i="9"/>
  <c r="Y86" i="8"/>
  <c r="Y80" i="8"/>
  <c r="Y82" i="8" s="1"/>
  <c r="U67" i="9"/>
  <c r="U104" i="9" s="1"/>
  <c r="AC78" i="11" l="1"/>
  <c r="AC77" i="11"/>
  <c r="AC53" i="8"/>
  <c r="AC54" i="8"/>
  <c r="T115" i="9"/>
  <c r="T109" i="9"/>
  <c r="T111" i="9" s="1"/>
  <c r="U106" i="9"/>
  <c r="U68" i="9"/>
  <c r="Y135" i="11"/>
  <c r="Y129" i="11"/>
  <c r="Y131" i="11" s="1"/>
  <c r="AA125" i="11"/>
  <c r="AA126" i="11" s="1"/>
  <c r="Z127" i="11"/>
  <c r="AA78" i="8"/>
  <c r="AB76" i="8"/>
  <c r="AB77" i="8" s="1"/>
  <c r="Z86" i="8"/>
  <c r="Z80" i="8"/>
  <c r="Z82" i="8" s="1"/>
  <c r="AD53" i="8" l="1"/>
  <c r="AD54" i="8" s="1"/>
  <c r="V67" i="9"/>
  <c r="V104" i="9" s="1"/>
  <c r="U107" i="9"/>
  <c r="V105" i="9"/>
  <c r="AB125" i="11"/>
  <c r="AB126" i="11" s="1"/>
  <c r="AA127" i="11"/>
  <c r="AC76" i="8"/>
  <c r="AC77" i="8" s="1"/>
  <c r="AB78" i="8"/>
  <c r="AA86" i="8"/>
  <c r="AA80" i="8"/>
  <c r="AA82" i="8" s="1"/>
  <c r="Z135" i="11"/>
  <c r="Z129" i="11"/>
  <c r="Z131" i="11" s="1"/>
  <c r="AD78" i="11"/>
  <c r="AD77" i="11"/>
  <c r="AE53" i="8" l="1"/>
  <c r="AE54" i="8" s="1"/>
  <c r="AE77" i="11"/>
  <c r="AE78" i="11"/>
  <c r="AB127" i="11"/>
  <c r="AC125" i="11"/>
  <c r="AC126" i="11" s="1"/>
  <c r="V68" i="9"/>
  <c r="V106" i="9"/>
  <c r="U115" i="9"/>
  <c r="U109" i="9"/>
  <c r="U111" i="9" s="1"/>
  <c r="AB86" i="8"/>
  <c r="AB80" i="8"/>
  <c r="AB82" i="8" s="1"/>
  <c r="AA135" i="11"/>
  <c r="AA129" i="11"/>
  <c r="AA131" i="11" s="1"/>
  <c r="AD76" i="8"/>
  <c r="AD77" i="8" s="1"/>
  <c r="AC78" i="8"/>
  <c r="AF53" i="8" l="1"/>
  <c r="AF54" i="8"/>
  <c r="AE76" i="8"/>
  <c r="AE77" i="8" s="1"/>
  <c r="AD78" i="8"/>
  <c r="AC86" i="8"/>
  <c r="AC80" i="8"/>
  <c r="AC82" i="8" s="1"/>
  <c r="W105" i="9"/>
  <c r="W106" i="9" s="1"/>
  <c r="V107" i="9"/>
  <c r="AC127" i="11"/>
  <c r="AD125" i="11"/>
  <c r="AD126" i="11" s="1"/>
  <c r="AB135" i="11"/>
  <c r="AB129" i="11"/>
  <c r="AB131" i="11" s="1"/>
  <c r="W67" i="9"/>
  <c r="W104" i="9" s="1"/>
  <c r="W68" i="9"/>
  <c r="AF77" i="11"/>
  <c r="AF78" i="11"/>
  <c r="W107" i="9" l="1"/>
  <c r="X105" i="9"/>
  <c r="AD86" i="8"/>
  <c r="AD80" i="8"/>
  <c r="AD82" i="8" s="1"/>
  <c r="AE78" i="8"/>
  <c r="AF76" i="8"/>
  <c r="AF77" i="8" s="1"/>
  <c r="AD127" i="11"/>
  <c r="AE125" i="11"/>
  <c r="AE126" i="11" s="1"/>
  <c r="AG53" i="8"/>
  <c r="AG54" i="8" s="1"/>
  <c r="AG77" i="11"/>
  <c r="AG78" i="11" s="1"/>
  <c r="V115" i="9"/>
  <c r="V109" i="9"/>
  <c r="V111" i="9" s="1"/>
  <c r="X67" i="9"/>
  <c r="X104" i="9" s="1"/>
  <c r="AC135" i="11"/>
  <c r="AC129" i="11"/>
  <c r="AC131" i="11" s="1"/>
  <c r="AH78" i="11" l="1"/>
  <c r="AH77" i="11"/>
  <c r="AH54" i="8"/>
  <c r="AH53" i="8"/>
  <c r="X68" i="9"/>
  <c r="AF78" i="8"/>
  <c r="AG76" i="8"/>
  <c r="AG77" i="8" s="1"/>
  <c r="X106" i="9"/>
  <c r="AF125" i="11"/>
  <c r="AF126" i="11" s="1"/>
  <c r="AE127" i="11"/>
  <c r="AD135" i="11"/>
  <c r="AD129" i="11"/>
  <c r="AD131" i="11" s="1"/>
  <c r="AE86" i="8"/>
  <c r="AE80" i="8"/>
  <c r="AE82" i="8" s="1"/>
  <c r="W115" i="9"/>
  <c r="W109" i="9"/>
  <c r="W111" i="9" s="1"/>
  <c r="AI53" i="8" l="1"/>
  <c r="AI54" i="8" s="1"/>
  <c r="X107" i="9"/>
  <c r="Y105" i="9"/>
  <c r="AG78" i="8"/>
  <c r="AH76" i="8"/>
  <c r="AH77" i="8" s="1"/>
  <c r="AE135" i="11"/>
  <c r="AE129" i="11"/>
  <c r="AE131" i="11" s="1"/>
  <c r="AF86" i="8"/>
  <c r="AF80" i="8"/>
  <c r="AF82" i="8" s="1"/>
  <c r="Y67" i="9"/>
  <c r="Y104" i="9" s="1"/>
  <c r="AF127" i="11"/>
  <c r="AG125" i="11"/>
  <c r="AG126" i="11" s="1"/>
  <c r="AI77" i="11"/>
  <c r="AI78" i="11"/>
  <c r="AJ53" i="8" l="1"/>
  <c r="AJ54" i="8" s="1"/>
  <c r="AJ77" i="11"/>
  <c r="AJ78" i="11" s="1"/>
  <c r="X115" i="9"/>
  <c r="X109" i="9"/>
  <c r="X111" i="9" s="1"/>
  <c r="AH125" i="11"/>
  <c r="AH126" i="11" s="1"/>
  <c r="AG127" i="11"/>
  <c r="AF135" i="11"/>
  <c r="AF129" i="11"/>
  <c r="AF131" i="11" s="1"/>
  <c r="Y106" i="9"/>
  <c r="AH78" i="8"/>
  <c r="AI76" i="8"/>
  <c r="AI77" i="8" s="1"/>
  <c r="AG86" i="8"/>
  <c r="AG80" i="8"/>
  <c r="AG82" i="8" s="1"/>
  <c r="Y68" i="9"/>
  <c r="AK77" i="11" l="1"/>
  <c r="AK78" i="11" s="1"/>
  <c r="AK54" i="8"/>
  <c r="AK53" i="8"/>
  <c r="AH86" i="8"/>
  <c r="AH80" i="8"/>
  <c r="AH82" i="8" s="1"/>
  <c r="Z67" i="9"/>
  <c r="Z104" i="9" s="1"/>
  <c r="Y107" i="9"/>
  <c r="Z105" i="9"/>
  <c r="AH127" i="11"/>
  <c r="AI125" i="11"/>
  <c r="AI126" i="11" s="1"/>
  <c r="AI78" i="8"/>
  <c r="AJ76" i="8"/>
  <c r="AJ77" i="8" s="1"/>
  <c r="AG135" i="11"/>
  <c r="AG129" i="11"/>
  <c r="AG131" i="11" s="1"/>
  <c r="Z68" i="9" l="1"/>
  <c r="AK76" i="8"/>
  <c r="AK77" i="8" s="1"/>
  <c r="AK78" i="8" s="1"/>
  <c r="AJ78" i="8"/>
  <c r="AJ125" i="11"/>
  <c r="AJ126" i="11" s="1"/>
  <c r="AI127" i="11"/>
  <c r="Z106" i="9"/>
  <c r="AI86" i="8"/>
  <c r="AI80" i="8"/>
  <c r="AI82" i="8" s="1"/>
  <c r="AH135" i="11"/>
  <c r="AH129" i="11"/>
  <c r="AH131" i="11" s="1"/>
  <c r="Y115" i="9"/>
  <c r="Y109" i="9"/>
  <c r="Y111" i="9" s="1"/>
  <c r="AI135" i="11" l="1"/>
  <c r="AI129" i="11"/>
  <c r="AI131" i="11" s="1"/>
  <c r="AJ127" i="11"/>
  <c r="AK125" i="11"/>
  <c r="AK126" i="11" s="1"/>
  <c r="AK127" i="11" s="1"/>
  <c r="AJ86" i="8"/>
  <c r="AJ80" i="8"/>
  <c r="AJ82" i="8" s="1"/>
  <c r="AA105" i="9"/>
  <c r="AA106" i="9" s="1"/>
  <c r="Z107" i="9"/>
  <c r="AK86" i="8"/>
  <c r="AK80" i="8"/>
  <c r="AK82" i="8" s="1"/>
  <c r="D82" i="8" s="1"/>
  <c r="D43" i="8" s="1"/>
  <c r="AA67" i="9"/>
  <c r="AA104" i="9" s="1"/>
  <c r="AA68" i="9"/>
  <c r="AB105" i="9" l="1"/>
  <c r="AA107" i="9"/>
  <c r="AK135" i="11"/>
  <c r="D135" i="11" s="1"/>
  <c r="G41" i="11" s="1"/>
  <c r="AK129" i="11"/>
  <c r="AK131" i="11" s="1"/>
  <c r="D131" i="11" s="1"/>
  <c r="D67" i="11" s="1"/>
  <c r="Z115" i="9"/>
  <c r="Z109" i="9"/>
  <c r="Z111" i="9" s="1"/>
  <c r="AB67" i="9"/>
  <c r="AB104" i="9" s="1"/>
  <c r="AJ135" i="11"/>
  <c r="AJ129" i="11"/>
  <c r="AJ131" i="11" s="1"/>
  <c r="D86" i="8"/>
  <c r="H41" i="11" l="1"/>
  <c r="I41" i="11" s="1"/>
  <c r="H31" i="11"/>
  <c r="I31" i="11" s="1"/>
  <c r="H29" i="11"/>
  <c r="I29" i="11" s="1"/>
  <c r="H26" i="11"/>
  <c r="I26" i="11" s="1"/>
  <c r="H28" i="11"/>
  <c r="I28" i="11" s="1"/>
  <c r="H34" i="11"/>
  <c r="I34" i="11" s="1"/>
  <c r="H20" i="11"/>
  <c r="I20" i="11" s="1"/>
  <c r="H38" i="11"/>
  <c r="I38" i="11" s="1"/>
  <c r="H22" i="11"/>
  <c r="I22" i="11" s="1"/>
  <c r="H23" i="11"/>
  <c r="I23" i="11" s="1"/>
  <c r="H16" i="11"/>
  <c r="I16" i="11" s="1"/>
  <c r="H19" i="11"/>
  <c r="I19" i="11" s="1"/>
  <c r="H37" i="11"/>
  <c r="I37" i="11" s="1"/>
  <c r="H32" i="11"/>
  <c r="I32" i="11" s="1"/>
  <c r="H36" i="11"/>
  <c r="I36" i="11" s="1"/>
  <c r="H35" i="11"/>
  <c r="I35" i="11" s="1"/>
  <c r="H33" i="11"/>
  <c r="I33" i="11" s="1"/>
  <c r="H39" i="11"/>
  <c r="I39" i="11" s="1"/>
  <c r="H40" i="11"/>
  <c r="I40" i="11" s="1"/>
  <c r="H25" i="11"/>
  <c r="I25" i="11" s="1"/>
  <c r="H27" i="11"/>
  <c r="I27" i="11" s="1"/>
  <c r="H30" i="11"/>
  <c r="I30" i="11" s="1"/>
  <c r="H24" i="11"/>
  <c r="I24" i="11" s="1"/>
  <c r="G42" i="11"/>
  <c r="H17" i="11"/>
  <c r="I17" i="11" s="1"/>
  <c r="H21" i="11"/>
  <c r="I21" i="11" s="1"/>
  <c r="H18" i="11"/>
  <c r="I18" i="11" s="1"/>
  <c r="AB68" i="9"/>
  <c r="AA115" i="9"/>
  <c r="AA109" i="9"/>
  <c r="AA111" i="9" s="1"/>
  <c r="AB106" i="9"/>
  <c r="AC67" i="9" l="1"/>
  <c r="AC104" i="9" s="1"/>
  <c r="AC105" i="9"/>
  <c r="AB107" i="9"/>
  <c r="J37" i="11"/>
  <c r="M22" i="11" s="1"/>
  <c r="J40" i="11"/>
  <c r="G43" i="11"/>
  <c r="G44" i="11" s="1"/>
  <c r="J38" i="11" s="1"/>
  <c r="M23" i="11" s="1"/>
  <c r="J39" i="11"/>
  <c r="J23" i="11"/>
  <c r="J41" i="11"/>
  <c r="M24" i="11" s="1"/>
  <c r="J21" i="11" l="1"/>
  <c r="J22" i="11"/>
  <c r="M15" i="11" s="1"/>
  <c r="AC106" i="9"/>
  <c r="J36" i="11"/>
  <c r="AC68" i="9"/>
  <c r="J18" i="11"/>
  <c r="M14" i="11" s="1"/>
  <c r="J32" i="11"/>
  <c r="J34" i="11"/>
  <c r="M20" i="11" s="1"/>
  <c r="J33" i="11"/>
  <c r="M19" i="11" s="1"/>
  <c r="J27" i="11"/>
  <c r="J20" i="11"/>
  <c r="J29" i="11"/>
  <c r="J24" i="11"/>
  <c r="M16" i="11" s="1"/>
  <c r="AB115" i="9"/>
  <c r="AB109" i="9"/>
  <c r="AB111" i="9" s="1"/>
  <c r="J17" i="11"/>
  <c r="M12" i="11" s="1"/>
  <c r="J30" i="11"/>
  <c r="J28" i="11"/>
  <c r="J26" i="11"/>
  <c r="J31" i="11"/>
  <c r="J16" i="11"/>
  <c r="M11" i="11" s="1"/>
  <c r="J19" i="11"/>
  <c r="M13" i="11" s="1"/>
  <c r="J8" i="11"/>
  <c r="J10" i="11"/>
  <c r="M8" i="11" s="1"/>
  <c r="J9" i="11"/>
  <c r="J12" i="11"/>
  <c r="J11" i="11"/>
  <c r="J13" i="11"/>
  <c r="J14" i="11"/>
  <c r="M10" i="11" s="1"/>
  <c r="J15" i="11"/>
  <c r="J25" i="11"/>
  <c r="M17" i="11" s="1"/>
  <c r="J35" i="11"/>
  <c r="M21" i="11" s="1"/>
  <c r="AD67" i="9" l="1"/>
  <c r="AD104" i="9" s="1"/>
  <c r="M7" i="11"/>
  <c r="G45" i="11"/>
  <c r="AC107" i="9"/>
  <c r="AD105" i="9"/>
  <c r="AD106" i="9" s="1"/>
  <c r="M9" i="11"/>
  <c r="M18" i="11"/>
  <c r="AD107" i="9" l="1"/>
  <c r="AE105" i="9"/>
  <c r="M25" i="11"/>
  <c r="AC115" i="9"/>
  <c r="AC109" i="9"/>
  <c r="AC111" i="9" s="1"/>
  <c r="AD68" i="9"/>
  <c r="AE67" i="9" l="1"/>
  <c r="AE104" i="9" s="1"/>
  <c r="AE68" i="9"/>
  <c r="AE106" i="9"/>
  <c r="AD115" i="9"/>
  <c r="AD109" i="9"/>
  <c r="AD111" i="9" s="1"/>
  <c r="AF67" i="9" l="1"/>
  <c r="AF104" i="9" s="1"/>
  <c r="AF68" i="9"/>
  <c r="AE107" i="9"/>
  <c r="AF105" i="9"/>
  <c r="AF106" i="9" s="1"/>
  <c r="AF107" i="9" l="1"/>
  <c r="AG105" i="9"/>
  <c r="AE115" i="9"/>
  <c r="AE109" i="9"/>
  <c r="AE111" i="9" s="1"/>
  <c r="AG67" i="9"/>
  <c r="AG104" i="9" s="1"/>
  <c r="AG68" i="9"/>
  <c r="AH67" i="9" l="1"/>
  <c r="AH104" i="9" s="1"/>
  <c r="AG106" i="9"/>
  <c r="AF115" i="9"/>
  <c r="AF109" i="9"/>
  <c r="AF111" i="9" s="1"/>
  <c r="AG107" i="9" l="1"/>
  <c r="AH105" i="9"/>
  <c r="AH106" i="9" s="1"/>
  <c r="AH68" i="9"/>
  <c r="AI67" i="9" l="1"/>
  <c r="AI104" i="9" s="1"/>
  <c r="AI68" i="9"/>
  <c r="AI105" i="9"/>
  <c r="AI106" i="9" s="1"/>
  <c r="AH107" i="9"/>
  <c r="AG115" i="9"/>
  <c r="AG109" i="9"/>
  <c r="AG111" i="9" s="1"/>
  <c r="AH115" i="9" l="1"/>
  <c r="AH109" i="9"/>
  <c r="AH111" i="9" s="1"/>
  <c r="AJ68" i="9"/>
  <c r="AJ67" i="9"/>
  <c r="AJ104" i="9" s="1"/>
  <c r="AJ105" i="9"/>
  <c r="AI107" i="9"/>
  <c r="AI115" i="9" l="1"/>
  <c r="AI109" i="9"/>
  <c r="AI111" i="9" s="1"/>
  <c r="AK67" i="9"/>
  <c r="AK104" i="9" s="1"/>
  <c r="AJ106" i="9"/>
  <c r="AK105" i="9" l="1"/>
  <c r="AK106" i="9" s="1"/>
  <c r="AK107" i="9" s="1"/>
  <c r="AJ107" i="9"/>
  <c r="AK68" i="9"/>
  <c r="AJ115" i="9" l="1"/>
  <c r="AJ109" i="9"/>
  <c r="AJ111" i="9" s="1"/>
  <c r="AK115" i="9"/>
  <c r="D115" i="9" s="1"/>
  <c r="G31" i="9" s="1"/>
  <c r="AK109" i="9"/>
  <c r="AK111" i="9" s="1"/>
  <c r="D111" i="9" s="1"/>
  <c r="D57" i="9" s="1"/>
  <c r="G32" i="9" l="1"/>
  <c r="H12" i="9" l="1"/>
  <c r="I12" i="9" s="1"/>
  <c r="H24" i="9"/>
  <c r="I24" i="9" s="1"/>
  <c r="H18" i="9"/>
  <c r="I18" i="9" s="1"/>
  <c r="H29" i="9"/>
  <c r="I29" i="9" s="1"/>
  <c r="H23" i="9"/>
  <c r="I23" i="9" s="1"/>
  <c r="H19" i="9"/>
  <c r="I19" i="9" s="1"/>
  <c r="H27" i="9"/>
  <c r="I27" i="9" s="1"/>
  <c r="H17" i="9"/>
  <c r="I17" i="9" s="1"/>
  <c r="H25" i="9"/>
  <c r="I25" i="9" s="1"/>
  <c r="H21" i="9"/>
  <c r="I21" i="9" s="1"/>
  <c r="H13" i="9"/>
  <c r="I13" i="9" s="1"/>
  <c r="H20" i="9"/>
  <c r="I20" i="9" s="1"/>
  <c r="H26" i="9"/>
  <c r="I26" i="9" s="1"/>
  <c r="H16" i="9"/>
  <c r="I16" i="9" s="1"/>
  <c r="H22" i="9"/>
  <c r="I22" i="9" s="1"/>
  <c r="H30" i="9"/>
  <c r="I30" i="9" s="1"/>
  <c r="H28" i="9"/>
  <c r="I28" i="9" s="1"/>
  <c r="H15" i="9"/>
  <c r="I15" i="9" s="1"/>
  <c r="H14" i="9"/>
  <c r="I14" i="9" s="1"/>
  <c r="H31" i="9"/>
  <c r="I31" i="9" s="1"/>
  <c r="G33" i="9" l="1"/>
  <c r="G34" i="9" s="1"/>
  <c r="J28" i="9" s="1"/>
  <c r="J16" i="9" l="1"/>
  <c r="J31" i="9"/>
  <c r="M22" i="9" s="1"/>
  <c r="J30" i="9"/>
  <c r="J21" i="9"/>
  <c r="M15" i="9" s="1"/>
  <c r="J12" i="9"/>
  <c r="M9" i="9" s="1"/>
  <c r="J15" i="9"/>
  <c r="J23" i="9"/>
  <c r="M17" i="9" s="1"/>
  <c r="J22" i="9"/>
  <c r="M16" i="9" s="1"/>
  <c r="J24" i="9"/>
  <c r="M18" i="9" s="1"/>
  <c r="J29" i="9"/>
  <c r="M21" i="9" s="1"/>
  <c r="J10" i="9"/>
  <c r="J8" i="9"/>
  <c r="J9" i="9"/>
  <c r="J11" i="9"/>
  <c r="J19" i="9"/>
  <c r="J26" i="9"/>
  <c r="J25" i="9"/>
  <c r="M19" i="9" s="1"/>
  <c r="J18" i="9"/>
  <c r="J13" i="9"/>
  <c r="M10" i="9" s="1"/>
  <c r="J27" i="9"/>
  <c r="M20" i="9" s="1"/>
  <c r="J20" i="9"/>
  <c r="M14" i="9" s="1"/>
  <c r="J14" i="9"/>
  <c r="M12" i="9" s="1"/>
  <c r="J17" i="9"/>
  <c r="M11" i="9" l="1"/>
  <c r="G35" i="9"/>
  <c r="M8" i="9"/>
  <c r="M7" i="9"/>
  <c r="M13" i="9"/>
  <c r="M23" i="9" l="1"/>
</calcChain>
</file>

<file path=xl/sharedStrings.xml><?xml version="1.0" encoding="utf-8"?>
<sst xmlns="http://schemas.openxmlformats.org/spreadsheetml/2006/main" count="1277" uniqueCount="597">
  <si>
    <t>Parameter</t>
  </si>
  <si>
    <t>Value</t>
  </si>
  <si>
    <t>Units</t>
  </si>
  <si>
    <t>Model Inputs (Entered in Matlab)</t>
  </si>
  <si>
    <t>Location</t>
  </si>
  <si>
    <t>Cultivation Area</t>
  </si>
  <si>
    <t>wetted acres</t>
  </si>
  <si>
    <t>Pond Size</t>
  </si>
  <si>
    <t>acres per pond</t>
  </si>
  <si>
    <t>Pond Depth</t>
  </si>
  <si>
    <t>Maximum Pond Depth</t>
  </si>
  <si>
    <t>Minimum Pond Depth</t>
  </si>
  <si>
    <t>m</t>
  </si>
  <si>
    <t>Strain</t>
  </si>
  <si>
    <t>[strain name]</t>
  </si>
  <si>
    <t>Inoculation Concentration</t>
  </si>
  <si>
    <t>Harvesting Concentration</t>
  </si>
  <si>
    <t>Days to Automated Harvest</t>
  </si>
  <si>
    <t>gpL</t>
  </si>
  <si>
    <t>days</t>
  </si>
  <si>
    <t>Algae Carbon Content</t>
  </si>
  <si>
    <t>wt% AFDW</t>
  </si>
  <si>
    <t>Carbon Utilization Efficiency</t>
  </si>
  <si>
    <t>% sparged CO2 utilized for growth</t>
  </si>
  <si>
    <t>Algae N Content</t>
  </si>
  <si>
    <t>Algae P Content</t>
  </si>
  <si>
    <t>P Content of DAP</t>
  </si>
  <si>
    <t>N Content of DAP</t>
  </si>
  <si>
    <t>N Content of Ammonia</t>
  </si>
  <si>
    <t>Nutrient Surplus</t>
  </si>
  <si>
    <t>dry wt%</t>
  </si>
  <si>
    <t>% excess nutrients</t>
  </si>
  <si>
    <t>Proteins</t>
  </si>
  <si>
    <t>Carbohydrates</t>
  </si>
  <si>
    <t>Lipids</t>
  </si>
  <si>
    <t>Ash</t>
  </si>
  <si>
    <t>Anaerobic Storage Losses</t>
  </si>
  <si>
    <t>Slurry Pump Efficiency</t>
  </si>
  <si>
    <t>Category</t>
  </si>
  <si>
    <t>Facility Location</t>
  </si>
  <si>
    <t>Facility Size and Layout</t>
  </si>
  <si>
    <t>Strain Parametes and 
Harvesting Sequence</t>
  </si>
  <si>
    <t>Carbon Content and Carbon Utilization Efficiency</t>
  </si>
  <si>
    <t>N + P Content in Algae and Nutrient Sources</t>
  </si>
  <si>
    <t>Microalgae Composition</t>
  </si>
  <si>
    <t>Long-Term Anaerobic Storage</t>
  </si>
  <si>
    <t>% dry matter loss in storage</t>
  </si>
  <si>
    <t>% (efficiency)</t>
  </si>
  <si>
    <t>Operational Days (conversion)</t>
  </si>
  <si>
    <t>days/yr in operation</t>
  </si>
  <si>
    <t>Cost Year</t>
  </si>
  <si>
    <t>Internal Rate of Return</t>
  </si>
  <si>
    <t>[year]</t>
  </si>
  <si>
    <t>%</t>
  </si>
  <si>
    <t>Cash Flow</t>
  </si>
  <si>
    <t>Cost of Electricity</t>
  </si>
  <si>
    <t>Cost of CO2</t>
  </si>
  <si>
    <t>Cost of Ammonia</t>
  </si>
  <si>
    <t>Cost of DAP</t>
  </si>
  <si>
    <t>Cultivation Consumables</t>
  </si>
  <si>
    <t>Cost of Natural Gas</t>
  </si>
  <si>
    <t>Cost of Hydrogen</t>
  </si>
  <si>
    <t>Cost of Process Water</t>
  </si>
  <si>
    <t>$/kWh</t>
  </si>
  <si>
    <t>$/tonne CO2</t>
  </si>
  <si>
    <t>$/kg</t>
  </si>
  <si>
    <t>$/m3</t>
  </si>
  <si>
    <t>Annual Average Areal Productivity</t>
  </si>
  <si>
    <t>Annual Average Volumetric Productivity</t>
  </si>
  <si>
    <t>Spring Productivity</t>
  </si>
  <si>
    <t>Summer Productivity</t>
  </si>
  <si>
    <t>Fall Productivity</t>
  </si>
  <si>
    <t>Winter Productivity</t>
  </si>
  <si>
    <t xml:space="preserve">Cultivation and Dewatering Model Outputs </t>
  </si>
  <si>
    <t xml:space="preserve">Category </t>
  </si>
  <si>
    <t>tonnes AFDW/yr</t>
  </si>
  <si>
    <t>Annual Biomass Production</t>
  </si>
  <si>
    <t>kg/yr</t>
  </si>
  <si>
    <t>tonnes CO2/yr</t>
  </si>
  <si>
    <t>kWh/yr</t>
  </si>
  <si>
    <t>Ammonia Consumption</t>
  </si>
  <si>
    <t>DAP Consumption</t>
  </si>
  <si>
    <t>CO2 Consumption</t>
  </si>
  <si>
    <t>Pumping Energy</t>
  </si>
  <si>
    <t>Paddlewheel Energy</t>
  </si>
  <si>
    <t>Sparging Energy</t>
  </si>
  <si>
    <t>Membrane Energy</t>
  </si>
  <si>
    <t>Centrifuge Energy</t>
  </si>
  <si>
    <t>UV Sterilization Energy</t>
  </si>
  <si>
    <t>Freshwater Consumption</t>
  </si>
  <si>
    <t>Rainwater Consumption</t>
  </si>
  <si>
    <t>Biomass Output at 20% solids</t>
  </si>
  <si>
    <t>Winter Evaporation</t>
  </si>
  <si>
    <t>Spring Evaporation</t>
  </si>
  <si>
    <t>Summer Evaporation</t>
  </si>
  <si>
    <t>Fall Evaporation</t>
  </si>
  <si>
    <t>cm/day</t>
  </si>
  <si>
    <t>Biomass Production</t>
  </si>
  <si>
    <r>
      <t>g AFDW m</t>
    </r>
    <r>
      <rPr>
        <i/>
        <vertAlign val="superscript"/>
        <sz val="11"/>
        <color theme="1"/>
        <rFont val="Calibri"/>
        <family val="2"/>
        <scheme val="minor"/>
      </rPr>
      <t>-2</t>
    </r>
    <r>
      <rPr>
        <i/>
        <sz val="11"/>
        <color theme="1"/>
        <rFont val="Calibri"/>
        <family val="2"/>
        <scheme val="minor"/>
      </rPr>
      <t xml:space="preserve"> day</t>
    </r>
    <r>
      <rPr>
        <i/>
        <vertAlign val="superscript"/>
        <sz val="11"/>
        <color theme="1"/>
        <rFont val="Calibri"/>
        <family val="2"/>
        <scheme val="minor"/>
      </rPr>
      <t>-1</t>
    </r>
  </si>
  <si>
    <r>
      <t>g AFDW L</t>
    </r>
    <r>
      <rPr>
        <i/>
        <vertAlign val="superscript"/>
        <sz val="11"/>
        <color theme="1"/>
        <rFont val="Calibri"/>
        <family val="2"/>
        <scheme val="minor"/>
      </rPr>
      <t>-1</t>
    </r>
    <r>
      <rPr>
        <i/>
        <sz val="11"/>
        <color theme="1"/>
        <rFont val="Calibri"/>
        <family val="2"/>
        <scheme val="minor"/>
      </rPr>
      <t xml:space="preserve"> day</t>
    </r>
    <r>
      <rPr>
        <i/>
        <vertAlign val="superscript"/>
        <sz val="11"/>
        <color theme="1"/>
        <rFont val="Calibri"/>
        <family val="2"/>
        <scheme val="minor"/>
      </rPr>
      <t>-1</t>
    </r>
  </si>
  <si>
    <r>
      <t>m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water per tonne AFDW</t>
    </r>
  </si>
  <si>
    <t>Nutrients and CO2 Consumption</t>
  </si>
  <si>
    <t xml:space="preserve">Cultivation Energy </t>
  </si>
  <si>
    <t>Dewatering Energy</t>
  </si>
  <si>
    <t>Water Footprint</t>
  </si>
  <si>
    <t>Slurry Output</t>
  </si>
  <si>
    <t>Seasonal Evaporation Rates</t>
  </si>
  <si>
    <t>Process Consumables</t>
  </si>
  <si>
    <t>gallons/yr</t>
  </si>
  <si>
    <t>Naphtha</t>
  </si>
  <si>
    <t>Diesel</t>
  </si>
  <si>
    <t>Makeup Water Pipeline Diameter</t>
  </si>
  <si>
    <t>Fixed Capital Investment</t>
  </si>
  <si>
    <t>Working Capital</t>
  </si>
  <si>
    <t>Total Capital Investment</t>
  </si>
  <si>
    <t>Capital Expense</t>
  </si>
  <si>
    <t>Open Raceway Ponds</t>
  </si>
  <si>
    <t>Inoculation System</t>
  </si>
  <si>
    <t>CO2 Storage and Delivery</t>
  </si>
  <si>
    <t>Water Delivery and Circulation</t>
  </si>
  <si>
    <t>Dewatering</t>
  </si>
  <si>
    <t>Storage</t>
  </si>
  <si>
    <t>Additional Direct Capital Expenses</t>
  </si>
  <si>
    <t>Indirect Capital Expenses</t>
  </si>
  <si>
    <t>Land Capital</t>
  </si>
  <si>
    <t>Civil Work</t>
  </si>
  <si>
    <t>Leakage Barrier</t>
  </si>
  <si>
    <t>Paddlewheel</t>
  </si>
  <si>
    <t>Electrical Instrumentation</t>
  </si>
  <si>
    <t>Pond Piping</t>
  </si>
  <si>
    <t>CO2 Diffusers</t>
  </si>
  <si>
    <t>Slide Gates</t>
  </si>
  <si>
    <t>Concrete</t>
  </si>
  <si>
    <t>Tubular PBR (Inoculation System)</t>
  </si>
  <si>
    <t>Covered Inoculum Ponds</t>
  </si>
  <si>
    <t>Open Inoculum Ponds</t>
  </si>
  <si>
    <t>Covered Inoculum Pond Lining</t>
  </si>
  <si>
    <t>Air Supported Greenhouse</t>
  </si>
  <si>
    <t>Open Inoculum Pond Lining</t>
  </si>
  <si>
    <t>Total Inoculation System</t>
  </si>
  <si>
    <t>CO2 Sphere</t>
  </si>
  <si>
    <t>CO2 Vaporizer</t>
  </si>
  <si>
    <t>CO2 Trunkline</t>
  </si>
  <si>
    <t>CO2 Branchline</t>
  </si>
  <si>
    <t>CO2 within-plot Piping</t>
  </si>
  <si>
    <t>CO2 Supply to Inoculum Ponds</t>
  </si>
  <si>
    <t>Total CO2 Delivery</t>
  </si>
  <si>
    <t>Harvesting Chanels</t>
  </si>
  <si>
    <t>34 Inch Diameter Pipe</t>
  </si>
  <si>
    <t>26 Inch Diameter Pipe</t>
  </si>
  <si>
    <t>20 Inch Diameter Pipe</t>
  </si>
  <si>
    <t>16 Inch Diameter Pipe</t>
  </si>
  <si>
    <t>14 Inch Diameter Pipe</t>
  </si>
  <si>
    <t>12 Inch Diameter Pipe</t>
  </si>
  <si>
    <t>Makeup Water Pipeline</t>
  </si>
  <si>
    <t>Makeup Water Pump</t>
  </si>
  <si>
    <t>Return Water Pipe</t>
  </si>
  <si>
    <t>Return Water Pump</t>
  </si>
  <si>
    <t>Settling Ponds</t>
  </si>
  <si>
    <t>Settling Pond Liners (Anaerobic Storage)</t>
  </si>
  <si>
    <t>Membrane</t>
  </si>
  <si>
    <t>Centrifuge</t>
  </si>
  <si>
    <t>Total Dewatering</t>
  </si>
  <si>
    <t>Firewater Pump</t>
  </si>
  <si>
    <t>Firewater Storage Tank</t>
  </si>
  <si>
    <t>Makeup Water Storage Tank</t>
  </si>
  <si>
    <t>Tankage BOP</t>
  </si>
  <si>
    <t>Total Storage</t>
  </si>
  <si>
    <t>Warehouse</t>
  </si>
  <si>
    <t>Site Development</t>
  </si>
  <si>
    <t>Additional Piping</t>
  </si>
  <si>
    <t>Prorateable Expenses</t>
  </si>
  <si>
    <t>Field Expenses</t>
  </si>
  <si>
    <t>Home Office</t>
  </si>
  <si>
    <t>Project Contingency</t>
  </si>
  <si>
    <t>Other Costs</t>
  </si>
  <si>
    <t>Cultivation and Dewatering Capital Expenses</t>
  </si>
  <si>
    <t>Total ORP Capital</t>
  </si>
  <si>
    <t>Total Water Delivery and Circulation</t>
  </si>
  <si>
    <t>Total Additional Direct Capital</t>
  </si>
  <si>
    <t>Total Additional Indirect Capital</t>
  </si>
  <si>
    <t>inches</t>
  </si>
  <si>
    <t>Cultivation and Dewatering Operational Expenses</t>
  </si>
  <si>
    <t>Total Cultivation and Dewatering OPEX</t>
  </si>
  <si>
    <t>Electricity</t>
  </si>
  <si>
    <t>Ammonia</t>
  </si>
  <si>
    <t>DAP</t>
  </si>
  <si>
    <t>Cultivation CO2</t>
  </si>
  <si>
    <t>Labor</t>
  </si>
  <si>
    <t>Labor Burdens</t>
  </si>
  <si>
    <t>Maintenance</t>
  </si>
  <si>
    <t>Property Tax and Insurance</t>
  </si>
  <si>
    <t>Maintenance and Insurance</t>
  </si>
  <si>
    <t>Total C &amp; DW Operational Expenses</t>
  </si>
  <si>
    <t>Cooling Tower System</t>
  </si>
  <si>
    <t>Cooling Water Pump</t>
  </si>
  <si>
    <t>Total ISBL</t>
  </si>
  <si>
    <t>Additional Direct Capital</t>
  </si>
  <si>
    <t>Total Variable OPEX</t>
  </si>
  <si>
    <t>Labor Burden</t>
  </si>
  <si>
    <t>Operational Expense</t>
  </si>
  <si>
    <t>Total Direct Costs</t>
  </si>
  <si>
    <t>Total</t>
  </si>
  <si>
    <t>Process Model Outputs</t>
  </si>
  <si>
    <t>LCA Model Outputs</t>
  </si>
  <si>
    <t>Respiratory Effects</t>
  </si>
  <si>
    <t>kg PM2.5</t>
  </si>
  <si>
    <t>Grid Region</t>
  </si>
  <si>
    <t>Acidification</t>
  </si>
  <si>
    <t>kg SO2-eq</t>
  </si>
  <si>
    <t>Ecotoxicity</t>
  </si>
  <si>
    <t>CTUe</t>
  </si>
  <si>
    <t>Non-Carcinogenics</t>
  </si>
  <si>
    <t>CTUh</t>
  </si>
  <si>
    <t>Carcinogenics</t>
  </si>
  <si>
    <t>Global Warming Potential</t>
  </si>
  <si>
    <t>kg CO2-eq</t>
  </si>
  <si>
    <t>Smog Formation</t>
  </si>
  <si>
    <t>kg O3-eq</t>
  </si>
  <si>
    <t>Ozone Depletion</t>
  </si>
  <si>
    <t>kg CFC-11</t>
  </si>
  <si>
    <t>Eutrophication</t>
  </si>
  <si>
    <t>kg N-eq</t>
  </si>
  <si>
    <t>Fossil Fuel Depletion</t>
  </si>
  <si>
    <t>MJ Surplus</t>
  </si>
  <si>
    <t>TRACI Environmental Impacts</t>
  </si>
  <si>
    <t>Electricity (Cultivation)</t>
  </si>
  <si>
    <t>Electricity (Dewatering)</t>
  </si>
  <si>
    <t>Electricity (Storage)</t>
  </si>
  <si>
    <t>Notes</t>
  </si>
  <si>
    <t>Includes freshwater use for cultivation and conversion</t>
  </si>
  <si>
    <t>Water pumps, paddlewheels, gas sparging</t>
  </si>
  <si>
    <t>Pumps, membranes, centrifuges, UV sterilization</t>
  </si>
  <si>
    <t>Slurry pumps to/from anaerobic storage</t>
  </si>
  <si>
    <t>GHG Emissions (kg CO2-eq/kWh)</t>
  </si>
  <si>
    <t>Water Footprint Metrics</t>
  </si>
  <si>
    <t>Grouped Results</t>
  </si>
  <si>
    <t>Cultivation Electricity</t>
  </si>
  <si>
    <t xml:space="preserve">ORP and dewatering equipment energy </t>
  </si>
  <si>
    <t xml:space="preserve">Conversion Consumables </t>
  </si>
  <si>
    <t>Ammonia, DAP, CO2, and well water</t>
  </si>
  <si>
    <t>Conversion Electricity</t>
  </si>
  <si>
    <t>Diammonium Phosphate (DAP)</t>
  </si>
  <si>
    <t>Conversion Direct Emissions</t>
  </si>
  <si>
    <t xml:space="preserve">To replenish evaporative losses and recycling inefficiencies </t>
  </si>
  <si>
    <t>Process Water (Cultivation &amp; Dewatering)</t>
  </si>
  <si>
    <t>CO2 Uptake (Biomass Growth)</t>
  </si>
  <si>
    <t>Atmospheric CO2 embodied in algae biomass</t>
  </si>
  <si>
    <t>CO2 Uptake (from Biomass Growth)</t>
  </si>
  <si>
    <t>Atmospheric CO2 embodied in algae biomass (credit)</t>
  </si>
  <si>
    <t>Co-Product Displacement Credits</t>
  </si>
  <si>
    <t>Ammonia Displacement Credit</t>
  </si>
  <si>
    <t>DAP Displacement Credit</t>
  </si>
  <si>
    <t>Avoided emissions from producing ammonia (credit)</t>
  </si>
  <si>
    <t>Avoided emissions from producing DAP (credit)</t>
  </si>
  <si>
    <t>LCA Results (Annual Totals in Each Impact Category)</t>
  </si>
  <si>
    <t>LCA Results (Normalized by Annual Fuel Production)</t>
  </si>
  <si>
    <t>kg PM2.5/MJ Fuel</t>
  </si>
  <si>
    <t>kg SO2-eq/MJ Fuel</t>
  </si>
  <si>
    <t>CTUe/MJ Fuel</t>
  </si>
  <si>
    <t>CTUh/MJ Fuel</t>
  </si>
  <si>
    <t>g CO2-eq/MJ Fuel</t>
  </si>
  <si>
    <t>kg O3-eq/MJ Fuel</t>
  </si>
  <si>
    <t>kg CFC-11/MJ Fuel</t>
  </si>
  <si>
    <t>kg N-eq/MJ Fuel</t>
  </si>
  <si>
    <t>MJ Surplus/MJ Fuel</t>
  </si>
  <si>
    <t>Process Input</t>
  </si>
  <si>
    <t>[County, State]</t>
  </si>
  <si>
    <t>Blue Water Footprint (Cultivation)</t>
  </si>
  <si>
    <t>Blue Water Footprint (Cultivation &amp; Conversion)</t>
  </si>
  <si>
    <t>Green Water Footprint (Cultivation)</t>
  </si>
  <si>
    <t>Water Scarcity Footprint (Cultivation)</t>
  </si>
  <si>
    <t>Water Scarcity Footprint
(AWARE Model)</t>
  </si>
  <si>
    <t>Water Scarcity Footprint (Cultivation &amp; Conversion)</t>
  </si>
  <si>
    <t>m3/tonne AFDW</t>
  </si>
  <si>
    <t>m3/MJ Fuel</t>
  </si>
  <si>
    <t>m3-eq/tonne AFDW</t>
  </si>
  <si>
    <t>m3-eq/MJ Fuel</t>
  </si>
  <si>
    <t>WF Classification</t>
  </si>
  <si>
    <t>Direct CO2 Emissions (Biorefinery &amp; Fuel End Use)</t>
  </si>
  <si>
    <t>Non-CO2 GHG Emissions (Biorefinery &amp; Fuel End Use)</t>
  </si>
  <si>
    <t>Direct Biogenic CO2 emissions from biorefinery operations and fuel end-use</t>
  </si>
  <si>
    <t>Other GHG emissions from biorefinery operations and fuel end-use</t>
  </si>
  <si>
    <t>Net Emissions</t>
  </si>
  <si>
    <t>TRACI Environmental Impacts for System Credits</t>
  </si>
  <si>
    <t>Ammonia Recovery</t>
  </si>
  <si>
    <t>DAP Recovery</t>
  </si>
  <si>
    <t>Lipid Extraction System Boundary</t>
  </si>
  <si>
    <t>[includes AD-PSA-CHP?]</t>
  </si>
  <si>
    <t>HPH - Number of Passes</t>
  </si>
  <si>
    <t>HPH - Presure Rating</t>
  </si>
  <si>
    <t>number of passes</t>
  </si>
  <si>
    <t>PSI</t>
  </si>
  <si>
    <t>WHE - Solvent to Biomass Ratio</t>
  </si>
  <si>
    <t>g solvent:g wet biomass</t>
  </si>
  <si>
    <t>WHE - Lipid Extraction Efficiency</t>
  </si>
  <si>
    <t>% of lipids extracted</t>
  </si>
  <si>
    <t>WHE - Hexane Loss</t>
  </si>
  <si>
    <t>g hexane per kg oil</t>
  </si>
  <si>
    <t>Lipid Extraction</t>
  </si>
  <si>
    <t>Fuel Yield Scenario</t>
  </si>
  <si>
    <t>[max jet or max distillate]</t>
  </si>
  <si>
    <t>HEFA H2 Scenario</t>
  </si>
  <si>
    <t>[onsite SMR or purchased]</t>
  </si>
  <si>
    <t>HEFA CO2 Recycle</t>
  </si>
  <si>
    <t>[recycle CO2 to ponds?]</t>
  </si>
  <si>
    <t>Hydroprocessed Esters and Fatty Acids (HEFA) Prpocess</t>
  </si>
  <si>
    <t>SAF Production Consumables</t>
  </si>
  <si>
    <t>Cost of Hexane Solvent</t>
  </si>
  <si>
    <t>Carbon Offset Value</t>
  </si>
  <si>
    <t>Lipid Purchasing Price</t>
  </si>
  <si>
    <t>$/tCO2</t>
  </si>
  <si>
    <t>$/kg lipid (oil)</t>
  </si>
  <si>
    <t>Product Values</t>
  </si>
  <si>
    <t>Propane</t>
  </si>
  <si>
    <t>LNG</t>
  </si>
  <si>
    <t>Jet Fuel (Kerosene)</t>
  </si>
  <si>
    <t>Fixed OPEX Costing Model</t>
  </si>
  <si>
    <t>[Chen &amp; Quinn vs. Pearlson]</t>
  </si>
  <si>
    <t>$/gallon</t>
  </si>
  <si>
    <t>SAF Production Model Outputs</t>
  </si>
  <si>
    <t>HEFA H2 Input</t>
  </si>
  <si>
    <t>HEFA Consumables</t>
  </si>
  <si>
    <t>Electric Energy Balance</t>
  </si>
  <si>
    <t>Thermal Energy Balance</t>
  </si>
  <si>
    <t>Fuel Products</t>
  </si>
  <si>
    <t>Nutrient Recovery</t>
  </si>
  <si>
    <t>CHP Parameters</t>
  </si>
  <si>
    <t>WHE Annual Hexane Consumption</t>
  </si>
  <si>
    <t>kg hexane/yr</t>
  </si>
  <si>
    <t>HEFA Water Consumption</t>
  </si>
  <si>
    <t>m3/yr</t>
  </si>
  <si>
    <t>kg H2/yr</t>
  </si>
  <si>
    <t>HPH Electric Energy</t>
  </si>
  <si>
    <t>WHE Electric Energy</t>
  </si>
  <si>
    <t>HEFA Electric Energy</t>
  </si>
  <si>
    <t>AD Electric Energy</t>
  </si>
  <si>
    <t>Biogas Cleanup Electric Energy</t>
  </si>
  <si>
    <t>CHP Electricity Out</t>
  </si>
  <si>
    <t>Supplemental Electricity</t>
  </si>
  <si>
    <t>kWh_thermal/yr</t>
  </si>
  <si>
    <t>kg NG/yr</t>
  </si>
  <si>
    <t>WHE Thermal Energy</t>
  </si>
  <si>
    <t>HEFA Thermal Energy</t>
  </si>
  <si>
    <t>AD Thermal Energy</t>
  </si>
  <si>
    <t>CHP Thermal Energy Out</t>
  </si>
  <si>
    <t>Supplemental Natural Gas</t>
  </si>
  <si>
    <t>Naphtha (Gasoline)</t>
  </si>
  <si>
    <t>NH3-eq Recovery</t>
  </si>
  <si>
    <t>kg NH3-eq/yr</t>
  </si>
  <si>
    <t>kg DAP-eq/yr</t>
  </si>
  <si>
    <t>DAP-eq Recovery</t>
  </si>
  <si>
    <t xml:space="preserve">N2O Emissions to Soil </t>
  </si>
  <si>
    <t>kg N2O-N/yr</t>
  </si>
  <si>
    <t xml:space="preserve">HEFA CO2 Out </t>
  </si>
  <si>
    <t>tCO2/yr</t>
  </si>
  <si>
    <t>PSA CO2 Out</t>
  </si>
  <si>
    <t xml:space="preserve"> tCO2/yr</t>
  </si>
  <si>
    <t xml:space="preserve">Digestate CO2 Sequestration </t>
  </si>
  <si>
    <t>CHP Power Rating</t>
  </si>
  <si>
    <t>kW</t>
  </si>
  <si>
    <t>MW</t>
  </si>
  <si>
    <t>CHP Leaked</t>
  </si>
  <si>
    <t>kg CH4/yr</t>
  </si>
  <si>
    <t>SAF Production Capital Expenses</t>
  </si>
  <si>
    <t>SAF Production Operational Expenses</t>
  </si>
  <si>
    <t>High-Pressure Homogenizer</t>
  </si>
  <si>
    <t>Wet Hexane Extraction Equipment</t>
  </si>
  <si>
    <t>Initial Hexane Charge</t>
  </si>
  <si>
    <t>Hydrotreater</t>
  </si>
  <si>
    <t>Isomerizer</t>
  </si>
  <si>
    <t>Isomerizer Initial Catalyst Charge</t>
  </si>
  <si>
    <t>Steam Methane Reformer (SMR)</t>
  </si>
  <si>
    <t>Gas Processing Plant</t>
  </si>
  <si>
    <t>Biocrude Storage (13 days)</t>
  </si>
  <si>
    <t>Liquid Products Storage (25 days)</t>
  </si>
  <si>
    <t>Fire Water Pump</t>
  </si>
  <si>
    <t>Fire Water Storage Tank</t>
  </si>
  <si>
    <t>Anaerobic Digester</t>
  </si>
  <si>
    <t>Pressure Swing Absorber (PSA)</t>
  </si>
  <si>
    <t>Combined Heat and Power Unit</t>
  </si>
  <si>
    <t>Additional Site Development</t>
  </si>
  <si>
    <t>HEFA Process</t>
  </si>
  <si>
    <t>Additional ISBL</t>
  </si>
  <si>
    <t>Energy/Nutrient Recovery</t>
  </si>
  <si>
    <t>Additional Direct CAPEX</t>
  </si>
  <si>
    <t>Contingency</t>
  </si>
  <si>
    <t>Capital Expenses</t>
  </si>
  <si>
    <t>Equipment Maintenance</t>
  </si>
  <si>
    <t>Misc. Supplies</t>
  </si>
  <si>
    <t>Fixed OPEX Contingency</t>
  </si>
  <si>
    <t>Total Fixed OPEX</t>
  </si>
  <si>
    <t>Process Consumables (Variable OPEX)</t>
  </si>
  <si>
    <t>Maintenance/Insurance/Other</t>
  </si>
  <si>
    <t>Total Converesion Operational Expenses</t>
  </si>
  <si>
    <t>Total Converesion OPEX</t>
  </si>
  <si>
    <t>WHE Annual Hexane</t>
  </si>
  <si>
    <t>HEFA HT Catalyst</t>
  </si>
  <si>
    <t>HEFA ISO Catalyst</t>
  </si>
  <si>
    <t>HEFA Water</t>
  </si>
  <si>
    <t>HEFA SMR Catalyst</t>
  </si>
  <si>
    <t>HEFA Purchased H2</t>
  </si>
  <si>
    <t>CAPEX &amp; OPEX</t>
  </si>
  <si>
    <t>Economic Inputs</t>
  </si>
  <si>
    <t>Loan</t>
  </si>
  <si>
    <t>Equity</t>
  </si>
  <si>
    <t>Loan Interest</t>
  </si>
  <si>
    <t>Loan Term</t>
  </si>
  <si>
    <t>Annual Loan Payment</t>
  </si>
  <si>
    <t>Depreciation</t>
  </si>
  <si>
    <t>MACRS</t>
  </si>
  <si>
    <t>Years</t>
  </si>
  <si>
    <t>Construction Period</t>
  </si>
  <si>
    <t>Construciton Period (years)</t>
  </si>
  <si>
    <t>% yr -2</t>
  </si>
  <si>
    <t>% yr -1</t>
  </si>
  <si>
    <t>% yr 0</t>
  </si>
  <si>
    <t>Productivity</t>
  </si>
  <si>
    <t>Start Up Time</t>
  </si>
  <si>
    <t>Start Up Production</t>
  </si>
  <si>
    <t>% of full production</t>
  </si>
  <si>
    <t>Full Production Rate</t>
  </si>
  <si>
    <t>Internal Rate of Return and Tax Rate</t>
  </si>
  <si>
    <t>Tax Rate</t>
  </si>
  <si>
    <t>Results</t>
  </si>
  <si>
    <t>Net Present Value</t>
  </si>
  <si>
    <t>Cash Flow Analysis</t>
  </si>
  <si>
    <t>Year</t>
  </si>
  <si>
    <t xml:space="preserve">Equipment and Facilities Capital </t>
  </si>
  <si>
    <t>Loan Payment</t>
  </si>
  <si>
    <t>Loan Interest Payment</t>
  </si>
  <si>
    <t>Loan Principle</t>
  </si>
  <si>
    <t>Prodcuct Sales</t>
  </si>
  <si>
    <t>Total Sales</t>
  </si>
  <si>
    <t>Annual Costs</t>
  </si>
  <si>
    <t>Total OPEX</t>
  </si>
  <si>
    <t>Net Revenue</t>
  </si>
  <si>
    <t>Losses Forward</t>
  </si>
  <si>
    <t>Taxable Income</t>
  </si>
  <si>
    <t>Income Tax</t>
  </si>
  <si>
    <t>Annual Cash Income</t>
  </si>
  <si>
    <t>Discount Factor</t>
  </si>
  <si>
    <t>Anuual Present Value</t>
  </si>
  <si>
    <t>Total Capital Investment + Interest</t>
  </si>
  <si>
    <t>NPV Tax</t>
  </si>
  <si>
    <t>NPV Land</t>
  </si>
  <si>
    <t>Equipment &amp; Facilities Capital (FCI)</t>
  </si>
  <si>
    <t>Algae Biomass</t>
  </si>
  <si>
    <t>AFDW per year</t>
  </si>
  <si>
    <t>Minimum Biomass Selling Price</t>
  </si>
  <si>
    <t>per tonne AFDW algae</t>
  </si>
  <si>
    <t>Total Production Cost</t>
  </si>
  <si>
    <t>NPV Equipment and Facilities Capital</t>
  </si>
  <si>
    <t>NPV Sales Algae Biomass</t>
  </si>
  <si>
    <t>Include AD in System Boundary</t>
  </si>
  <si>
    <t>Lipid Extraction Operational Expenses</t>
  </si>
  <si>
    <t>Lipid Extraction Capital Expenses</t>
  </si>
  <si>
    <t>Lipid Extraction Model Outputs</t>
  </si>
  <si>
    <t>NH3-eq</t>
  </si>
  <si>
    <t>DAP-eq</t>
  </si>
  <si>
    <t>Excess Energy</t>
  </si>
  <si>
    <t>CO2 (to ponds)</t>
  </si>
  <si>
    <t>Lipid Extraction Equipment</t>
  </si>
  <si>
    <t>Total Lipid Extraction Operational Expenses</t>
  </si>
  <si>
    <t>Total Lipid Extraction OPEX</t>
  </si>
  <si>
    <t>Electric Energy</t>
  </si>
  <si>
    <t xml:space="preserve">Thermal Energy </t>
  </si>
  <si>
    <t>Lipid Output</t>
  </si>
  <si>
    <t>Solvents</t>
  </si>
  <si>
    <t>N2O Emissions to Soil</t>
  </si>
  <si>
    <t>tonnes algae-oil/yr</t>
  </si>
  <si>
    <t>Digestate CO2 Sequestration</t>
  </si>
  <si>
    <t>Annual Lipid Production</t>
  </si>
  <si>
    <t>Total Variable</t>
  </si>
  <si>
    <t>kg lipids per year</t>
  </si>
  <si>
    <t>SAF Co-Product Revenue</t>
  </si>
  <si>
    <t>LE Co-Product Revenue</t>
  </si>
  <si>
    <t>Excess Energy (CHP)</t>
  </si>
  <si>
    <t>CO2 Recycle</t>
  </si>
  <si>
    <t>Co-Products</t>
  </si>
  <si>
    <t>Lipid Yield (Main Product)</t>
  </si>
  <si>
    <t>Algal Lipids</t>
  </si>
  <si>
    <t>NPV Sales (Excess Energy)</t>
  </si>
  <si>
    <t>NPV Sales (NH3-eq)</t>
  </si>
  <si>
    <t>NPV Sales (DAP-eq)</t>
  </si>
  <si>
    <t>NPV Sales (CO2 Recycle)</t>
  </si>
  <si>
    <t>per kg algae-oil (lipids)</t>
  </si>
  <si>
    <t>Minimum Lipid Selling Price</t>
  </si>
  <si>
    <t>HEFA Fuel Yield Scenario</t>
  </si>
  <si>
    <t>gallons of fuel per year</t>
  </si>
  <si>
    <t xml:space="preserve">per gallon fuel </t>
  </si>
  <si>
    <t>NPV Sales Fuel</t>
  </si>
  <si>
    <t>NPV Sales NH3-eq</t>
  </si>
  <si>
    <t>NPV Sales DAP-eq</t>
  </si>
  <si>
    <t>NPV Sales Excess Energy</t>
  </si>
  <si>
    <t>NPV Sales Propane</t>
  </si>
  <si>
    <t>NPV Sales LNG</t>
  </si>
  <si>
    <t>NPV Sales Naphtha</t>
  </si>
  <si>
    <t>NPV Sales CO2 (to ponds)</t>
  </si>
  <si>
    <t>System Boundary</t>
  </si>
  <si>
    <t>Include Cultivation</t>
  </si>
  <si>
    <t>Feedstock (Algae Oil)</t>
  </si>
  <si>
    <t>NPV Feedstock (Algae Oil)</t>
  </si>
  <si>
    <t>Grouped by Process (CAPEX)</t>
  </si>
  <si>
    <t>NPV</t>
  </si>
  <si>
    <t>Item</t>
  </si>
  <si>
    <t>Tax</t>
  </si>
  <si>
    <t>NPV Sales Algal Lipids</t>
  </si>
  <si>
    <t>Sales (Lipids)</t>
  </si>
  <si>
    <t>Sales (Excess Energy)</t>
  </si>
  <si>
    <t>Sales (NH3-eq)</t>
  </si>
  <si>
    <t>Sales (DAP-eq)</t>
  </si>
  <si>
    <t>Sales (CO2 Recycle)</t>
  </si>
  <si>
    <t>Equipment and Facilities Capital</t>
  </si>
  <si>
    <t>Land</t>
  </si>
  <si>
    <t>% of NPV</t>
  </si>
  <si>
    <t>Total NPV (w/out Sales)</t>
  </si>
  <si>
    <t>% of MLSP</t>
  </si>
  <si>
    <t>MLSP</t>
  </si>
  <si>
    <t>No Co-Product Answer</t>
  </si>
  <si>
    <t>Net</t>
  </si>
  <si>
    <t>Sales (Fuel)</t>
  </si>
  <si>
    <t>Sales (Propane)</t>
  </si>
  <si>
    <t>Sales (LNG)</t>
  </si>
  <si>
    <t>Sales (Naphtha)</t>
  </si>
  <si>
    <t>% of MFSP</t>
  </si>
  <si>
    <t>Energy Recovery</t>
  </si>
  <si>
    <t>Propane + LNG + Naphtha</t>
  </si>
  <si>
    <t>Equipment &amp; Facilities</t>
  </si>
  <si>
    <t>Cultivation Energy</t>
  </si>
  <si>
    <t>Cultivation Labor</t>
  </si>
  <si>
    <t>Cultivation Maintenance</t>
  </si>
  <si>
    <t>Cultivation Other</t>
  </si>
  <si>
    <t>Conversion Energy</t>
  </si>
  <si>
    <t>Conversion Natural Gas</t>
  </si>
  <si>
    <t>Conversion Labor</t>
  </si>
  <si>
    <t>Conversion Consumables</t>
  </si>
  <si>
    <t>Conversion Maintenance</t>
  </si>
  <si>
    <t>Conversion Other</t>
  </si>
  <si>
    <t>Taxes</t>
  </si>
  <si>
    <t>LE Consumables</t>
  </si>
  <si>
    <t>LE Energy</t>
  </si>
  <si>
    <t>LE Natural Gas</t>
  </si>
  <si>
    <t>LE Labor</t>
  </si>
  <si>
    <t>LE Maintenance</t>
  </si>
  <si>
    <t>LE Other</t>
  </si>
  <si>
    <t>Ammonia Production</t>
  </si>
  <si>
    <t>Ammonia Transportation</t>
  </si>
  <si>
    <t>Diammonium Phosphate (DAP) Production</t>
  </si>
  <si>
    <t>Diammonium Phosphate (DAP) Transportation</t>
  </si>
  <si>
    <t>Hydrogen (LE, HEFA &amp; AD)</t>
  </si>
  <si>
    <t>Process Water(LE, HEFA &amp; AD)</t>
  </si>
  <si>
    <t>Hexane (LE, HEFA &amp; AD)</t>
  </si>
  <si>
    <t>Electricity (LE, HEFA &amp; AD)</t>
  </si>
  <si>
    <t>Non-CO2 Emissions (Biorefinery &amp; Fuel End Use)</t>
  </si>
  <si>
    <t>Electricity Co-product</t>
  </si>
  <si>
    <t>Transportation distance specified in Matlab</t>
  </si>
  <si>
    <t>Natural Gas (LE, HEFA &amp; AD)</t>
  </si>
  <si>
    <t>Ammonia production</t>
  </si>
  <si>
    <t>DAP production</t>
  </si>
  <si>
    <t>Natural gas for conversion</t>
  </si>
  <si>
    <t>Hydrogen for conversion</t>
  </si>
  <si>
    <t>Hexane for lipid extraction</t>
  </si>
  <si>
    <t>Avoided emissions from producing excess electricity with CHP</t>
  </si>
  <si>
    <t>System credits for producing ammonia, DAP, and Energy</t>
  </si>
  <si>
    <t>Electricity for conversion</t>
  </si>
  <si>
    <t>Natrual gas, hydrogen, hexane, and well water</t>
  </si>
  <si>
    <t>Natrual gas, hydrogen, hexane and well water</t>
  </si>
  <si>
    <t>Direct GHG emissions from conversion and fuel combustion</t>
  </si>
  <si>
    <t>System credits for producing ammonia, DAP, and electricity</t>
  </si>
  <si>
    <t>Grouped Results - Cultivation and Conversion</t>
  </si>
  <si>
    <t>Includes transport distances specified in Matlab</t>
  </si>
  <si>
    <t>Cultivation Only System Boundary (per tonne AFDW)</t>
  </si>
  <si>
    <t>Cultivation Only System Boundary (per tonne AFDW) - Grouped</t>
  </si>
  <si>
    <t>kg PM2.5/kg AFDW</t>
  </si>
  <si>
    <t>kg SO2-eq/kg AFDW</t>
  </si>
  <si>
    <t>CTUe/kg AFDW</t>
  </si>
  <si>
    <t>CTUh/kg AFDW</t>
  </si>
  <si>
    <t>kg CO2-eq/kg AFDW</t>
  </si>
  <si>
    <t>kg O3-eq/kg AFDW</t>
  </si>
  <si>
    <t>kg CFC-11/kg AFDW</t>
  </si>
  <si>
    <t>kg N-eq/kg AFDW</t>
  </si>
  <si>
    <t>MJ Surplus/kg AFDW</t>
  </si>
  <si>
    <t>Makeup Water Pumping Energy</t>
  </si>
  <si>
    <t>Electricity (CO2 delivery)</t>
  </si>
  <si>
    <t>To capture and compress power plant CO2</t>
  </si>
  <si>
    <t>Electricity (CO2 Delivery)</t>
  </si>
  <si>
    <t>Electricity Production Credits</t>
  </si>
  <si>
    <t>Honolulu County, Hawaii</t>
  </si>
  <si>
    <t>S_obliquus</t>
  </si>
  <si>
    <t>Yes</t>
  </si>
  <si>
    <t>Maximum Jet</t>
  </si>
  <si>
    <t>Purchased</t>
  </si>
  <si>
    <t>No</t>
  </si>
  <si>
    <t>Pearlson</t>
  </si>
  <si>
    <t>Hawaii Island Chamber of Commerce</t>
  </si>
  <si>
    <t>Energy to Capture 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</si>
</sst>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&quot;$&quot;#,##0.00"/>
    <numFmt numFmtId="166" formatCode="_(&quot;$&quot;* #,##0_);_(&quot;$&quot;* \(#,##0\);_(&quot;$&quot;* &quot;-&quot;??_);_(@_)"/>
    <numFmt numFmtId="167" formatCode="_(* #,##0_);_(* \(#,##0\);_(* &quot;-&quot;??_);_(@_)"/>
    <numFmt numFmtId="168" formatCode="0.0000"/>
    <numFmt numFmtId="169" formatCode="0.0E+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5117038483843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4">
    <xf numFmtId="0" fontId="0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418">
    <xf numFmtId="0" fontId="0" fillId="0" borderId="0" xfId="0"/>
    <xf numFmtId="0" fontId="1" fillId="3" borderId="1" xfId="0" applyFont="1" applyFill="1" applyBorder="1"/>
    <xf numFmtId="0" fontId="0" fillId="0" borderId="2" xfId="0" applyBorder="1"/>
    <xf numFmtId="0" fontId="0" fillId="0" borderId="7" xfId="0" applyBorder="1"/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9" xfId="0" applyBorder="1" applyAlignment="1">
      <alignment horizontal="right"/>
    </xf>
    <xf numFmtId="0" fontId="2" fillId="3" borderId="1" xfId="0" applyFont="1" applyFill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3" xfId="0" applyFont="1" applyBorder="1" applyAlignment="1">
      <alignment horizontal="left" indent="1"/>
    </xf>
    <xf numFmtId="0" fontId="3" fillId="0" borderId="14" xfId="0" applyFont="1" applyBorder="1" applyAlignment="1">
      <alignment horizontal="left" indent="1"/>
    </xf>
    <xf numFmtId="0" fontId="3" fillId="0" borderId="12" xfId="0" applyFont="1" applyBorder="1" applyAlignment="1">
      <alignment horizontal="left" indent="1"/>
    </xf>
    <xf numFmtId="2" fontId="0" fillId="0" borderId="2" xfId="0" applyNumberFormat="1" applyBorder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9" xfId="0" applyNumberFormat="1" applyBorder="1" applyAlignment="1">
      <alignment horizontal="right"/>
    </xf>
    <xf numFmtId="0" fontId="0" fillId="0" borderId="16" xfId="0" applyBorder="1"/>
    <xf numFmtId="2" fontId="0" fillId="0" borderId="16" xfId="0" applyNumberFormat="1" applyBorder="1"/>
    <xf numFmtId="2" fontId="0" fillId="0" borderId="2" xfId="0" applyNumberFormat="1" applyBorder="1"/>
    <xf numFmtId="0" fontId="0" fillId="0" borderId="9" xfId="0" applyBorder="1"/>
    <xf numFmtId="1" fontId="0" fillId="0" borderId="2" xfId="0" applyNumberFormat="1" applyBorder="1"/>
    <xf numFmtId="1" fontId="0" fillId="0" borderId="9" xfId="0" applyNumberFormat="1" applyBorder="1"/>
    <xf numFmtId="0" fontId="0" fillId="0" borderId="8" xfId="0" applyBorder="1"/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9" xfId="0" applyNumberFormat="1" applyBorder="1"/>
    <xf numFmtId="0" fontId="0" fillId="0" borderId="17" xfId="0" applyBorder="1"/>
    <xf numFmtId="164" fontId="0" fillId="0" borderId="17" xfId="0" applyNumberFormat="1" applyBorder="1"/>
    <xf numFmtId="164" fontId="0" fillId="0" borderId="2" xfId="0" applyNumberFormat="1" applyBorder="1"/>
    <xf numFmtId="0" fontId="0" fillId="0" borderId="1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15" xfId="0" applyBorder="1" applyAlignment="1">
      <alignment horizontal="right"/>
    </xf>
    <xf numFmtId="164" fontId="0" fillId="0" borderId="8" xfId="0" applyNumberFormat="1" applyBorder="1"/>
    <xf numFmtId="0" fontId="1" fillId="4" borderId="1" xfId="0" applyFont="1" applyFill="1" applyBorder="1" applyAlignment="1">
      <alignment horizontal="center" vertical="center"/>
    </xf>
    <xf numFmtId="0" fontId="1" fillId="4" borderId="8" xfId="0" applyFont="1" applyFill="1" applyBorder="1"/>
    <xf numFmtId="164" fontId="1" fillId="4" borderId="8" xfId="0" applyNumberFormat="1" applyFont="1" applyFill="1" applyBorder="1"/>
    <xf numFmtId="0" fontId="0" fillId="4" borderId="15" xfId="0" applyFill="1" applyBorder="1" applyAlignment="1">
      <alignment horizontal="right"/>
    </xf>
    <xf numFmtId="0" fontId="1" fillId="4" borderId="2" xfId="0" applyFont="1" applyFill="1" applyBorder="1"/>
    <xf numFmtId="164" fontId="1" fillId="4" borderId="2" xfId="0" applyNumberFormat="1" applyFont="1" applyFill="1" applyBorder="1"/>
    <xf numFmtId="0" fontId="0" fillId="4" borderId="14" xfId="0" applyFill="1" applyBorder="1" applyAlignment="1">
      <alignment horizontal="right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right"/>
    </xf>
    <xf numFmtId="0" fontId="1" fillId="4" borderId="1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right"/>
    </xf>
    <xf numFmtId="1" fontId="0" fillId="0" borderId="0" xfId="0" applyNumberFormat="1"/>
    <xf numFmtId="0" fontId="0" fillId="10" borderId="22" xfId="0" applyFill="1" applyBorder="1"/>
    <xf numFmtId="0" fontId="0" fillId="10" borderId="23" xfId="0" applyFill="1" applyBorder="1"/>
    <xf numFmtId="0" fontId="0" fillId="10" borderId="24" xfId="0" applyFill="1" applyBorder="1"/>
    <xf numFmtId="0" fontId="0" fillId="10" borderId="25" xfId="0" applyFill="1" applyBorder="1"/>
    <xf numFmtId="0" fontId="0" fillId="10" borderId="26" xfId="0" applyFill="1" applyBorder="1"/>
    <xf numFmtId="0" fontId="0" fillId="0" borderId="18" xfId="0" applyBorder="1"/>
    <xf numFmtId="0" fontId="0" fillId="0" borderId="1" xfId="0" applyBorder="1"/>
    <xf numFmtId="0" fontId="0" fillId="0" borderId="6" xfId="0" applyBorder="1"/>
    <xf numFmtId="0" fontId="0" fillId="0" borderId="27" xfId="0" applyBorder="1"/>
    <xf numFmtId="0" fontId="6" fillId="0" borderId="1" xfId="0" applyFont="1" applyBorder="1"/>
    <xf numFmtId="0" fontId="6" fillId="0" borderId="1" xfId="0" applyFont="1" applyBorder="1" applyAlignment="1">
      <alignment vertical="center"/>
    </xf>
    <xf numFmtId="0" fontId="7" fillId="0" borderId="1" xfId="0" applyFont="1" applyBorder="1"/>
    <xf numFmtId="0" fontId="6" fillId="0" borderId="6" xfId="0" applyFont="1" applyBorder="1"/>
    <xf numFmtId="0" fontId="7" fillId="0" borderId="6" xfId="0" applyFont="1" applyBorder="1"/>
    <xf numFmtId="0" fontId="6" fillId="0" borderId="27" xfId="0" applyFont="1" applyBorder="1"/>
    <xf numFmtId="0" fontId="7" fillId="0" borderId="27" xfId="0" applyFont="1" applyBorder="1"/>
    <xf numFmtId="0" fontId="0" fillId="0" borderId="27" xfId="0" applyBorder="1" applyAlignment="1">
      <alignment horizontal="left" vertical="center"/>
    </xf>
    <xf numFmtId="0" fontId="3" fillId="0" borderId="27" xfId="0" applyFont="1" applyBorder="1" applyAlignment="1">
      <alignment horizontal="left" vertical="center"/>
    </xf>
    <xf numFmtId="0" fontId="3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right"/>
    </xf>
    <xf numFmtId="0" fontId="0" fillId="0" borderId="1" xfId="0" applyBorder="1" applyAlignment="1">
      <alignment horizontal="right"/>
    </xf>
    <xf numFmtId="11" fontId="0" fillId="0" borderId="1" xfId="0" applyNumberFormat="1" applyBorder="1"/>
    <xf numFmtId="11" fontId="0" fillId="0" borderId="27" xfId="0" applyNumberFormat="1" applyBorder="1"/>
    <xf numFmtId="11" fontId="0" fillId="0" borderId="6" xfId="0" applyNumberFormat="1" applyBorder="1"/>
    <xf numFmtId="0" fontId="0" fillId="0" borderId="0" xfId="0" applyAlignment="1">
      <alignment horizontal="left"/>
    </xf>
    <xf numFmtId="10" fontId="0" fillId="0" borderId="1" xfId="0" applyNumberFormat="1" applyBorder="1"/>
    <xf numFmtId="0" fontId="0" fillId="10" borderId="29" xfId="0" applyFill="1" applyBorder="1"/>
    <xf numFmtId="0" fontId="6" fillId="0" borderId="4" xfId="0" applyFont="1" applyBorder="1"/>
    <xf numFmtId="0" fontId="7" fillId="0" borderId="4" xfId="0" applyFont="1" applyBorder="1"/>
    <xf numFmtId="11" fontId="0" fillId="0" borderId="4" xfId="0" applyNumberFormat="1" applyBorder="1"/>
    <xf numFmtId="0" fontId="0" fillId="0" borderId="23" xfId="0" applyBorder="1"/>
    <xf numFmtId="0" fontId="0" fillId="0" borderId="29" xfId="0" applyBorder="1"/>
    <xf numFmtId="165" fontId="0" fillId="0" borderId="0" xfId="0" applyNumberFormat="1"/>
    <xf numFmtId="164" fontId="0" fillId="0" borderId="0" xfId="0" applyNumberFormat="1"/>
    <xf numFmtId="0" fontId="0" fillId="0" borderId="29" xfId="0" applyBorder="1" applyAlignment="1">
      <alignment horizontal="right"/>
    </xf>
    <xf numFmtId="2" fontId="0" fillId="0" borderId="29" xfId="0" applyNumberFormat="1" applyBorder="1" applyAlignment="1">
      <alignment horizontal="right"/>
    </xf>
    <xf numFmtId="2" fontId="0" fillId="0" borderId="29" xfId="0" applyNumberFormat="1" applyBorder="1"/>
    <xf numFmtId="0" fontId="0" fillId="0" borderId="30" xfId="0" applyBorder="1"/>
    <xf numFmtId="1" fontId="0" fillId="0" borderId="30" xfId="0" applyNumberFormat="1" applyBorder="1"/>
    <xf numFmtId="0" fontId="0" fillId="0" borderId="31" xfId="0" applyBorder="1"/>
    <xf numFmtId="164" fontId="0" fillId="0" borderId="31" xfId="0" applyNumberFormat="1" applyBorder="1"/>
    <xf numFmtId="0" fontId="1" fillId="7" borderId="4" xfId="0" applyFont="1" applyFill="1" applyBorder="1" applyAlignment="1">
      <alignment horizontal="center"/>
    </xf>
    <xf numFmtId="0" fontId="1" fillId="7" borderId="4" xfId="0" applyFont="1" applyFill="1" applyBorder="1"/>
    <xf numFmtId="0" fontId="1" fillId="7" borderId="4" xfId="0" applyFont="1" applyFill="1" applyBorder="1" applyAlignment="1">
      <alignment horizontal="right"/>
    </xf>
    <xf numFmtId="0" fontId="1" fillId="16" borderId="1" xfId="0" applyFont="1" applyFill="1" applyBorder="1" applyAlignment="1">
      <alignment horizontal="center" vertical="center"/>
    </xf>
    <xf numFmtId="0" fontId="0" fillId="16" borderId="8" xfId="0" applyFill="1" applyBorder="1"/>
    <xf numFmtId="164" fontId="0" fillId="16" borderId="8" xfId="0" applyNumberFormat="1" applyFill="1" applyBorder="1"/>
    <xf numFmtId="0" fontId="0" fillId="16" borderId="15" xfId="0" applyFill="1" applyBorder="1" applyAlignment="1">
      <alignment horizontal="right"/>
    </xf>
    <xf numFmtId="0" fontId="1" fillId="16" borderId="8" xfId="0" applyFont="1" applyFill="1" applyBorder="1"/>
    <xf numFmtId="164" fontId="1" fillId="16" borderId="8" xfId="0" applyNumberFormat="1" applyFont="1" applyFill="1" applyBorder="1"/>
    <xf numFmtId="0" fontId="1" fillId="16" borderId="8" xfId="0" applyFont="1" applyFill="1" applyBorder="1" applyAlignment="1">
      <alignment horizontal="right"/>
    </xf>
    <xf numFmtId="0" fontId="1" fillId="16" borderId="15" xfId="0" applyFont="1" applyFill="1" applyBorder="1" applyAlignment="1">
      <alignment horizontal="right"/>
    </xf>
    <xf numFmtId="164" fontId="0" fillId="0" borderId="1" xfId="0" applyNumberFormat="1" applyBorder="1"/>
    <xf numFmtId="0" fontId="1" fillId="9" borderId="4" xfId="0" applyFont="1" applyFill="1" applyBorder="1"/>
    <xf numFmtId="0" fontId="1" fillId="9" borderId="4" xfId="0" applyFont="1" applyFill="1" applyBorder="1" applyAlignment="1">
      <alignment horizontal="right"/>
    </xf>
    <xf numFmtId="0" fontId="1" fillId="9" borderId="4" xfId="0" applyFont="1" applyFill="1" applyBorder="1" applyAlignment="1">
      <alignment horizontal="center"/>
    </xf>
    <xf numFmtId="0" fontId="1" fillId="17" borderId="8" xfId="0" applyFont="1" applyFill="1" applyBorder="1"/>
    <xf numFmtId="164" fontId="1" fillId="17" borderId="8" xfId="0" applyNumberFormat="1" applyFont="1" applyFill="1" applyBorder="1"/>
    <xf numFmtId="0" fontId="1" fillId="17" borderId="15" xfId="0" applyFont="1" applyFill="1" applyBorder="1" applyAlignment="1">
      <alignment horizontal="right"/>
    </xf>
    <xf numFmtId="0" fontId="0" fillId="16" borderId="1" xfId="0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0" fillId="10" borderId="32" xfId="0" applyFill="1" applyBorder="1"/>
    <xf numFmtId="166" fontId="7" fillId="0" borderId="0" xfId="0" applyNumberFormat="1" applyFont="1"/>
    <xf numFmtId="0" fontId="3" fillId="19" borderId="0" xfId="0" applyFont="1" applyFill="1"/>
    <xf numFmtId="166" fontId="0" fillId="0" borderId="0" xfId="0" applyNumberFormat="1"/>
    <xf numFmtId="0" fontId="0" fillId="19" borderId="22" xfId="0" applyFill="1" applyBorder="1"/>
    <xf numFmtId="0" fontId="6" fillId="19" borderId="0" xfId="0" applyFont="1" applyFill="1"/>
    <xf numFmtId="166" fontId="6" fillId="19" borderId="23" xfId="2" applyNumberFormat="1" applyFont="1" applyFill="1" applyBorder="1"/>
    <xf numFmtId="0" fontId="0" fillId="19" borderId="0" xfId="0" applyFill="1"/>
    <xf numFmtId="44" fontId="0" fillId="19" borderId="23" xfId="0" applyNumberFormat="1" applyFill="1" applyBorder="1"/>
    <xf numFmtId="0" fontId="6" fillId="21" borderId="22" xfId="0" applyFont="1" applyFill="1" applyBorder="1"/>
    <xf numFmtId="0" fontId="0" fillId="21" borderId="0" xfId="0" applyFill="1"/>
    <xf numFmtId="9" fontId="6" fillId="21" borderId="23" xfId="0" applyNumberFormat="1" applyFont="1" applyFill="1" applyBorder="1"/>
    <xf numFmtId="166" fontId="0" fillId="0" borderId="0" xfId="2" applyNumberFormat="1" applyFont="1"/>
    <xf numFmtId="0" fontId="6" fillId="21" borderId="23" xfId="0" applyFont="1" applyFill="1" applyBorder="1"/>
    <xf numFmtId="8" fontId="6" fillId="21" borderId="23" xfId="2" applyNumberFormat="1" applyFont="1" applyFill="1" applyBorder="1"/>
    <xf numFmtId="0" fontId="0" fillId="18" borderId="22" xfId="0" applyFill="1" applyBorder="1" applyAlignment="1">
      <alignment horizontal="left"/>
    </xf>
    <xf numFmtId="0" fontId="0" fillId="18" borderId="0" xfId="0" applyFill="1"/>
    <xf numFmtId="0" fontId="0" fillId="18" borderId="23" xfId="0" applyFill="1" applyBorder="1"/>
    <xf numFmtId="0" fontId="0" fillId="20" borderId="22" xfId="0" applyFill="1" applyBorder="1"/>
    <xf numFmtId="0" fontId="0" fillId="20" borderId="23" xfId="0" applyFill="1" applyBorder="1"/>
    <xf numFmtId="9" fontId="0" fillId="20" borderId="23" xfId="0" applyNumberFormat="1" applyFill="1" applyBorder="1"/>
    <xf numFmtId="0" fontId="0" fillId="22" borderId="22" xfId="0" applyFill="1" applyBorder="1"/>
    <xf numFmtId="0" fontId="0" fillId="22" borderId="0" xfId="0" applyFill="1"/>
    <xf numFmtId="0" fontId="0" fillId="22" borderId="23" xfId="0" applyFill="1" applyBorder="1"/>
    <xf numFmtId="9" fontId="0" fillId="22" borderId="23" xfId="0" applyNumberFormat="1" applyFill="1" applyBorder="1"/>
    <xf numFmtId="43" fontId="0" fillId="22" borderId="23" xfId="1" applyFont="1" applyFill="1" applyBorder="1"/>
    <xf numFmtId="0" fontId="0" fillId="23" borderId="22" xfId="0" applyFill="1" applyBorder="1"/>
    <xf numFmtId="9" fontId="0" fillId="23" borderId="23" xfId="0" applyNumberFormat="1" applyFill="1" applyBorder="1"/>
    <xf numFmtId="0" fontId="0" fillId="23" borderId="24" xfId="0" applyFill="1" applyBorder="1"/>
    <xf numFmtId="0" fontId="0" fillId="23" borderId="25" xfId="0" applyFill="1" applyBorder="1"/>
    <xf numFmtId="9" fontId="0" fillId="23" borderId="26" xfId="0" applyNumberFormat="1" applyFill="1" applyBorder="1"/>
    <xf numFmtId="9" fontId="0" fillId="0" borderId="0" xfId="0" applyNumberFormat="1"/>
    <xf numFmtId="0" fontId="0" fillId="0" borderId="22" xfId="0" applyBorder="1"/>
    <xf numFmtId="44" fontId="11" fillId="14" borderId="23" xfId="2" applyFont="1" applyFill="1" applyBorder="1"/>
    <xf numFmtId="0" fontId="0" fillId="0" borderId="24" xfId="0" applyBorder="1"/>
    <xf numFmtId="0" fontId="0" fillId="0" borderId="25" xfId="0" applyBorder="1"/>
    <xf numFmtId="166" fontId="0" fillId="0" borderId="26" xfId="0" applyNumberForma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66" fontId="0" fillId="0" borderId="23" xfId="2" applyNumberFormat="1" applyFont="1" applyBorder="1"/>
    <xf numFmtId="166" fontId="0" fillId="0" borderId="23" xfId="0" applyNumberFormat="1" applyBorder="1"/>
    <xf numFmtId="9" fontId="13" fillId="0" borderId="23" xfId="0" applyNumberFormat="1" applyFont="1" applyBorder="1"/>
    <xf numFmtId="166" fontId="13" fillId="0" borderId="23" xfId="2" applyNumberFormat="1" applyFont="1" applyBorder="1"/>
    <xf numFmtId="0" fontId="13" fillId="0" borderId="23" xfId="0" applyFont="1" applyBorder="1"/>
    <xf numFmtId="166" fontId="13" fillId="0" borderId="23" xfId="0" applyNumberFormat="1" applyFont="1" applyBorder="1"/>
    <xf numFmtId="44" fontId="0" fillId="0" borderId="23" xfId="0" applyNumberFormat="1" applyBorder="1"/>
    <xf numFmtId="44" fontId="0" fillId="0" borderId="23" xfId="2" applyFont="1" applyBorder="1"/>
    <xf numFmtId="166" fontId="0" fillId="0" borderId="25" xfId="0" applyNumberFormat="1" applyBorder="1"/>
    <xf numFmtId="44" fontId="0" fillId="0" borderId="25" xfId="0" applyNumberFormat="1" applyBorder="1"/>
    <xf numFmtId="0" fontId="0" fillId="0" borderId="26" xfId="0" applyBorder="1"/>
    <xf numFmtId="0" fontId="0" fillId="0" borderId="33" xfId="0" applyBorder="1"/>
    <xf numFmtId="0" fontId="0" fillId="19" borderId="22" xfId="0" applyFill="1" applyBorder="1" applyAlignment="1">
      <alignment horizontal="left"/>
    </xf>
    <xf numFmtId="0" fontId="0" fillId="19" borderId="37" xfId="0" applyFill="1" applyBorder="1" applyAlignment="1">
      <alignment horizontal="left"/>
    </xf>
    <xf numFmtId="0" fontId="3" fillId="19" borderId="2" xfId="0" applyFont="1" applyFill="1" applyBorder="1"/>
    <xf numFmtId="166" fontId="6" fillId="19" borderId="38" xfId="2" applyNumberFormat="1" applyFont="1" applyFill="1" applyBorder="1"/>
    <xf numFmtId="0" fontId="0" fillId="18" borderId="7" xfId="0" applyFill="1" applyBorder="1"/>
    <xf numFmtId="0" fontId="1" fillId="25" borderId="4" xfId="0" applyFont="1" applyFill="1" applyBorder="1" applyAlignment="1">
      <alignment horizontal="center"/>
    </xf>
    <xf numFmtId="0" fontId="1" fillId="25" borderId="4" xfId="0" applyFont="1" applyFill="1" applyBorder="1"/>
    <xf numFmtId="0" fontId="1" fillId="25" borderId="4" xfId="0" applyFont="1" applyFill="1" applyBorder="1" applyAlignment="1">
      <alignment horizontal="right"/>
    </xf>
    <xf numFmtId="0" fontId="1" fillId="23" borderId="1" xfId="0" applyFont="1" applyFill="1" applyBorder="1" applyAlignment="1">
      <alignment horizontal="center"/>
    </xf>
    <xf numFmtId="0" fontId="1" fillId="23" borderId="1" xfId="0" applyFont="1" applyFill="1" applyBorder="1"/>
    <xf numFmtId="0" fontId="2" fillId="23" borderId="1" xfId="0" applyFont="1" applyFill="1" applyBorder="1" applyAlignment="1">
      <alignment horizontal="left" indent="1"/>
    </xf>
    <xf numFmtId="0" fontId="1" fillId="18" borderId="4" xfId="0" applyFont="1" applyFill="1" applyBorder="1"/>
    <xf numFmtId="0" fontId="2" fillId="18" borderId="4" xfId="0" applyFont="1" applyFill="1" applyBorder="1" applyAlignment="1">
      <alignment horizontal="left" indent="1"/>
    </xf>
    <xf numFmtId="0" fontId="2" fillId="25" borderId="4" xfId="0" applyFont="1" applyFill="1" applyBorder="1" applyAlignment="1">
      <alignment horizontal="left" indent="1"/>
    </xf>
    <xf numFmtId="0" fontId="1" fillId="25" borderId="1" xfId="0" applyFont="1" applyFill="1" applyBorder="1" applyAlignment="1">
      <alignment horizontal="center" vertical="center"/>
    </xf>
    <xf numFmtId="164" fontId="0" fillId="0" borderId="33" xfId="0" applyNumberFormat="1" applyBorder="1"/>
    <xf numFmtId="0" fontId="1" fillId="25" borderId="8" xfId="0" applyFont="1" applyFill="1" applyBorder="1"/>
    <xf numFmtId="164" fontId="1" fillId="25" borderId="8" xfId="0" applyNumberFormat="1" applyFont="1" applyFill="1" applyBorder="1"/>
    <xf numFmtId="0" fontId="1" fillId="25" borderId="15" xfId="0" applyFont="1" applyFill="1" applyBorder="1" applyAlignment="1">
      <alignment horizontal="right"/>
    </xf>
    <xf numFmtId="0" fontId="1" fillId="27" borderId="6" xfId="0" applyFont="1" applyFill="1" applyBorder="1" applyAlignment="1">
      <alignment horizontal="center" vertical="center"/>
    </xf>
    <xf numFmtId="0" fontId="1" fillId="27" borderId="2" xfId="0" applyFont="1" applyFill="1" applyBorder="1"/>
    <xf numFmtId="164" fontId="1" fillId="27" borderId="2" xfId="0" applyNumberFormat="1" applyFont="1" applyFill="1" applyBorder="1"/>
    <xf numFmtId="0" fontId="1" fillId="27" borderId="14" xfId="0" applyFont="1" applyFill="1" applyBorder="1" applyAlignment="1">
      <alignment horizontal="right"/>
    </xf>
    <xf numFmtId="0" fontId="0" fillId="25" borderId="8" xfId="0" applyFill="1" applyBorder="1"/>
    <xf numFmtId="0" fontId="0" fillId="25" borderId="15" xfId="0" applyFill="1" applyBorder="1" applyAlignment="1">
      <alignment horizontal="right"/>
    </xf>
    <xf numFmtId="0" fontId="0" fillId="25" borderId="1" xfId="0" applyFill="1" applyBorder="1" applyAlignment="1">
      <alignment horizontal="center" vertical="center"/>
    </xf>
    <xf numFmtId="164" fontId="0" fillId="25" borderId="8" xfId="0" applyNumberFormat="1" applyFill="1" applyBorder="1"/>
    <xf numFmtId="1" fontId="0" fillId="0" borderId="8" xfId="0" applyNumberFormat="1" applyBorder="1"/>
    <xf numFmtId="1" fontId="0" fillId="0" borderId="33" xfId="0" applyNumberFormat="1" applyBorder="1"/>
    <xf numFmtId="0" fontId="0" fillId="0" borderId="39" xfId="0" applyBorder="1"/>
    <xf numFmtId="0" fontId="0" fillId="22" borderId="37" xfId="0" applyFill="1" applyBorder="1"/>
    <xf numFmtId="0" fontId="0" fillId="22" borderId="2" xfId="0" applyFill="1" applyBorder="1"/>
    <xf numFmtId="0" fontId="0" fillId="22" borderId="40" xfId="0" applyFill="1" applyBorder="1"/>
    <xf numFmtId="0" fontId="0" fillId="19" borderId="19" xfId="0" applyFill="1" applyBorder="1"/>
    <xf numFmtId="0" fontId="6" fillId="19" borderId="20" xfId="0" applyFont="1" applyFill="1" applyBorder="1"/>
    <xf numFmtId="166" fontId="6" fillId="19" borderId="21" xfId="2" applyNumberFormat="1" applyFont="1" applyFill="1" applyBorder="1"/>
    <xf numFmtId="0" fontId="6" fillId="19" borderId="40" xfId="0" applyFont="1" applyFill="1" applyBorder="1"/>
    <xf numFmtId="0" fontId="3" fillId="19" borderId="40" xfId="0" applyFont="1" applyFill="1" applyBorder="1"/>
    <xf numFmtId="0" fontId="0" fillId="19" borderId="40" xfId="0" applyFill="1" applyBorder="1"/>
    <xf numFmtId="0" fontId="0" fillId="21" borderId="40" xfId="0" applyFill="1" applyBorder="1"/>
    <xf numFmtId="0" fontId="0" fillId="18" borderId="40" xfId="0" applyFill="1" applyBorder="1"/>
    <xf numFmtId="0" fontId="0" fillId="20" borderId="40" xfId="0" applyFill="1" applyBorder="1"/>
    <xf numFmtId="0" fontId="0" fillId="23" borderId="40" xfId="0" applyFill="1" applyBorder="1"/>
    <xf numFmtId="0" fontId="0" fillId="0" borderId="40" xfId="0" applyBorder="1"/>
    <xf numFmtId="9" fontId="0" fillId="0" borderId="23" xfId="0" applyNumberFormat="1" applyBorder="1"/>
    <xf numFmtId="44" fontId="0" fillId="22" borderId="23" xfId="0" applyNumberFormat="1" applyFill="1" applyBorder="1"/>
    <xf numFmtId="167" fontId="0" fillId="22" borderId="38" xfId="1" applyNumberFormat="1" applyFont="1" applyFill="1" applyBorder="1"/>
    <xf numFmtId="166" fontId="0" fillId="0" borderId="40" xfId="2" applyNumberFormat="1" applyFont="1" applyBorder="1"/>
    <xf numFmtId="44" fontId="0" fillId="0" borderId="40" xfId="2" applyFont="1" applyBorder="1"/>
    <xf numFmtId="6" fontId="0" fillId="0" borderId="40" xfId="0" applyNumberFormat="1" applyBorder="1"/>
    <xf numFmtId="166" fontId="0" fillId="0" borderId="40" xfId="0" applyNumberFormat="1" applyBorder="1"/>
    <xf numFmtId="44" fontId="0" fillId="0" borderId="40" xfId="0" applyNumberFormat="1" applyBorder="1"/>
    <xf numFmtId="9" fontId="12" fillId="0" borderId="40" xfId="3" applyFont="1" applyBorder="1" applyAlignment="1">
      <alignment vertical="center"/>
    </xf>
    <xf numFmtId="10" fontId="12" fillId="0" borderId="40" xfId="3" applyNumberFormat="1" applyFont="1" applyBorder="1" applyAlignment="1">
      <alignment vertical="center"/>
    </xf>
    <xf numFmtId="9" fontId="13" fillId="0" borderId="40" xfId="0" applyNumberFormat="1" applyFont="1" applyBorder="1"/>
    <xf numFmtId="166" fontId="13" fillId="0" borderId="40" xfId="2" applyNumberFormat="1" applyFont="1" applyBorder="1"/>
    <xf numFmtId="0" fontId="13" fillId="0" borderId="40" xfId="0" applyFont="1" applyBorder="1"/>
    <xf numFmtId="166" fontId="13" fillId="0" borderId="40" xfId="0" applyNumberFormat="1" applyFont="1" applyBorder="1"/>
    <xf numFmtId="0" fontId="0" fillId="0" borderId="37" xfId="0" applyBorder="1"/>
    <xf numFmtId="0" fontId="0" fillId="0" borderId="38" xfId="0" applyBorder="1"/>
    <xf numFmtId="0" fontId="1" fillId="30" borderId="1" xfId="0" applyFont="1" applyFill="1" applyBorder="1"/>
    <xf numFmtId="166" fontId="0" fillId="29" borderId="8" xfId="0" applyNumberFormat="1" applyFill="1" applyBorder="1"/>
    <xf numFmtId="44" fontId="0" fillId="0" borderId="2" xfId="0" applyNumberFormat="1" applyBorder="1"/>
    <xf numFmtId="166" fontId="0" fillId="0" borderId="2" xfId="0" applyNumberFormat="1" applyBorder="1"/>
    <xf numFmtId="9" fontId="0" fillId="0" borderId="2" xfId="3" applyFont="1" applyBorder="1"/>
    <xf numFmtId="0" fontId="0" fillId="29" borderId="7" xfId="0" applyFill="1" applyBorder="1"/>
    <xf numFmtId="0" fontId="0" fillId="29" borderId="11" xfId="0" applyFill="1" applyBorder="1"/>
    <xf numFmtId="166" fontId="0" fillId="29" borderId="40" xfId="0" applyNumberFormat="1" applyFill="1" applyBorder="1"/>
    <xf numFmtId="44" fontId="0" fillId="0" borderId="3" xfId="0" applyNumberFormat="1" applyBorder="1"/>
    <xf numFmtId="9" fontId="0" fillId="0" borderId="40" xfId="3" applyFont="1" applyBorder="1"/>
    <xf numFmtId="0" fontId="0" fillId="31" borderId="11" xfId="0" applyFill="1" applyBorder="1"/>
    <xf numFmtId="44" fontId="0" fillId="31" borderId="3" xfId="0" applyNumberFormat="1" applyFill="1" applyBorder="1"/>
    <xf numFmtId="0" fontId="1" fillId="31" borderId="10" xfId="0" applyFont="1" applyFill="1" applyBorder="1"/>
    <xf numFmtId="44" fontId="1" fillId="31" borderId="14" xfId="0" applyNumberFormat="1" applyFont="1" applyFill="1" applyBorder="1"/>
    <xf numFmtId="0" fontId="0" fillId="32" borderId="15" xfId="0" applyFill="1" applyBorder="1"/>
    <xf numFmtId="44" fontId="0" fillId="32" borderId="3" xfId="0" applyNumberFormat="1" applyFill="1" applyBorder="1"/>
    <xf numFmtId="44" fontId="0" fillId="32" borderId="14" xfId="0" applyNumberFormat="1" applyFill="1" applyBorder="1"/>
    <xf numFmtId="0" fontId="1" fillId="26" borderId="1" xfId="0" applyFont="1" applyFill="1" applyBorder="1"/>
    <xf numFmtId="166" fontId="0" fillId="0" borderId="3" xfId="0" applyNumberFormat="1" applyBorder="1"/>
    <xf numFmtId="166" fontId="0" fillId="0" borderId="9" xfId="0" applyNumberFormat="1" applyBorder="1"/>
    <xf numFmtId="9" fontId="0" fillId="0" borderId="9" xfId="3" applyFont="1" applyBorder="1"/>
    <xf numFmtId="44" fontId="0" fillId="0" borderId="9" xfId="0" applyNumberFormat="1" applyBorder="1"/>
    <xf numFmtId="44" fontId="0" fillId="32" borderId="12" xfId="0" applyNumberFormat="1" applyFill="1" applyBorder="1"/>
    <xf numFmtId="0" fontId="0" fillId="0" borderId="43" xfId="0" applyBorder="1"/>
    <xf numFmtId="0" fontId="0" fillId="0" borderId="15" xfId="0" applyBorder="1"/>
    <xf numFmtId="44" fontId="0" fillId="0" borderId="12" xfId="0" applyNumberFormat="1" applyBorder="1"/>
    <xf numFmtId="9" fontId="0" fillId="0" borderId="2" xfId="3" applyFont="1" applyFill="1" applyBorder="1"/>
    <xf numFmtId="44" fontId="0" fillId="0" borderId="14" xfId="0" applyNumberFormat="1" applyBorder="1"/>
    <xf numFmtId="166" fontId="0" fillId="0" borderId="43" xfId="0" applyNumberFormat="1" applyBorder="1"/>
    <xf numFmtId="44" fontId="0" fillId="0" borderId="43" xfId="0" applyNumberFormat="1" applyBorder="1"/>
    <xf numFmtId="9" fontId="0" fillId="0" borderId="43" xfId="3" applyFont="1" applyFill="1" applyBorder="1"/>
    <xf numFmtId="166" fontId="0" fillId="33" borderId="43" xfId="0" applyNumberFormat="1" applyFill="1" applyBorder="1"/>
    <xf numFmtId="0" fontId="0" fillId="33" borderId="7" xfId="0" applyFill="1" applyBorder="1"/>
    <xf numFmtId="166" fontId="0" fillId="33" borderId="8" xfId="0" applyNumberFormat="1" applyFill="1" applyBorder="1"/>
    <xf numFmtId="166" fontId="0" fillId="33" borderId="2" xfId="0" applyNumberFormat="1" applyFill="1" applyBorder="1"/>
    <xf numFmtId="0" fontId="0" fillId="33" borderId="11" xfId="0" applyFill="1" applyBorder="1"/>
    <xf numFmtId="0" fontId="0" fillId="33" borderId="10" xfId="0" applyFill="1" applyBorder="1"/>
    <xf numFmtId="0" fontId="0" fillId="0" borderId="11" xfId="0" applyBorder="1" applyAlignment="1">
      <alignment horizontal="left"/>
    </xf>
    <xf numFmtId="0" fontId="1" fillId="33" borderId="10" xfId="0" applyFont="1" applyFill="1" applyBorder="1"/>
    <xf numFmtId="44" fontId="1" fillId="33" borderId="14" xfId="0" applyNumberFormat="1" applyFont="1" applyFill="1" applyBorder="1"/>
    <xf numFmtId="0" fontId="1" fillId="35" borderId="7" xfId="0" applyFont="1" applyFill="1" applyBorder="1"/>
    <xf numFmtId="44" fontId="1" fillId="35" borderId="15" xfId="0" applyNumberFormat="1" applyFont="1" applyFill="1" applyBorder="1"/>
    <xf numFmtId="0" fontId="0" fillId="0" borderId="44" xfId="0" applyBorder="1"/>
    <xf numFmtId="0" fontId="0" fillId="35" borderId="1" xfId="0" applyFill="1" applyBorder="1"/>
    <xf numFmtId="0" fontId="0" fillId="35" borderId="1" xfId="0" applyFill="1" applyBorder="1" applyAlignment="1">
      <alignment wrapText="1"/>
    </xf>
    <xf numFmtId="0" fontId="1" fillId="28" borderId="1" xfId="0" applyFont="1" applyFill="1" applyBorder="1" applyAlignment="1">
      <alignment horizontal="center" vertical="center"/>
    </xf>
    <xf numFmtId="0" fontId="1" fillId="28" borderId="1" xfId="0" applyFont="1" applyFill="1" applyBorder="1" applyAlignment="1">
      <alignment horizontal="left"/>
    </xf>
    <xf numFmtId="0" fontId="1" fillId="28" borderId="1" xfId="0" applyFont="1" applyFill="1" applyBorder="1" applyAlignment="1">
      <alignment horizontal="center"/>
    </xf>
    <xf numFmtId="0" fontId="1" fillId="28" borderId="1" xfId="0" applyFont="1" applyFill="1" applyBorder="1"/>
    <xf numFmtId="0" fontId="0" fillId="18" borderId="1" xfId="0" applyFill="1" applyBorder="1"/>
    <xf numFmtId="0" fontId="6" fillId="35" borderId="1" xfId="0" applyFont="1" applyFill="1" applyBorder="1"/>
    <xf numFmtId="0" fontId="7" fillId="35" borderId="1" xfId="0" applyFont="1" applyFill="1" applyBorder="1"/>
    <xf numFmtId="11" fontId="0" fillId="35" borderId="1" xfId="0" applyNumberFormat="1" applyFill="1" applyBorder="1"/>
    <xf numFmtId="168" fontId="0" fillId="0" borderId="1" xfId="0" applyNumberFormat="1" applyBorder="1"/>
    <xf numFmtId="0" fontId="3" fillId="0" borderId="1" xfId="0" applyFont="1" applyBorder="1"/>
    <xf numFmtId="0" fontId="3" fillId="0" borderId="6" xfId="0" applyFont="1" applyBorder="1"/>
    <xf numFmtId="0" fontId="7" fillId="0" borderId="1" xfId="0" applyFont="1" applyBorder="1" applyAlignment="1">
      <alignment wrapText="1"/>
    </xf>
    <xf numFmtId="0" fontId="0" fillId="0" borderId="27" xfId="0" applyBorder="1" applyAlignment="1">
      <alignment horizontal="left"/>
    </xf>
    <xf numFmtId="0" fontId="3" fillId="0" borderId="27" xfId="0" applyFont="1" applyBorder="1" applyAlignment="1">
      <alignment horizontal="left"/>
    </xf>
    <xf numFmtId="169" fontId="0" fillId="0" borderId="27" xfId="0" applyNumberFormat="1" applyBorder="1"/>
    <xf numFmtId="169" fontId="0" fillId="0" borderId="6" xfId="0" applyNumberFormat="1" applyBorder="1"/>
    <xf numFmtId="169" fontId="0" fillId="0" borderId="1" xfId="0" applyNumberFormat="1" applyBorder="1"/>
    <xf numFmtId="169" fontId="0" fillId="35" borderId="1" xfId="0" applyNumberFormat="1" applyFill="1" applyBorder="1"/>
    <xf numFmtId="0" fontId="0" fillId="0" borderId="45" xfId="0" applyBorder="1"/>
    <xf numFmtId="0" fontId="0" fillId="35" borderId="22" xfId="0" applyFill="1" applyBorder="1"/>
    <xf numFmtId="0" fontId="0" fillId="35" borderId="0" xfId="0" applyFill="1"/>
    <xf numFmtId="0" fontId="0" fillId="35" borderId="23" xfId="0" applyFill="1" applyBorder="1"/>
    <xf numFmtId="9" fontId="0" fillId="35" borderId="23" xfId="0" applyNumberFormat="1" applyFill="1" applyBorder="1"/>
    <xf numFmtId="0" fontId="0" fillId="32" borderId="22" xfId="0" applyFill="1" applyBorder="1"/>
    <xf numFmtId="0" fontId="0" fillId="32" borderId="0" xfId="0" applyFill="1"/>
    <xf numFmtId="9" fontId="0" fillId="32" borderId="23" xfId="0" applyNumberFormat="1" applyFill="1" applyBorder="1"/>
    <xf numFmtId="0" fontId="0" fillId="32" borderId="24" xfId="0" applyFill="1" applyBorder="1"/>
    <xf numFmtId="0" fontId="0" fillId="32" borderId="25" xfId="0" applyFill="1" applyBorder="1"/>
    <xf numFmtId="9" fontId="0" fillId="32" borderId="26" xfId="0" applyNumberFormat="1" applyFill="1" applyBorder="1"/>
    <xf numFmtId="10" fontId="0" fillId="0" borderId="1" xfId="0" applyNumberFormat="1" applyBorder="1" applyAlignment="1">
      <alignment wrapText="1"/>
    </xf>
    <xf numFmtId="0" fontId="0" fillId="10" borderId="45" xfId="0" applyFill="1" applyBorder="1"/>
    <xf numFmtId="0" fontId="6" fillId="0" borderId="1" xfId="0" applyFont="1" applyBorder="1" applyAlignment="1">
      <alignment horizontal="center"/>
    </xf>
    <xf numFmtId="1" fontId="0" fillId="0" borderId="45" xfId="0" applyNumberFormat="1" applyBorder="1"/>
    <xf numFmtId="0" fontId="6" fillId="0" borderId="8" xfId="0" applyFont="1" applyBorder="1"/>
    <xf numFmtId="0" fontId="7" fillId="0" borderId="15" xfId="0" applyFont="1" applyBorder="1" applyAlignment="1">
      <alignment horizontal="left" indent="1"/>
    </xf>
    <xf numFmtId="0" fontId="6" fillId="0" borderId="9" xfId="0" applyFont="1" applyBorder="1"/>
    <xf numFmtId="2" fontId="6" fillId="0" borderId="9" xfId="0" applyNumberFormat="1" applyFont="1" applyBorder="1"/>
    <xf numFmtId="0" fontId="7" fillId="0" borderId="12" xfId="0" applyFont="1" applyBorder="1" applyAlignment="1">
      <alignment horizontal="left" indent="1"/>
    </xf>
    <xf numFmtId="1" fontId="0" fillId="0" borderId="16" xfId="0" applyNumberFormat="1" applyBorder="1"/>
    <xf numFmtId="2" fontId="0" fillId="0" borderId="45" xfId="0" applyNumberFormat="1" applyBorder="1"/>
    <xf numFmtId="1" fontId="6" fillId="0" borderId="8" xfId="0" applyNumberFormat="1" applyFont="1" applyBorder="1"/>
    <xf numFmtId="0" fontId="0" fillId="0" borderId="46" xfId="0" applyBorder="1"/>
    <xf numFmtId="166" fontId="0" fillId="0" borderId="46" xfId="2" applyNumberFormat="1" applyFont="1" applyBorder="1"/>
    <xf numFmtId="6" fontId="0" fillId="0" borderId="46" xfId="0" applyNumberFormat="1" applyBorder="1"/>
    <xf numFmtId="44" fontId="0" fillId="0" borderId="46" xfId="2" applyFont="1" applyBorder="1"/>
    <xf numFmtId="166" fontId="0" fillId="0" borderId="46" xfId="0" applyNumberFormat="1" applyBorder="1"/>
    <xf numFmtId="44" fontId="0" fillId="0" borderId="46" xfId="0" applyNumberFormat="1" applyBorder="1"/>
    <xf numFmtId="9" fontId="12" fillId="0" borderId="46" xfId="3" applyFont="1" applyBorder="1" applyAlignment="1">
      <alignment vertical="center"/>
    </xf>
    <xf numFmtId="10" fontId="12" fillId="0" borderId="46" xfId="3" applyNumberFormat="1" applyFont="1" applyBorder="1" applyAlignment="1">
      <alignment vertical="center"/>
    </xf>
    <xf numFmtId="9" fontId="13" fillId="0" borderId="46" xfId="0" applyNumberFormat="1" applyFont="1" applyBorder="1"/>
    <xf numFmtId="166" fontId="13" fillId="0" borderId="46" xfId="2" applyNumberFormat="1" applyFont="1" applyBorder="1"/>
    <xf numFmtId="0" fontId="13" fillId="0" borderId="46" xfId="0" applyFont="1" applyBorder="1"/>
    <xf numFmtId="166" fontId="13" fillId="0" borderId="46" xfId="0" applyNumberFormat="1" applyFont="1" applyBorder="1"/>
    <xf numFmtId="11" fontId="6" fillId="0" borderId="1" xfId="0" applyNumberFormat="1" applyFont="1" applyBorder="1"/>
    <xf numFmtId="0" fontId="6" fillId="0" borderId="0" xfId="0" applyFont="1"/>
    <xf numFmtId="10" fontId="0" fillId="0" borderId="6" xfId="0" applyNumberFormat="1" applyBorder="1"/>
    <xf numFmtId="10" fontId="0" fillId="0" borderId="27" xfId="0" applyNumberFormat="1" applyBorder="1"/>
    <xf numFmtId="169" fontId="6" fillId="0" borderId="1" xfId="0" applyNumberFormat="1" applyFont="1" applyBorder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24" borderId="7" xfId="0" applyFont="1" applyFill="1" applyBorder="1" applyAlignment="1">
      <alignment horizontal="center"/>
    </xf>
    <xf numFmtId="0" fontId="1" fillId="24" borderId="8" xfId="0" applyFont="1" applyFill="1" applyBorder="1" applyAlignment="1">
      <alignment horizontal="center"/>
    </xf>
    <xf numFmtId="0" fontId="1" fillId="24" borderId="15" xfId="0" applyFont="1" applyFill="1" applyBorder="1" applyAlignment="1">
      <alignment horizontal="center"/>
    </xf>
    <xf numFmtId="0" fontId="1" fillId="14" borderId="7" xfId="0" applyFont="1" applyFill="1" applyBorder="1" applyAlignment="1">
      <alignment horizontal="center"/>
    </xf>
    <xf numFmtId="0" fontId="1" fillId="14" borderId="8" xfId="0" applyFont="1" applyFill="1" applyBorder="1" applyAlignment="1">
      <alignment horizontal="center"/>
    </xf>
    <xf numFmtId="0" fontId="1" fillId="14" borderId="15" xfId="0" applyFont="1" applyFill="1" applyBorder="1" applyAlignment="1">
      <alignment horizontal="center"/>
    </xf>
    <xf numFmtId="0" fontId="1" fillId="26" borderId="1" xfId="0" applyFont="1" applyFill="1" applyBorder="1" applyAlignment="1">
      <alignment horizontal="center"/>
    </xf>
    <xf numFmtId="0" fontId="1" fillId="28" borderId="7" xfId="0" applyFont="1" applyFill="1" applyBorder="1" applyAlignment="1">
      <alignment horizontal="center"/>
    </xf>
    <xf numFmtId="0" fontId="1" fillId="28" borderId="8" xfId="0" applyFont="1" applyFill="1" applyBorder="1" applyAlignment="1">
      <alignment horizontal="center"/>
    </xf>
    <xf numFmtId="0" fontId="1" fillId="28" borderId="15" xfId="0" applyFont="1" applyFill="1" applyBorder="1" applyAlignment="1">
      <alignment horizontal="center"/>
    </xf>
    <xf numFmtId="0" fontId="1" fillId="18" borderId="7" xfId="0" applyFont="1" applyFill="1" applyBorder="1" applyAlignment="1">
      <alignment horizontal="center"/>
    </xf>
    <xf numFmtId="0" fontId="1" fillId="18" borderId="8" xfId="0" applyFont="1" applyFill="1" applyBorder="1" applyAlignment="1">
      <alignment horizontal="center"/>
    </xf>
    <xf numFmtId="0" fontId="1" fillId="18" borderId="15" xfId="0" applyFont="1" applyFill="1" applyBorder="1" applyAlignment="1">
      <alignment horizontal="center"/>
    </xf>
    <xf numFmtId="0" fontId="1" fillId="24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10" fillId="0" borderId="36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3" xfId="0" applyBorder="1" applyAlignment="1">
      <alignment horizontal="center"/>
    </xf>
    <xf numFmtId="0" fontId="1" fillId="18" borderId="22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" fillId="18" borderId="23" xfId="0" applyFont="1" applyFill="1" applyBorder="1" applyAlignment="1">
      <alignment horizontal="center"/>
    </xf>
    <xf numFmtId="0" fontId="1" fillId="35" borderId="22" xfId="0" applyFont="1" applyFill="1" applyBorder="1" applyAlignment="1">
      <alignment horizontal="center"/>
    </xf>
    <xf numFmtId="0" fontId="1" fillId="35" borderId="0" xfId="0" applyFont="1" applyFill="1" applyAlignment="1">
      <alignment horizontal="center"/>
    </xf>
    <xf numFmtId="0" fontId="1" fillId="35" borderId="23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11" fillId="21" borderId="22" xfId="0" applyFont="1" applyFill="1" applyBorder="1" applyAlignment="1">
      <alignment horizontal="center"/>
    </xf>
    <xf numFmtId="0" fontId="11" fillId="21" borderId="0" xfId="0" applyFont="1" applyFill="1" applyAlignment="1">
      <alignment horizontal="center"/>
    </xf>
    <xf numFmtId="0" fontId="11" fillId="21" borderId="23" xfId="0" applyFont="1" applyFill="1" applyBorder="1" applyAlignment="1">
      <alignment horizontal="center"/>
    </xf>
    <xf numFmtId="0" fontId="1" fillId="22" borderId="22" xfId="0" applyFont="1" applyFill="1" applyBorder="1" applyAlignment="1">
      <alignment horizontal="center"/>
    </xf>
    <xf numFmtId="0" fontId="1" fillId="22" borderId="0" xfId="0" applyFont="1" applyFill="1" applyAlignment="1">
      <alignment horizontal="center"/>
    </xf>
    <xf numFmtId="0" fontId="1" fillId="22" borderId="23" xfId="0" applyFont="1" applyFill="1" applyBorder="1" applyAlignment="1">
      <alignment horizontal="center"/>
    </xf>
    <xf numFmtId="0" fontId="1" fillId="32" borderId="22" xfId="0" applyFont="1" applyFill="1" applyBorder="1" applyAlignment="1">
      <alignment horizontal="center"/>
    </xf>
    <xf numFmtId="0" fontId="1" fillId="32" borderId="0" xfId="0" applyFont="1" applyFill="1" applyAlignment="1">
      <alignment horizontal="center"/>
    </xf>
    <xf numFmtId="0" fontId="1" fillId="32" borderId="23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20" borderId="22" xfId="0" applyFont="1" applyFill="1" applyBorder="1" applyAlignment="1">
      <alignment horizontal="center"/>
    </xf>
    <xf numFmtId="0" fontId="1" fillId="20" borderId="40" xfId="0" applyFont="1" applyFill="1" applyBorder="1" applyAlignment="1">
      <alignment horizontal="center"/>
    </xf>
    <xf numFmtId="0" fontId="1" fillId="20" borderId="23" xfId="0" applyFont="1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1" fillId="22" borderId="40" xfId="0" applyFont="1" applyFill="1" applyBorder="1" applyAlignment="1">
      <alignment horizontal="center"/>
    </xf>
    <xf numFmtId="0" fontId="1" fillId="23" borderId="22" xfId="0" applyFont="1" applyFill="1" applyBorder="1" applyAlignment="1">
      <alignment horizontal="center"/>
    </xf>
    <xf numFmtId="0" fontId="1" fillId="23" borderId="40" xfId="0" applyFont="1" applyFill="1" applyBorder="1" applyAlignment="1">
      <alignment horizontal="center"/>
    </xf>
    <xf numFmtId="0" fontId="1" fillId="23" borderId="23" xfId="0" applyFont="1" applyFill="1" applyBorder="1" applyAlignment="1">
      <alignment horizontal="center"/>
    </xf>
    <xf numFmtId="0" fontId="1" fillId="22" borderId="42" xfId="0" applyFont="1" applyFill="1" applyBorder="1" applyAlignment="1">
      <alignment horizontal="center"/>
    </xf>
    <xf numFmtId="0" fontId="1" fillId="22" borderId="9" xfId="0" applyFont="1" applyFill="1" applyBorder="1" applyAlignment="1">
      <alignment horizontal="center"/>
    </xf>
    <xf numFmtId="0" fontId="1" fillId="22" borderId="41" xfId="0" applyFont="1" applyFill="1" applyBorder="1" applyAlignment="1">
      <alignment horizontal="center"/>
    </xf>
    <xf numFmtId="0" fontId="11" fillId="21" borderId="40" xfId="0" applyFont="1" applyFill="1" applyBorder="1" applyAlignment="1">
      <alignment horizontal="center"/>
    </xf>
    <xf numFmtId="0" fontId="1" fillId="18" borderId="40" xfId="0" applyFont="1" applyFill="1" applyBorder="1" applyAlignment="1">
      <alignment horizontal="center"/>
    </xf>
    <xf numFmtId="0" fontId="1" fillId="34" borderId="7" xfId="0" applyFont="1" applyFill="1" applyBorder="1" applyAlignment="1">
      <alignment horizontal="center"/>
    </xf>
    <xf numFmtId="0" fontId="1" fillId="34" borderId="15" xfId="0" applyFont="1" applyFill="1" applyBorder="1" applyAlignment="1">
      <alignment horizontal="center"/>
    </xf>
    <xf numFmtId="0" fontId="3" fillId="18" borderId="1" xfId="0" applyFont="1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7" borderId="1" xfId="0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17" borderId="1" xfId="0" applyFill="1" applyBorder="1" applyAlignment="1">
      <alignment horizontal="center"/>
    </xf>
    <xf numFmtId="0" fontId="3" fillId="17" borderId="4" xfId="0" applyFont="1" applyFill="1" applyBorder="1" applyAlignment="1">
      <alignment horizontal="center" vertical="center"/>
    </xf>
    <xf numFmtId="0" fontId="3" fillId="17" borderId="5" xfId="0" applyFont="1" applyFill="1" applyBorder="1" applyAlignment="1">
      <alignment horizontal="center" vertical="center"/>
    </xf>
    <xf numFmtId="0" fontId="3" fillId="17" borderId="6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5" fillId="11" borderId="19" xfId="0" applyFont="1" applyFill="1" applyBorder="1" applyAlignment="1">
      <alignment horizontal="center"/>
    </xf>
    <xf numFmtId="0" fontId="5" fillId="11" borderId="20" xfId="0" applyFont="1" applyFill="1" applyBorder="1" applyAlignment="1">
      <alignment horizontal="center"/>
    </xf>
    <xf numFmtId="0" fontId="5" fillId="11" borderId="21" xfId="0" applyFont="1" applyFill="1" applyBorder="1" applyAlignment="1">
      <alignment horizontal="center"/>
    </xf>
    <xf numFmtId="0" fontId="5" fillId="12" borderId="19" xfId="0" applyFont="1" applyFill="1" applyBorder="1" applyAlignment="1">
      <alignment horizontal="center"/>
    </xf>
    <xf numFmtId="0" fontId="5" fillId="12" borderId="20" xfId="0" applyFont="1" applyFill="1" applyBorder="1" applyAlignment="1">
      <alignment horizontal="center"/>
    </xf>
    <xf numFmtId="0" fontId="5" fillId="12" borderId="21" xfId="0" applyFont="1" applyFill="1" applyBorder="1" applyAlignment="1">
      <alignment horizontal="center"/>
    </xf>
    <xf numFmtId="0" fontId="5" fillId="13" borderId="19" xfId="0" applyFont="1" applyFill="1" applyBorder="1" applyAlignment="1">
      <alignment horizontal="center"/>
    </xf>
    <xf numFmtId="0" fontId="5" fillId="13" borderId="20" xfId="0" applyFont="1" applyFill="1" applyBorder="1" applyAlignment="1">
      <alignment horizontal="center"/>
    </xf>
    <xf numFmtId="0" fontId="5" fillId="13" borderId="21" xfId="0" applyFont="1" applyFill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9F5FCF"/>
      <color rgb="FFD6BCEA"/>
      <color rgb="FFBD92DE"/>
      <color rgb="FFEF90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Annual Cultivation Energy</a:t>
            </a:r>
          </a:p>
        </c:rich>
      </c:tx>
      <c:layout>
        <c:manualLayout>
          <c:xMode val="edge"/>
          <c:yMode val="edge"/>
          <c:x val="0.31108900861076577"/>
          <c:y val="2.815484722590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16705806511029"/>
          <c:y val="0.1491804690869912"/>
          <c:w val="0.42884123037251926"/>
          <c:h val="0.757513290418040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'Process Model Outputs'!$B$13</c:f>
              <c:strCache>
                <c:ptCount val="1"/>
                <c:pt idx="0">
                  <c:v>Pumping Energy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Outputs'!$C$13</c:f>
              <c:numCache>
                <c:formatCode>0</c:formatCode>
                <c:ptCount val="1"/>
                <c:pt idx="0">
                  <c:v>18938144.775515381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5F-447D-8E88-677D9129BE8C}"/>
            </c:ext>
          </c:extLst>
        </c:ser>
        <c:ser>
          <c:idx val="1"/>
          <c:order val="1"/>
          <c:tx>
            <c:strRef>
              <c:f>'Process Model Outputs'!$B$14</c:f>
              <c:strCache>
                <c:ptCount val="1"/>
                <c:pt idx="0">
                  <c:v>Paddlewheel Energy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Outputs'!$C$14</c:f>
              <c:numCache>
                <c:formatCode>0</c:formatCode>
                <c:ptCount val="1"/>
                <c:pt idx="0">
                  <c:v>40658691.375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5F-447D-8E88-677D9129BE8C}"/>
            </c:ext>
          </c:extLst>
        </c:ser>
        <c:ser>
          <c:idx val="2"/>
          <c:order val="2"/>
          <c:tx>
            <c:strRef>
              <c:f>'Process Model Outputs'!$B$15</c:f>
              <c:strCache>
                <c:ptCount val="1"/>
                <c:pt idx="0">
                  <c:v>Sparging Energy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Outputs'!$C$15</c:f>
              <c:numCache>
                <c:formatCode>0</c:formatCode>
                <c:ptCount val="1"/>
                <c:pt idx="0">
                  <c:v>14953906.83796923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5F-447D-8E88-677D9129BE8C}"/>
            </c:ext>
          </c:extLst>
        </c:ser>
        <c:ser>
          <c:idx val="3"/>
          <c:order val="3"/>
          <c:tx>
            <c:strRef>
              <c:f>'Process Model Outputs'!$B$16</c:f>
              <c:strCache>
                <c:ptCount val="1"/>
                <c:pt idx="0">
                  <c:v>Membrane Energy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Outputs'!$C$16</c:f>
              <c:numCache>
                <c:formatCode>0</c:formatCode>
                <c:ptCount val="1"/>
                <c:pt idx="0">
                  <c:v>784400.27836923068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5F-447D-8E88-677D9129BE8C}"/>
            </c:ext>
          </c:extLst>
        </c:ser>
        <c:ser>
          <c:idx val="4"/>
          <c:order val="4"/>
          <c:tx>
            <c:strRef>
              <c:f>'Process Model Outputs'!$B$17</c:f>
              <c:strCache>
                <c:ptCount val="1"/>
                <c:pt idx="0">
                  <c:v>Centrifuge Energy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Outputs'!$C$17</c:f>
              <c:numCache>
                <c:formatCode>0</c:formatCode>
                <c:ptCount val="1"/>
                <c:pt idx="0">
                  <c:v>2026241.6806153846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5F-447D-8E88-677D9129BE8C}"/>
            </c:ext>
          </c:extLst>
        </c:ser>
        <c:ser>
          <c:idx val="5"/>
          <c:order val="5"/>
          <c:tx>
            <c:strRef>
              <c:f>'Process Model Outputs'!$B$18</c:f>
              <c:strCache>
                <c:ptCount val="1"/>
                <c:pt idx="0">
                  <c:v>UV Sterilization Energy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Outputs'!$C$18</c:f>
              <c:numCache>
                <c:formatCode>0</c:formatCode>
                <c:ptCount val="1"/>
                <c:pt idx="0">
                  <c:v>50558.499376923079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5F-447D-8E88-677D9129BE8C}"/>
            </c:ext>
          </c:extLst>
        </c:ser>
        <c:ser>
          <c:idx val="6"/>
          <c:order val="6"/>
          <c:tx>
            <c:strRef>
              <c:f>'Process Model Outputs'!$B$19</c:f>
              <c:strCache>
                <c:ptCount val="1"/>
                <c:pt idx="0">
                  <c:v>Makeup Water Pumping Energy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Outputs'!$C$19</c:f>
              <c:numCache>
                <c:formatCode>0</c:formatCode>
                <c:ptCount val="1"/>
                <c:pt idx="0">
                  <c:v>6603192.7444461538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45-4AA0-9791-8EC78C7B1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7939872"/>
        <c:axId val="917924064"/>
      </c:barChart>
      <c:catAx>
        <c:axId val="91793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24064"/>
        <c:crosses val="autoZero"/>
        <c:auto val="1"/>
        <c:lblAlgn val="ctr"/>
        <c:lblOffset val="100"/>
        <c:noMultiLvlLbl val="0"/>
      </c:catAx>
      <c:valAx>
        <c:axId val="917924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Cultivation Energy by Equipment </a:t>
                </a:r>
              </a:p>
              <a:p>
                <a:pPr>
                  <a:defRPr sz="1200">
                    <a:solidFill>
                      <a:sysClr val="windowText" lastClr="000000"/>
                    </a:solidFill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(MWh/yr)</a:t>
                </a:r>
              </a:p>
            </c:rich>
          </c:tx>
          <c:layout>
            <c:manualLayout>
              <c:xMode val="edge"/>
              <c:yMode val="edge"/>
              <c:x val="2.3391812865497075E-2"/>
              <c:y val="0.16009403528951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3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644103697564108"/>
          <c:y val="0.25489856989102067"/>
          <c:w val="0.38968365796380711"/>
          <c:h val="0.57908329447957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SAF Model Energy Balance (Electric)</a:t>
            </a:r>
          </a:p>
        </c:rich>
      </c:tx>
      <c:layout>
        <c:manualLayout>
          <c:xMode val="edge"/>
          <c:yMode val="edge"/>
          <c:x val="0.2503363724271308"/>
          <c:y val="2.81548552167661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86296449785882"/>
          <c:y val="0.1491804690869912"/>
          <c:w val="0.41714532393977066"/>
          <c:h val="0.757513290418040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'Process Model Outputs'!$B$32</c:f>
              <c:strCache>
                <c:ptCount val="1"/>
                <c:pt idx="0">
                  <c:v>HPH Electric Energy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Electric Energy</c:v>
              </c:pt>
            </c:strLit>
          </c:cat>
          <c:val>
            <c:numRef>
              <c:f>'Process Model Outputs'!$C$32</c:f>
              <c:numCache>
                <c:formatCode>0</c:formatCode>
                <c:ptCount val="1"/>
                <c:pt idx="0">
                  <c:v>29478733.797038458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73-44BC-BD25-0AC756DD69C1}"/>
            </c:ext>
          </c:extLst>
        </c:ser>
        <c:ser>
          <c:idx val="1"/>
          <c:order val="1"/>
          <c:tx>
            <c:strRef>
              <c:f>'Process Model Outputs'!$B$33</c:f>
              <c:strCache>
                <c:ptCount val="1"/>
                <c:pt idx="0">
                  <c:v>WHE Electric Energy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Electric Energy</c:v>
              </c:pt>
            </c:strLit>
          </c:cat>
          <c:val>
            <c:numRef>
              <c:f>'Process Model Outputs'!$C$33</c:f>
              <c:numCache>
                <c:formatCode>0</c:formatCode>
                <c:ptCount val="1"/>
                <c:pt idx="0">
                  <c:v>36898709.202670008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73-44BC-BD25-0AC756DD69C1}"/>
            </c:ext>
          </c:extLst>
        </c:ser>
        <c:ser>
          <c:idx val="2"/>
          <c:order val="2"/>
          <c:tx>
            <c:strRef>
              <c:f>'Process Model Outputs'!$B$34</c:f>
              <c:strCache>
                <c:ptCount val="1"/>
                <c:pt idx="0">
                  <c:v>HEFA Electric Energy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Electric Energy</c:v>
              </c:pt>
            </c:strLit>
          </c:cat>
          <c:val>
            <c:numRef>
              <c:f>'Process Model Outputs'!$C$34</c:f>
              <c:numCache>
                <c:formatCode>0</c:formatCode>
                <c:ptCount val="1"/>
                <c:pt idx="0">
                  <c:v>3013394.5848847697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73-44BC-BD25-0AC756DD69C1}"/>
            </c:ext>
          </c:extLst>
        </c:ser>
        <c:ser>
          <c:idx val="3"/>
          <c:order val="3"/>
          <c:tx>
            <c:strRef>
              <c:f>'Process Model Outputs'!$B$35</c:f>
              <c:strCache>
                <c:ptCount val="1"/>
                <c:pt idx="0">
                  <c:v>AD Electric Energy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Electric Energy</c:v>
              </c:pt>
            </c:strLit>
          </c:cat>
          <c:val>
            <c:numRef>
              <c:f>'Process Model Outputs'!$C$35</c:f>
              <c:numCache>
                <c:formatCode>0</c:formatCode>
                <c:ptCount val="1"/>
                <c:pt idx="0">
                  <c:v>11861595.889963849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73-44BC-BD25-0AC756DD69C1}"/>
            </c:ext>
          </c:extLst>
        </c:ser>
        <c:ser>
          <c:idx val="4"/>
          <c:order val="4"/>
          <c:tx>
            <c:strRef>
              <c:f>'Process Model Outputs'!$B$36</c:f>
              <c:strCache>
                <c:ptCount val="1"/>
                <c:pt idx="0">
                  <c:v>Biogas Cleanup Electric Energy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Electric Energy</c:v>
              </c:pt>
            </c:strLit>
          </c:cat>
          <c:val>
            <c:numRef>
              <c:f>'Process Model Outputs'!$C$36</c:f>
              <c:numCache>
                <c:formatCode>0</c:formatCode>
                <c:ptCount val="1"/>
                <c:pt idx="0">
                  <c:v>12561940.335617691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3-44BC-BD25-0AC756DD69C1}"/>
            </c:ext>
          </c:extLst>
        </c:ser>
        <c:ser>
          <c:idx val="5"/>
          <c:order val="5"/>
          <c:tx>
            <c:strRef>
              <c:f>'Process Model Outputs'!$B$37</c:f>
              <c:strCache>
                <c:ptCount val="1"/>
                <c:pt idx="0">
                  <c:v>CHP Electricity Out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Electric Energy</c:v>
              </c:pt>
            </c:strLit>
          </c:cat>
          <c:val>
            <c:numRef>
              <c:f>'Process Model Outputs'!$C$37</c:f>
              <c:numCache>
                <c:formatCode>0</c:formatCode>
                <c:ptCount val="1"/>
                <c:pt idx="0">
                  <c:v>-83226633.163836151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73-44BC-BD25-0AC756DD6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7939872"/>
        <c:axId val="917924064"/>
      </c:barChart>
      <c:catAx>
        <c:axId val="91793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24064"/>
        <c:crosses val="autoZero"/>
        <c:auto val="1"/>
        <c:lblAlgn val="ctr"/>
        <c:lblOffset val="100"/>
        <c:noMultiLvlLbl val="0"/>
      </c:catAx>
      <c:valAx>
        <c:axId val="917924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Conversion Energy by Equipment </a:t>
                </a:r>
              </a:p>
              <a:p>
                <a:pPr>
                  <a:defRPr sz="1200">
                    <a:solidFill>
                      <a:sysClr val="windowText" lastClr="000000"/>
                    </a:solidFill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(MWh/yr)</a:t>
                </a:r>
              </a:p>
            </c:rich>
          </c:tx>
          <c:layout>
            <c:manualLayout>
              <c:xMode val="edge"/>
              <c:yMode val="edge"/>
              <c:x val="2.3391812865497075E-2"/>
              <c:y val="0.16009403528951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3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936501358382829"/>
          <c:y val="0.10458475061093707"/>
          <c:w val="0.3903715982870562"/>
          <c:h val="0.360022786337817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SAF Model Energy Balance (Thermal)</a:t>
            </a:r>
          </a:p>
        </c:rich>
      </c:tx>
      <c:layout>
        <c:manualLayout>
          <c:xMode val="edge"/>
          <c:yMode val="edge"/>
          <c:x val="0.2503363724271308"/>
          <c:y val="2.81548552167661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86296449785882"/>
          <c:y val="0.1491804690869912"/>
          <c:w val="0.41714532393977066"/>
          <c:h val="0.757513290418040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'Process Model Outputs'!$B$39</c:f>
              <c:strCache>
                <c:ptCount val="1"/>
                <c:pt idx="0">
                  <c:v>WHE Thermal Energy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Thermal Energy </c:v>
              </c:pt>
            </c:strLit>
          </c:cat>
          <c:val>
            <c:numRef>
              <c:f>'Process Model Outputs'!$C$39</c:f>
              <c:numCache>
                <c:formatCode>0</c:formatCode>
                <c:ptCount val="1"/>
                <c:pt idx="0">
                  <c:v>116162603.04543075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7-40DA-A119-9CC7748B2380}"/>
            </c:ext>
          </c:extLst>
        </c:ser>
        <c:ser>
          <c:idx val="1"/>
          <c:order val="1"/>
          <c:tx>
            <c:strRef>
              <c:f>'Process Model Outputs'!$B$40</c:f>
              <c:strCache>
                <c:ptCount val="1"/>
                <c:pt idx="0">
                  <c:v>HEFA Thermal Energy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Thermal Energy </c:v>
              </c:pt>
            </c:strLit>
          </c:cat>
          <c:val>
            <c:numRef>
              <c:f>'Process Model Outputs'!$C$40</c:f>
              <c:numCache>
                <c:formatCode>0</c:formatCode>
                <c:ptCount val="1"/>
                <c:pt idx="0">
                  <c:v>78744802.974740759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7-40DA-A119-9CC7748B2380}"/>
            </c:ext>
          </c:extLst>
        </c:ser>
        <c:ser>
          <c:idx val="2"/>
          <c:order val="2"/>
          <c:tx>
            <c:strRef>
              <c:f>'Process Model Outputs'!$B$41</c:f>
              <c:strCache>
                <c:ptCount val="1"/>
                <c:pt idx="0">
                  <c:v>AD Thermal Energy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Thermal Energy </c:v>
              </c:pt>
            </c:strLit>
          </c:cat>
          <c:val>
            <c:numRef>
              <c:f>'Process Model Outputs'!$C$41</c:f>
              <c:numCache>
                <c:formatCode>0</c:formatCode>
                <c:ptCount val="1"/>
                <c:pt idx="0">
                  <c:v>65897754.944238469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57-40DA-A119-9CC7748B2380}"/>
            </c:ext>
          </c:extLst>
        </c:ser>
        <c:ser>
          <c:idx val="3"/>
          <c:order val="3"/>
          <c:tx>
            <c:strRef>
              <c:f>'Process Model Outputs'!$B$42</c:f>
              <c:strCache>
                <c:ptCount val="1"/>
                <c:pt idx="0">
                  <c:v>CHP Thermal Energy Out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Thermal Energy </c:v>
              </c:pt>
            </c:strLit>
          </c:cat>
          <c:val>
            <c:numRef>
              <c:f>'Process Model Outputs'!$C$42</c:f>
              <c:numCache>
                <c:formatCode>0</c:formatCode>
                <c:ptCount val="1"/>
                <c:pt idx="0">
                  <c:v>-108446825.03164616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57-40DA-A119-9CC7748B2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7939872"/>
        <c:axId val="917924064"/>
      </c:barChart>
      <c:catAx>
        <c:axId val="91793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24064"/>
        <c:crosses val="autoZero"/>
        <c:auto val="1"/>
        <c:lblAlgn val="ctr"/>
        <c:lblOffset val="100"/>
        <c:noMultiLvlLbl val="0"/>
      </c:catAx>
      <c:valAx>
        <c:axId val="917924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Conversion Energy by Equipment </a:t>
                </a:r>
              </a:p>
              <a:p>
                <a:pPr>
                  <a:defRPr sz="1200">
                    <a:solidFill>
                      <a:sysClr val="windowText" lastClr="000000"/>
                    </a:solidFill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(MWh/yr)</a:t>
                </a:r>
              </a:p>
            </c:rich>
          </c:tx>
          <c:layout>
            <c:manualLayout>
              <c:xMode val="edge"/>
              <c:yMode val="edge"/>
              <c:x val="2.3391812865497075E-2"/>
              <c:y val="0.16009403528951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3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936501358382829"/>
          <c:y val="0.23843286637374833"/>
          <c:w val="0.3903715982870562"/>
          <c:h val="0.250198691352946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HEFA</a:t>
            </a:r>
            <a:r>
              <a:rPr lang="en-US" baseline="0">
                <a:solidFill>
                  <a:sysClr val="windowText" lastClr="000000"/>
                </a:solidFill>
              </a:rPr>
              <a:t> Fuel Yield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D2-4513-ADD1-28F378E65B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D2-4513-ADD1-28F378E65BE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D2-4513-ADD1-28F378E65BE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9D2-4513-ADD1-28F378E65BE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721-4211-A321-19C4F6A66DE8}"/>
              </c:ext>
            </c:extLst>
          </c:dPt>
          <c:cat>
            <c:strRef>
              <c:f>'Process Model Outputs'!$B$44:$B$48</c:f>
              <c:strCache>
                <c:ptCount val="5"/>
                <c:pt idx="0">
                  <c:v>Diesel</c:v>
                </c:pt>
                <c:pt idx="1">
                  <c:v>Jet Fuel (Kerosene)</c:v>
                </c:pt>
                <c:pt idx="2">
                  <c:v>Naphtha (Gasoline)</c:v>
                </c:pt>
                <c:pt idx="3">
                  <c:v>LNG</c:v>
                </c:pt>
                <c:pt idx="4">
                  <c:v>Propane</c:v>
                </c:pt>
              </c:strCache>
            </c:strRef>
          </c:cat>
          <c:val>
            <c:numRef>
              <c:f>'Process Model Outputs'!$C$44:$C$48</c:f>
              <c:numCache>
                <c:formatCode>0</c:formatCode>
                <c:ptCount val="5"/>
                <c:pt idx="0">
                  <c:v>5027934.2635584613</c:v>
                </c:pt>
                <c:pt idx="1">
                  <c:v>11147782.637438459</c:v>
                </c:pt>
                <c:pt idx="2">
                  <c:v>1696946.7576161539</c:v>
                </c:pt>
                <c:pt idx="3">
                  <c:v>1969427.9226976922</c:v>
                </c:pt>
                <c:pt idx="4">
                  <c:v>1537991.3797915387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21-4211-A321-19C4F6A66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Cultivation and Dewatering CAPEX</a:t>
            </a:r>
          </a:p>
        </c:rich>
      </c:tx>
      <c:layout>
        <c:manualLayout>
          <c:xMode val="edge"/>
          <c:yMode val="edge"/>
          <c:x val="0.23198327897799961"/>
          <c:y val="1.44274107171426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179812960273173"/>
          <c:y val="0.11107307559262672"/>
          <c:w val="0.46360410773895983"/>
          <c:h val="0.824211845888746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'CAPEX &amp; OPEX'!$B$11</c:f>
              <c:strCache>
                <c:ptCount val="1"/>
                <c:pt idx="0">
                  <c:v>Total ORP Capital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OPEX'!$C$11</c:f>
              <c:numCache>
                <c:formatCode>"$"#,##0</c:formatCode>
                <c:ptCount val="1"/>
                <c:pt idx="0">
                  <c:v>186575107.90229994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E9-4710-8FE1-A49D09F4F534}"/>
            </c:ext>
          </c:extLst>
        </c:ser>
        <c:ser>
          <c:idx val="1"/>
          <c:order val="1"/>
          <c:tx>
            <c:strRef>
              <c:f>'CAPEX &amp; OPEX'!$B$18</c:f>
              <c:strCache>
                <c:ptCount val="1"/>
                <c:pt idx="0">
                  <c:v>Total Inoculation System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OPEX'!$C$18</c:f>
              <c:numCache>
                <c:formatCode>"$"#,##0</c:formatCode>
                <c:ptCount val="1"/>
                <c:pt idx="0">
                  <c:v>16704159.340900002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E9-4710-8FE1-A49D09F4F534}"/>
            </c:ext>
          </c:extLst>
        </c:ser>
        <c:ser>
          <c:idx val="2"/>
          <c:order val="2"/>
          <c:tx>
            <c:strRef>
              <c:f>'CAPEX &amp; OPEX'!$B$25</c:f>
              <c:strCache>
                <c:ptCount val="1"/>
                <c:pt idx="0">
                  <c:v>Total CO2 Delivery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OPEX'!$C$25</c:f>
              <c:numCache>
                <c:formatCode>"$"#,##0</c:formatCode>
                <c:ptCount val="1"/>
                <c:pt idx="0">
                  <c:v>8716026.6747538466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E9-4710-8FE1-A49D09F4F534}"/>
            </c:ext>
          </c:extLst>
        </c:ser>
        <c:ser>
          <c:idx val="3"/>
          <c:order val="3"/>
          <c:tx>
            <c:strRef>
              <c:f>'CAPEX &amp; OPEX'!$B$36</c:f>
              <c:strCache>
                <c:ptCount val="1"/>
                <c:pt idx="0">
                  <c:v>Total Water Delivery and Circulation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OPEX'!$C$36</c:f>
              <c:numCache>
                <c:formatCode>"$"#,##0</c:formatCode>
                <c:ptCount val="1"/>
                <c:pt idx="0">
                  <c:v>7764208.1007153848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4E9-4710-8FE1-A49D09F4F534}"/>
            </c:ext>
          </c:extLst>
        </c:ser>
        <c:ser>
          <c:idx val="4"/>
          <c:order val="4"/>
          <c:tx>
            <c:strRef>
              <c:f>'CAPEX &amp; OPEX'!$B$44</c:f>
              <c:strCache>
                <c:ptCount val="1"/>
                <c:pt idx="0">
                  <c:v>Total Dewatering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OPEX'!$C$44</c:f>
              <c:numCache>
                <c:formatCode>"$"#,##0</c:formatCode>
                <c:ptCount val="1"/>
                <c:pt idx="0">
                  <c:v>54031220.435130782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E9-4710-8FE1-A49D09F4F534}"/>
            </c:ext>
          </c:extLst>
        </c:ser>
        <c:ser>
          <c:idx val="5"/>
          <c:order val="5"/>
          <c:tx>
            <c:strRef>
              <c:f>'CAPEX &amp; OPEX'!$B$49</c:f>
              <c:strCache>
                <c:ptCount val="1"/>
                <c:pt idx="0">
                  <c:v>Total Storage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OPEX'!$C$49</c:f>
              <c:numCache>
                <c:formatCode>"$"#,##0</c:formatCode>
                <c:ptCount val="1"/>
                <c:pt idx="0">
                  <c:v>5837744.2581615392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4E9-4710-8FE1-A49D09F4F534}"/>
            </c:ext>
          </c:extLst>
        </c:ser>
        <c:ser>
          <c:idx val="6"/>
          <c:order val="6"/>
          <c:tx>
            <c:strRef>
              <c:f>'CAPEX &amp; OPEX'!$B$53</c:f>
              <c:strCache>
                <c:ptCount val="1"/>
                <c:pt idx="0">
                  <c:v>Total Additional Direct Capital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OPEX'!$C$53</c:f>
              <c:numCache>
                <c:formatCode>"$"#,##0</c:formatCode>
                <c:ptCount val="1"/>
                <c:pt idx="0">
                  <c:v>23553214.783061542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4E9-4710-8FE1-A49D09F4F534}"/>
            </c:ext>
          </c:extLst>
        </c:ser>
        <c:ser>
          <c:idx val="7"/>
          <c:order val="7"/>
          <c:tx>
            <c:strRef>
              <c:f>'CAPEX &amp; OPEX'!$B$59</c:f>
              <c:strCache>
                <c:ptCount val="1"/>
                <c:pt idx="0">
                  <c:v>Total Additional Indirect Capital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OPEX'!$C$59</c:f>
              <c:numCache>
                <c:formatCode>"$"#,##0</c:formatCode>
                <c:ptCount val="1"/>
                <c:pt idx="0">
                  <c:v>99372939.24014616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4E9-4710-8FE1-A49D09F4F534}"/>
            </c:ext>
          </c:extLst>
        </c:ser>
        <c:ser>
          <c:idx val="8"/>
          <c:order val="8"/>
          <c:tx>
            <c:strRef>
              <c:f>'CAPEX &amp; OPEX'!$B$61</c:f>
              <c:strCache>
                <c:ptCount val="1"/>
                <c:pt idx="0">
                  <c:v>Land Capital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OPEX'!$C$61</c:f>
              <c:numCache>
                <c:formatCode>"$"#,##0</c:formatCode>
                <c:ptCount val="1"/>
                <c:pt idx="0">
                  <c:v>24042700.920000009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4E9-4710-8FE1-A49D09F4F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1"/>
        <c:overlap val="100"/>
        <c:axId val="1535503968"/>
        <c:axId val="1535493152"/>
      </c:barChart>
      <c:catAx>
        <c:axId val="153550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493152"/>
        <c:crosses val="autoZero"/>
        <c:auto val="1"/>
        <c:lblAlgn val="ctr"/>
        <c:lblOffset val="100"/>
        <c:noMultiLvlLbl val="0"/>
      </c:catAx>
      <c:valAx>
        <c:axId val="15354931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Capital Investment</a:t>
                </a:r>
                <a:r>
                  <a:rPr lang="en-US" sz="1200" baseline="0">
                    <a:solidFill>
                      <a:sysClr val="windowText" lastClr="000000"/>
                    </a:solidFill>
                  </a:rPr>
                  <a:t> (MM USD)</a:t>
                </a:r>
                <a:endParaRPr lang="en-US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4.8470504293759403E-2"/>
              <c:y val="0.193825257549161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503968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428545218255491"/>
          <c:y val="0.33930013425822753"/>
          <c:w val="0.38241357694365868"/>
          <c:h val="0.362493806342872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Cultivation &amp; Dewatering OPEX</a:t>
            </a:r>
          </a:p>
        </c:rich>
      </c:tx>
      <c:layout>
        <c:manualLayout>
          <c:xMode val="edge"/>
          <c:yMode val="edge"/>
          <c:x val="0.27515738829479247"/>
          <c:y val="1.80790939004885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39403257516529"/>
          <c:y val="0.11175893212818694"/>
          <c:w val="0.4726670221431305"/>
          <c:h val="0.809938661572885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'CAPEX &amp; OPEX'!$G$3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OPEX'!$H$3</c:f>
              <c:numCache>
                <c:formatCode>"$"#,##0</c:formatCode>
                <c:ptCount val="1"/>
                <c:pt idx="0">
                  <c:v>5881059.5333846156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35-401F-A38D-B31F707A16F1}"/>
            </c:ext>
          </c:extLst>
        </c:ser>
        <c:ser>
          <c:idx val="1"/>
          <c:order val="1"/>
          <c:tx>
            <c:strRef>
              <c:f>'CAPEX &amp; OPEX'!$G$4</c:f>
              <c:strCache>
                <c:ptCount val="1"/>
                <c:pt idx="0">
                  <c:v>Ammonia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OPEX'!$H$4</c:f>
              <c:numCache>
                <c:formatCode>"$"#,##0</c:formatCode>
                <c:ptCount val="1"/>
                <c:pt idx="0">
                  <c:v>3779325.2049384615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35-401F-A38D-B31F707A16F1}"/>
            </c:ext>
          </c:extLst>
        </c:ser>
        <c:ser>
          <c:idx val="2"/>
          <c:order val="2"/>
          <c:tx>
            <c:strRef>
              <c:f>'CAPEX &amp; OPEX'!$G$5</c:f>
              <c:strCache>
                <c:ptCount val="1"/>
                <c:pt idx="0">
                  <c:v>DAP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OPEX'!$H$5</c:f>
              <c:numCache>
                <c:formatCode>"$"#,##0</c:formatCode>
                <c:ptCount val="1"/>
                <c:pt idx="0">
                  <c:v>1752081.3093923074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35-401F-A38D-B31F707A16F1}"/>
            </c:ext>
          </c:extLst>
        </c:ser>
        <c:ser>
          <c:idx val="3"/>
          <c:order val="3"/>
          <c:tx>
            <c:strRef>
              <c:f>'CAPEX &amp; OPEX'!$G$6</c:f>
              <c:strCache>
                <c:ptCount val="1"/>
                <c:pt idx="0">
                  <c:v>Cultivation CO2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OPEX'!$H$6</c:f>
              <c:numCache>
                <c:formatCode>"$"#,##0</c:formatCode>
                <c:ptCount val="1"/>
                <c:pt idx="0">
                  <c:v>19122643.015769228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35-401F-A38D-B31F707A16F1}"/>
            </c:ext>
          </c:extLst>
        </c:ser>
        <c:ser>
          <c:idx val="4"/>
          <c:order val="4"/>
          <c:tx>
            <c:strRef>
              <c:f>'CAPEX &amp; OPEX'!$G$7</c:f>
              <c:strCache>
                <c:ptCount val="1"/>
                <c:pt idx="0">
                  <c:v>Labor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OPEX'!$H$7</c:f>
              <c:numCache>
                <c:formatCode>"$"#,##0</c:formatCode>
                <c:ptCount val="1"/>
                <c:pt idx="0">
                  <c:v>4361224.4435999999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35-401F-A38D-B31F707A16F1}"/>
            </c:ext>
          </c:extLst>
        </c:ser>
        <c:ser>
          <c:idx val="5"/>
          <c:order val="5"/>
          <c:tx>
            <c:strRef>
              <c:f>'CAPEX &amp; OPEX'!$G$8</c:f>
              <c:strCache>
                <c:ptCount val="1"/>
                <c:pt idx="0">
                  <c:v>Labor Burdens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OPEX'!$H$8</c:f>
              <c:numCache>
                <c:formatCode>"$"#,##0</c:formatCode>
                <c:ptCount val="1"/>
                <c:pt idx="0">
                  <c:v>3925101.9993000007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35-401F-A38D-B31F707A16F1}"/>
            </c:ext>
          </c:extLst>
        </c:ser>
        <c:ser>
          <c:idx val="6"/>
          <c:order val="6"/>
          <c:tx>
            <c:strRef>
              <c:f>'CAPEX &amp; OPEX'!$G$9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OPEX'!$H$9</c:f>
              <c:numCache>
                <c:formatCode>"$"#,##0</c:formatCode>
                <c:ptCount val="1"/>
                <c:pt idx="0">
                  <c:v>2719734.123146154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35-401F-A38D-B31F707A16F1}"/>
            </c:ext>
          </c:extLst>
        </c:ser>
        <c:ser>
          <c:idx val="7"/>
          <c:order val="7"/>
          <c:tx>
            <c:strRef>
              <c:f>'CAPEX &amp; OPEX'!$G$10</c:f>
              <c:strCache>
                <c:ptCount val="1"/>
                <c:pt idx="0">
                  <c:v>Property Tax and Insurance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OPEX'!$H$10</c:f>
              <c:numCache>
                <c:formatCode>"$"#,##0</c:formatCode>
                <c:ptCount val="1"/>
                <c:pt idx="0">
                  <c:v>2817882.3451461536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35-401F-A38D-B31F707A1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657272448"/>
        <c:axId val="1657270784"/>
      </c:barChart>
      <c:catAx>
        <c:axId val="165727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270784"/>
        <c:crosses val="autoZero"/>
        <c:auto val="1"/>
        <c:lblAlgn val="ctr"/>
        <c:lblOffset val="100"/>
        <c:noMultiLvlLbl val="0"/>
      </c:catAx>
      <c:valAx>
        <c:axId val="16572707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Operational</a:t>
                </a:r>
                <a:r>
                  <a:rPr lang="en-US" sz="1200" baseline="0">
                    <a:solidFill>
                      <a:sysClr val="windowText" lastClr="000000"/>
                    </a:solidFill>
                  </a:rPr>
                  <a:t> Expenses (MM USD/yr)</a:t>
                </a:r>
                <a:endParaRPr lang="en-US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2.9029532897383976E-2"/>
              <c:y val="0.142950351533982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272448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520133761649764"/>
          <c:y val="0.34495528034102579"/>
          <c:w val="0.33300893379959634"/>
          <c:h val="0.37363745437816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SAF</a:t>
            </a:r>
            <a:r>
              <a:rPr lang="en-US" b="1" baseline="0">
                <a:solidFill>
                  <a:sysClr val="windowText" lastClr="000000"/>
                </a:solidFill>
              </a:rPr>
              <a:t> Production Process</a:t>
            </a:r>
            <a:r>
              <a:rPr lang="en-US" b="1">
                <a:solidFill>
                  <a:sysClr val="windowText" lastClr="000000"/>
                </a:solidFill>
              </a:rPr>
              <a:t> CAPEX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491408223533"/>
          <c:y val="0.12245897871245523"/>
          <c:w val="0.50086322670592587"/>
          <c:h val="0.811990799117106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'CAPEX &amp; OPEX'!$A$97</c:f>
              <c:strCache>
                <c:ptCount val="1"/>
                <c:pt idx="0">
                  <c:v>Lipid Extraction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&amp; OPEX'!$A$66:$D$66</c:f>
              <c:strCache>
                <c:ptCount val="1"/>
                <c:pt idx="0">
                  <c:v>SAF Production Capital Expenses</c:v>
                </c:pt>
              </c:strCache>
            </c:strRef>
          </c:cat>
          <c:val>
            <c:numRef>
              <c:f>'CAPEX &amp; OPEX'!$B$97</c:f>
              <c:numCache>
                <c:formatCode>"$"#,##0</c:formatCode>
                <c:ptCount val="1"/>
                <c:pt idx="0">
                  <c:v>16161524.581215614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F-4A85-86CF-6511DC383A11}"/>
            </c:ext>
          </c:extLst>
        </c:ser>
        <c:ser>
          <c:idx val="1"/>
          <c:order val="1"/>
          <c:tx>
            <c:strRef>
              <c:f>'CAPEX &amp; OPEX'!$A$98</c:f>
              <c:strCache>
                <c:ptCount val="1"/>
                <c:pt idx="0">
                  <c:v>HEFA Process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&amp; OPEX'!$A$66:$D$66</c:f>
              <c:strCache>
                <c:ptCount val="1"/>
                <c:pt idx="0">
                  <c:v>SAF Production Capital Expenses</c:v>
                </c:pt>
              </c:strCache>
            </c:strRef>
          </c:cat>
          <c:val>
            <c:numRef>
              <c:f>'CAPEX &amp; OPEX'!$B$98</c:f>
              <c:numCache>
                <c:formatCode>"$"#,##0</c:formatCode>
                <c:ptCount val="1"/>
                <c:pt idx="0">
                  <c:v>36625200.731641851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F-4A85-86CF-6511DC383A11}"/>
            </c:ext>
          </c:extLst>
        </c:ser>
        <c:ser>
          <c:idx val="2"/>
          <c:order val="2"/>
          <c:tx>
            <c:strRef>
              <c:f>'CAPEX &amp; OPEX'!$A$99</c:f>
              <c:strCache>
                <c:ptCount val="1"/>
                <c:pt idx="0">
                  <c:v>Additional ISBL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&amp; OPEX'!$A$66:$D$66</c:f>
              <c:strCache>
                <c:ptCount val="1"/>
                <c:pt idx="0">
                  <c:v>SAF Production Capital Expenses</c:v>
                </c:pt>
              </c:strCache>
            </c:strRef>
          </c:cat>
          <c:val>
            <c:numRef>
              <c:f>'CAPEX &amp; OPEX'!$B$99</c:f>
              <c:numCache>
                <c:formatCode>"$"#,##0</c:formatCode>
                <c:ptCount val="1"/>
                <c:pt idx="0">
                  <c:v>10270516.379516847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2F-4A85-86CF-6511DC383A11}"/>
            </c:ext>
          </c:extLst>
        </c:ser>
        <c:ser>
          <c:idx val="3"/>
          <c:order val="3"/>
          <c:tx>
            <c:strRef>
              <c:f>'CAPEX &amp; OPEX'!$A$100</c:f>
              <c:strCache>
                <c:ptCount val="1"/>
                <c:pt idx="0">
                  <c:v>Energy/Nutrient Recovery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&amp; OPEX'!$A$66:$D$66</c:f>
              <c:strCache>
                <c:ptCount val="1"/>
                <c:pt idx="0">
                  <c:v>SAF Production Capital Expenses</c:v>
                </c:pt>
              </c:strCache>
            </c:strRef>
          </c:cat>
          <c:val>
            <c:numRef>
              <c:f>'CAPEX &amp; OPEX'!$B$100</c:f>
              <c:numCache>
                <c:formatCode>"$"#,##0</c:formatCode>
                <c:ptCount val="1"/>
                <c:pt idx="0">
                  <c:v>30778649.713416155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2F-4A85-86CF-6511DC383A11}"/>
            </c:ext>
          </c:extLst>
        </c:ser>
        <c:ser>
          <c:idx val="4"/>
          <c:order val="4"/>
          <c:tx>
            <c:strRef>
              <c:f>'CAPEX &amp; OPEX'!$A$101</c:f>
              <c:strCache>
                <c:ptCount val="1"/>
                <c:pt idx="0">
                  <c:v>Additional Direct CAPEX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&amp; OPEX'!$A$66:$D$66</c:f>
              <c:strCache>
                <c:ptCount val="1"/>
                <c:pt idx="0">
                  <c:v>SAF Production Capital Expenses</c:v>
                </c:pt>
              </c:strCache>
            </c:strRef>
          </c:cat>
          <c:val>
            <c:numRef>
              <c:f>'CAPEX &amp; OPEX'!$B$101</c:f>
              <c:numCache>
                <c:formatCode>"$"#,##0</c:formatCode>
                <c:ptCount val="1"/>
                <c:pt idx="0">
                  <c:v>16421280.996013079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2F-4A85-86CF-6511DC383A11}"/>
            </c:ext>
          </c:extLst>
        </c:ser>
        <c:ser>
          <c:idx val="5"/>
          <c:order val="5"/>
          <c:tx>
            <c:strRef>
              <c:f>'CAPEX &amp; OPEX'!$A$102</c:f>
              <c:strCache>
                <c:ptCount val="1"/>
                <c:pt idx="0">
                  <c:v>Project Contingency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&amp; OPEX'!$A$66:$D$66</c:f>
              <c:strCache>
                <c:ptCount val="1"/>
                <c:pt idx="0">
                  <c:v>SAF Production Capital Expenses</c:v>
                </c:pt>
              </c:strCache>
            </c:strRef>
          </c:cat>
          <c:val>
            <c:numRef>
              <c:f>'CAPEX &amp; OPEX'!$B$102</c:f>
              <c:numCache>
                <c:formatCode>"$"#,##0</c:formatCode>
                <c:ptCount val="1"/>
                <c:pt idx="0">
                  <c:v>11025717.24017923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2F-4A85-86CF-6511DC383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666169232"/>
        <c:axId val="1666180880"/>
      </c:barChart>
      <c:catAx>
        <c:axId val="166616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180880"/>
        <c:crosses val="autoZero"/>
        <c:auto val="1"/>
        <c:lblAlgn val="ctr"/>
        <c:lblOffset val="100"/>
        <c:noMultiLvlLbl val="0"/>
      </c:catAx>
      <c:valAx>
        <c:axId val="16661808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Capital Investment (MM USD)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130387414340265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169232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97152914234709"/>
          <c:y val="0.23062406207515052"/>
          <c:w val="0.34984280652318983"/>
          <c:h val="0.337788132100897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SAF</a:t>
            </a:r>
            <a:r>
              <a:rPr lang="en-US" b="1" baseline="0">
                <a:solidFill>
                  <a:sysClr val="windowText" lastClr="000000"/>
                </a:solidFill>
              </a:rPr>
              <a:t> Production OPEX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872862649490988"/>
          <c:y val="0.12828359688530805"/>
          <c:w val="0.42643385058039296"/>
          <c:h val="0.77222044898972952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'CAPEX &amp; OPEX'!$G$68</c:f>
              <c:strCache>
                <c:ptCount val="1"/>
                <c:pt idx="0">
                  <c:v>WHE Annual Hexane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OPEX'!$H$68</c:f>
              <c:numCache>
                <c:formatCode>"$"#,##0</c:formatCode>
                <c:ptCount val="1"/>
                <c:pt idx="0">
                  <c:v>261231.87117846153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C-481B-823E-A05505889EBF}"/>
            </c:ext>
          </c:extLst>
        </c:ser>
        <c:ser>
          <c:idx val="5"/>
          <c:order val="1"/>
          <c:tx>
            <c:strRef>
              <c:f>'CAPEX &amp; OPEX'!$G$69</c:f>
              <c:strCache>
                <c:ptCount val="1"/>
                <c:pt idx="0">
                  <c:v>HEFA HT Catalyst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OPEX'!$H$69</c:f>
              <c:numCache>
                <c:formatCode>"$"#,##0</c:formatCode>
                <c:ptCount val="1"/>
                <c:pt idx="0">
                  <c:v>55658.367296461533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C-481B-823E-A05505889EBF}"/>
            </c:ext>
          </c:extLst>
        </c:ser>
        <c:ser>
          <c:idx val="6"/>
          <c:order val="2"/>
          <c:tx>
            <c:strRef>
              <c:f>'CAPEX &amp; OPEX'!$G$70</c:f>
              <c:strCache>
                <c:ptCount val="1"/>
                <c:pt idx="0">
                  <c:v>HEFA ISO Catalyst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OPEX'!$H$70</c:f>
              <c:numCache>
                <c:formatCode>"$"#,##0</c:formatCode>
                <c:ptCount val="1"/>
                <c:pt idx="0">
                  <c:v>74211.156395307684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C-481B-823E-A05505889EBF}"/>
            </c:ext>
          </c:extLst>
        </c:ser>
        <c:ser>
          <c:idx val="0"/>
          <c:order val="3"/>
          <c:tx>
            <c:strRef>
              <c:f>'CAPEX &amp; OPEX'!$G$71</c:f>
              <c:strCache>
                <c:ptCount val="1"/>
                <c:pt idx="0">
                  <c:v>HEFA Water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OPEX'!$H$71</c:f>
              <c:numCache>
                <c:formatCode>"$"#,##0</c:formatCode>
                <c:ptCount val="1"/>
                <c:pt idx="0">
                  <c:v>112352.4696653846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2C-481B-823E-A05505889EBF}"/>
            </c:ext>
          </c:extLst>
        </c:ser>
        <c:ser>
          <c:idx val="1"/>
          <c:order val="4"/>
          <c:tx>
            <c:strRef>
              <c:f>'CAPEX &amp; OPEX'!$G$72</c:f>
              <c:strCache>
                <c:ptCount val="1"/>
                <c:pt idx="0">
                  <c:v>HEFA SMR Catalyst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OPEX'!$H$72</c:f>
              <c:numCache>
                <c:formatCode>"$"#,##0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C-481B-823E-A05505889EBF}"/>
            </c:ext>
          </c:extLst>
        </c:ser>
        <c:ser>
          <c:idx val="2"/>
          <c:order val="5"/>
          <c:tx>
            <c:strRef>
              <c:f>'CAPEX &amp; OPEX'!$G$73</c:f>
              <c:strCache>
                <c:ptCount val="1"/>
                <c:pt idx="0">
                  <c:v>HEFA Purchased H2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OPEX'!$H$73</c:f>
              <c:numCache>
                <c:formatCode>"$"#,##0</c:formatCode>
                <c:ptCount val="1"/>
                <c:pt idx="0">
                  <c:v>4017859.4465230773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2C-481B-823E-A05505889EBF}"/>
            </c:ext>
          </c:extLst>
        </c:ser>
        <c:ser>
          <c:idx val="3"/>
          <c:order val="6"/>
          <c:tx>
            <c:strRef>
              <c:f>'CAPEX &amp; OPEX'!$G$74</c:f>
              <c:strCache>
                <c:ptCount val="1"/>
                <c:pt idx="0">
                  <c:v>Supplemental Electricity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OPEX'!$H$74</c:f>
              <c:numCache>
                <c:formatCode>"$"#,##0</c:formatCode>
                <c:ptCount val="1"/>
                <c:pt idx="0">
                  <c:v>741141.84524307703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C-481B-823E-A05505889EBF}"/>
            </c:ext>
          </c:extLst>
        </c:ser>
        <c:ser>
          <c:idx val="7"/>
          <c:order val="7"/>
          <c:tx>
            <c:strRef>
              <c:f>'CAPEX &amp; OPEX'!$G$75</c:f>
              <c:strCache>
                <c:ptCount val="1"/>
                <c:pt idx="0">
                  <c:v>Supplemental Natural Gas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OPEX'!$H$75</c:f>
              <c:numCache>
                <c:formatCode>"$"#,##0</c:formatCode>
                <c:ptCount val="1"/>
                <c:pt idx="0">
                  <c:v>3132565.193361538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C-481B-823E-A05505889EBF}"/>
            </c:ext>
          </c:extLst>
        </c:ser>
        <c:ser>
          <c:idx val="8"/>
          <c:order val="8"/>
          <c:tx>
            <c:strRef>
              <c:f>'CAPEX &amp; OPEX'!$G$77</c:f>
              <c:strCache>
                <c:ptCount val="1"/>
                <c:pt idx="0">
                  <c:v>Labor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OPEX'!$H$77</c:f>
              <c:numCache>
                <c:formatCode>"$"#,##0</c:formatCode>
                <c:ptCount val="1"/>
                <c:pt idx="0">
                  <c:v>1027917.7570099999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C-481B-823E-A05505889EBF}"/>
            </c:ext>
          </c:extLst>
        </c:ser>
        <c:ser>
          <c:idx val="9"/>
          <c:order val="9"/>
          <c:tx>
            <c:strRef>
              <c:f>'CAPEX &amp; OPEX'!$G$78</c:f>
              <c:strCache>
                <c:ptCount val="1"/>
                <c:pt idx="0">
                  <c:v>Labor Burden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OPEX'!$H$78</c:f>
              <c:numCache>
                <c:formatCode>"$"#,##0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C-481B-823E-A05505889EBF}"/>
            </c:ext>
          </c:extLst>
        </c:ser>
        <c:ser>
          <c:idx val="10"/>
          <c:order val="10"/>
          <c:tx>
            <c:strRef>
              <c:f>'CAPEX &amp; OPEX'!$G$79</c:f>
              <c:strCache>
                <c:ptCount val="1"/>
                <c:pt idx="0">
                  <c:v>Equipment Maintenance</c:v>
                </c:pt>
              </c:strCache>
            </c:strRef>
          </c:tx>
          <c:spPr>
            <a:solidFill>
              <a:srgbClr val="EF904F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OPEX'!$H$79</c:f>
              <c:numCache>
                <c:formatCode>"$"#,##0</c:formatCode>
                <c:ptCount val="1"/>
                <c:pt idx="0">
                  <c:v>6670558.9303100007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C-481B-823E-A05505889EBF}"/>
            </c:ext>
          </c:extLst>
        </c:ser>
        <c:ser>
          <c:idx val="11"/>
          <c:order val="11"/>
          <c:tx>
            <c:strRef>
              <c:f>'CAPEX &amp; OPEX'!$G$80</c:f>
              <c:strCache>
                <c:ptCount val="1"/>
                <c:pt idx="0">
                  <c:v>Property Tax and Insurance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'CAPEX &amp; OPEX'!$H$80</c:f>
              <c:numCache>
                <c:formatCode>"$"#,##0</c:formatCode>
                <c:ptCount val="1"/>
                <c:pt idx="0">
                  <c:v>1819243.3446323078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C-481B-823E-A05505889EBF}"/>
            </c:ext>
          </c:extLst>
        </c:ser>
        <c:ser>
          <c:idx val="12"/>
          <c:order val="12"/>
          <c:tx>
            <c:strRef>
              <c:f>'CAPEX &amp; OPEX'!$G$81</c:f>
              <c:strCache>
                <c:ptCount val="1"/>
                <c:pt idx="0">
                  <c:v>Misc. Supplies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'CAPEX &amp; OPEX'!$H$81</c:f>
              <c:numCache>
                <c:formatCode>"$"#,##0</c:formatCode>
                <c:ptCount val="1"/>
                <c:pt idx="0">
                  <c:v>242565.7792839231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9-415B-B66C-7625F6059E4A}"/>
            </c:ext>
          </c:extLst>
        </c:ser>
        <c:ser>
          <c:idx val="13"/>
          <c:order val="13"/>
          <c:tx>
            <c:strRef>
              <c:f>'CAPEX &amp; OPEX'!$G$82</c:f>
              <c:strCache>
                <c:ptCount val="1"/>
                <c:pt idx="0">
                  <c:v>Fixed OPEX Contingency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5875">
              <a:noFill/>
            </a:ln>
            <a:effectLst/>
          </c:spPr>
          <c:invertIfNegative val="0"/>
          <c:val>
            <c:numRef>
              <c:f>'CAPEX &amp; OPEX'!$H$82</c:f>
              <c:numCache>
                <c:formatCode>"$"#,##0</c:formatCode>
                <c:ptCount val="1"/>
                <c:pt idx="0">
                  <c:v>976028.58112284623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99-415B-B66C-7625F6059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466238976"/>
        <c:axId val="466233568"/>
      </c:barChart>
      <c:catAx>
        <c:axId val="46623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3568"/>
        <c:crosses val="autoZero"/>
        <c:auto val="1"/>
        <c:lblAlgn val="ctr"/>
        <c:lblOffset val="100"/>
        <c:noMultiLvlLbl val="0"/>
      </c:catAx>
      <c:valAx>
        <c:axId val="466233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Operational Expenses</a:t>
                </a:r>
                <a:r>
                  <a:rPr lang="en-US" sz="1200" baseline="0">
                    <a:solidFill>
                      <a:sysClr val="windowText" lastClr="000000"/>
                    </a:solidFill>
                  </a:rPr>
                  <a:t> (MM USD/yr)</a:t>
                </a:r>
                <a:endParaRPr lang="en-US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3.0309140227764417E-2"/>
              <c:y val="0.122089508176719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8976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092549751419547"/>
          <c:y val="0.11868262239414058"/>
          <c:w val="0.26765509451052477"/>
          <c:h val="0.60276389253166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Minimum</a:t>
            </a:r>
            <a:r>
              <a:rPr lang="en-US" sz="2000" b="1" baseline="0">
                <a:solidFill>
                  <a:sysClr val="windowText" lastClr="000000"/>
                </a:solidFill>
              </a:rPr>
              <a:t> Lipid Selling Price</a:t>
            </a:r>
            <a:endParaRPr lang="en-US" sz="2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97089235320983"/>
          <c:y val="7.815502395855789E-2"/>
          <c:w val="0.4705393706012842"/>
          <c:h val="0.855437082330555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'DCFROR (MLSP)'!$F$8</c:f>
              <c:strCache>
                <c:ptCount val="1"/>
                <c:pt idx="0">
                  <c:v>Sales (Excess Energy)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(MLSP)'!$J$8</c:f>
              <c:numCache>
                <c:formatCode>_("$"* #,##0.00_);_("$"* \(#,##0.00\);_("$"*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50-43DC-BAD1-07A60FD5DFC3}"/>
            </c:ext>
          </c:extLst>
        </c:ser>
        <c:ser>
          <c:idx val="1"/>
          <c:order val="1"/>
          <c:tx>
            <c:strRef>
              <c:f>'DCFROR (MLSP)'!$F$9</c:f>
              <c:strCache>
                <c:ptCount val="1"/>
                <c:pt idx="0">
                  <c:v>Sales (NH3-eq)</c:v>
                </c:pt>
              </c:strCache>
            </c:strRef>
          </c:tx>
          <c:spPr>
            <a:solidFill>
              <a:srgbClr val="9F5FCF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(MLSP)'!$J$9</c:f>
              <c:numCache>
                <c:formatCode>_("$"* #,##0.00_);_("$"* \(#,##0.00\);_("$"* "-"??_);_(@_)</c:formatCode>
                <c:ptCount val="1"/>
                <c:pt idx="0">
                  <c:v>-4.5446042177720691E-2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0-43DC-BAD1-07A60FD5DFC3}"/>
            </c:ext>
          </c:extLst>
        </c:ser>
        <c:ser>
          <c:idx val="2"/>
          <c:order val="2"/>
          <c:tx>
            <c:strRef>
              <c:f>'DCFROR (MLSP)'!$F$10</c:f>
              <c:strCache>
                <c:ptCount val="1"/>
                <c:pt idx="0">
                  <c:v>Sales (DAP-eq)</c:v>
                </c:pt>
              </c:strCache>
            </c:strRef>
          </c:tx>
          <c:spPr>
            <a:solidFill>
              <a:srgbClr val="BD92DE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(MLSP)'!$J$10</c:f>
              <c:numCache>
                <c:formatCode>_("$"* #,##0.00_);_("$"* \(#,##0.00\);_("$"* "-"??_);_(@_)</c:formatCode>
                <c:ptCount val="1"/>
                <c:pt idx="0">
                  <c:v>-1.0571329690144928E-2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50-43DC-BAD1-07A60FD5DFC3}"/>
            </c:ext>
          </c:extLst>
        </c:ser>
        <c:ser>
          <c:idx val="3"/>
          <c:order val="3"/>
          <c:tx>
            <c:strRef>
              <c:f>'DCFROR (MLSP)'!$F$11</c:f>
              <c:strCache>
                <c:ptCount val="1"/>
                <c:pt idx="0">
                  <c:v>Sales (CO2 Recycle)</c:v>
                </c:pt>
              </c:strCache>
            </c:strRef>
          </c:tx>
          <c:spPr>
            <a:solidFill>
              <a:srgbClr val="D6BCEA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(MLSP)'!$J$11</c:f>
              <c:numCache>
                <c:formatCode>_("$"* #,##0.00_);_("$"* \(#,##0.00\);_("$"* "-"??_);_(@_)</c:formatCode>
                <c:ptCount val="1"/>
                <c:pt idx="0">
                  <c:v>-4.3023521609299239E-8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50-43DC-BAD1-07A60FD5DFC3}"/>
            </c:ext>
          </c:extLst>
        </c:ser>
        <c:ser>
          <c:idx val="4"/>
          <c:order val="4"/>
          <c:tx>
            <c:strRef>
              <c:f>'DCFROR (MLSP)'!$F$12</c:f>
              <c:strCache>
                <c:ptCount val="1"/>
                <c:pt idx="0">
                  <c:v>Land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(MLSP)'!$J$12</c:f>
              <c:numCache>
                <c:formatCode>_("$"* #,##0.00_);_("$"* \(#,##0.00\);_("$"* "-"??_);_(@_)</c:formatCode>
                <c:ptCount val="1"/>
                <c:pt idx="0">
                  <c:v>6.9420884642195591E-2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50-43DC-BAD1-07A60FD5DFC3}"/>
            </c:ext>
          </c:extLst>
        </c:ser>
        <c:ser>
          <c:idx val="5"/>
          <c:order val="5"/>
          <c:tx>
            <c:strRef>
              <c:f>'DCFROR (MLSP)'!$F$13</c:f>
              <c:strCache>
                <c:ptCount val="1"/>
                <c:pt idx="0">
                  <c:v>Equipment and Facilities Capital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(MLSP)'!$J$13</c:f>
              <c:numCache>
                <c:formatCode>_("$"* #,##0.00_);_("$"* \(#,##0.00\);_("$"* "-"??_);_(@_)</c:formatCode>
                <c:ptCount val="1"/>
                <c:pt idx="0">
                  <c:v>0.47611115433216372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50-43DC-BAD1-07A60FD5DFC3}"/>
            </c:ext>
          </c:extLst>
        </c:ser>
        <c:ser>
          <c:idx val="6"/>
          <c:order val="6"/>
          <c:tx>
            <c:strRef>
              <c:f>'DCFROR (MLSP)'!$F$14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(MLSP)'!$J$14</c:f>
              <c:numCache>
                <c:formatCode>_("$"* #,##0.00_);_("$"* \(#,##0.00\);_("$"* "-"??_);_(@_)</c:formatCode>
                <c:ptCount val="1"/>
                <c:pt idx="0">
                  <c:v>0.12910647093542407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50-43DC-BAD1-07A60FD5DFC3}"/>
            </c:ext>
          </c:extLst>
        </c:ser>
        <c:ser>
          <c:idx val="7"/>
          <c:order val="7"/>
          <c:tx>
            <c:strRef>
              <c:f>'DCFROR (MLSP)'!$F$15</c:f>
              <c:strCache>
                <c:ptCount val="1"/>
                <c:pt idx="0">
                  <c:v>Ammonia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(MLSP)'!$J$15</c:f>
              <c:numCache>
                <c:formatCode>_("$"* #,##0.00_);_("$"* \(#,##0.00\);_("$"* "-"??_);_(@_)</c:formatCode>
                <c:ptCount val="1"/>
                <c:pt idx="0">
                  <c:v>8.2967250536586684E-2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D50-43DC-BAD1-07A60FD5DFC3}"/>
            </c:ext>
          </c:extLst>
        </c:ser>
        <c:ser>
          <c:idx val="8"/>
          <c:order val="8"/>
          <c:tx>
            <c:strRef>
              <c:f>'DCFROR (MLSP)'!$F$16</c:f>
              <c:strCache>
                <c:ptCount val="1"/>
                <c:pt idx="0">
                  <c:v>DAP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(MLSP)'!$J$16</c:f>
              <c:numCache>
                <c:formatCode>_("$"* #,##0.00_);_("$"* \(#,##0.00\);_("$"* "-"??_);_(@_)</c:formatCode>
                <c:ptCount val="1"/>
                <c:pt idx="0">
                  <c:v>3.8463313177408726E-2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D50-43DC-BAD1-07A60FD5DFC3}"/>
            </c:ext>
          </c:extLst>
        </c:ser>
        <c:ser>
          <c:idx val="9"/>
          <c:order val="9"/>
          <c:tx>
            <c:strRef>
              <c:f>'DCFROR (MLSP)'!$F$17</c:f>
              <c:strCache>
                <c:ptCount val="1"/>
                <c:pt idx="0">
                  <c:v>Cultivation CO2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(MLSP)'!$J$17</c:f>
              <c:numCache>
                <c:formatCode>_("$"* #,##0.00_);_("$"* \(#,##0.00\);_("$"* "-"??_);_(@_)</c:formatCode>
                <c:ptCount val="1"/>
                <c:pt idx="0">
                  <c:v>0.41979798720096334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D50-43DC-BAD1-07A60FD5DFC3}"/>
            </c:ext>
          </c:extLst>
        </c:ser>
        <c:ser>
          <c:idx val="10"/>
          <c:order val="10"/>
          <c:tx>
            <c:strRef>
              <c:f>'DCFROR (MLSP)'!$F$18</c:f>
              <c:strCache>
                <c:ptCount val="1"/>
                <c:pt idx="0">
                  <c:v>Labor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(MLSP)'!$J$18</c:f>
              <c:numCache>
                <c:formatCode>_("$"* #,##0.00_);_("$"* \(#,##0.00\);_("$"* "-"??_);_(@_)</c:formatCode>
                <c:ptCount val="1"/>
                <c:pt idx="0">
                  <c:v>9.5741642075582903E-2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D50-43DC-BAD1-07A60FD5DFC3}"/>
            </c:ext>
          </c:extLst>
        </c:ser>
        <c:ser>
          <c:idx val="11"/>
          <c:order val="11"/>
          <c:tx>
            <c:strRef>
              <c:f>'DCFROR (MLSP)'!$F$19</c:f>
              <c:strCache>
                <c:ptCount val="1"/>
                <c:pt idx="0">
                  <c:v>Labor Burdens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(MLSP)'!$J$19</c:f>
              <c:numCache>
                <c:formatCode>_("$"* #,##0.00_);_("$"* \(#,##0.00\);_("$"* "-"??_);_(@_)</c:formatCode>
                <c:ptCount val="1"/>
                <c:pt idx="0">
                  <c:v>8.6167477869341813E-2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D50-43DC-BAD1-07A60FD5DFC3}"/>
            </c:ext>
          </c:extLst>
        </c:ser>
        <c:ser>
          <c:idx val="12"/>
          <c:order val="12"/>
          <c:tx>
            <c:strRef>
              <c:f>'DCFROR (MLSP)'!$F$20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(MLSP)'!$J$20</c:f>
              <c:numCache>
                <c:formatCode>_("$"* #,##0.00_);_("$"* \(#,##0.00\);_("$"* "-"??_);_(@_)</c:formatCode>
                <c:ptCount val="1"/>
                <c:pt idx="0">
                  <c:v>5.9706124811147371E-2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D50-43DC-BAD1-07A60FD5DFC3}"/>
            </c:ext>
          </c:extLst>
        </c:ser>
        <c:ser>
          <c:idx val="13"/>
          <c:order val="13"/>
          <c:tx>
            <c:strRef>
              <c:f>'DCFROR (MLSP)'!$F$21</c:f>
              <c:strCache>
                <c:ptCount val="1"/>
                <c:pt idx="0">
                  <c:v>Property Tax and Insurance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(MLSP)'!$J$21</c:f>
              <c:numCache>
                <c:formatCode>_("$"* #,##0.00_);_("$"* \(#,##0.00\);_("$"* "-"??_);_(@_)</c:formatCode>
                <c:ptCount val="1"/>
                <c:pt idx="0">
                  <c:v>6.186076556917313E-2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D50-43DC-BAD1-07A60FD5DFC3}"/>
            </c:ext>
          </c:extLst>
        </c:ser>
        <c:ser>
          <c:idx val="14"/>
          <c:order val="14"/>
          <c:tx>
            <c:strRef>
              <c:f>'DCFROR (MLSP)'!$F$22</c:f>
              <c:strCache>
                <c:ptCount val="1"/>
                <c:pt idx="0">
                  <c:v>WHE Annual Hexane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(MLSP)'!$J$22</c:f>
              <c:numCache>
                <c:formatCode>_("$"* #,##0.00_);_("$"* \(#,##0.00\);_("$"* "-"??_);_(@_)</c:formatCode>
                <c:ptCount val="1"/>
                <c:pt idx="0">
                  <c:v>5.7348042121074007E-3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D50-43DC-BAD1-07A60FD5DFC3}"/>
            </c:ext>
          </c:extLst>
        </c:ser>
        <c:ser>
          <c:idx val="15"/>
          <c:order val="15"/>
          <c:tx>
            <c:strRef>
              <c:f>'DCFROR (MLSP)'!$F$23</c:f>
              <c:strCache>
                <c:ptCount val="1"/>
                <c:pt idx="0">
                  <c:v>Supplemental Electricity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(MLSP)'!$J$23</c:f>
              <c:numCache>
                <c:formatCode>_("$"* #,##0.00_);_("$"* \(#,##0.00\);_("$"* "-"??_);_(@_)</c:formatCode>
                <c:ptCount val="1"/>
                <c:pt idx="0">
                  <c:v>1.1639534659689284E-2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D50-43DC-BAD1-07A60FD5DFC3}"/>
            </c:ext>
          </c:extLst>
        </c:ser>
        <c:ser>
          <c:idx val="16"/>
          <c:order val="16"/>
          <c:tx>
            <c:strRef>
              <c:f>'DCFROR (MLSP)'!$F$24</c:f>
              <c:strCache>
                <c:ptCount val="1"/>
                <c:pt idx="0">
                  <c:v>Supplemental Natural Gas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(MLSP)'!$J$24</c:f>
              <c:numCache>
                <c:formatCode>_("$"* #,##0.00_);_("$"* \(#,##0.00\);_("$"* "-"??_);_(@_)</c:formatCode>
                <c:ptCount val="1"/>
                <c:pt idx="0">
                  <c:v>3.3226453872955454E-2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D50-43DC-BAD1-07A60FD5DFC3}"/>
            </c:ext>
          </c:extLst>
        </c:ser>
        <c:ser>
          <c:idx val="17"/>
          <c:order val="17"/>
          <c:tx>
            <c:strRef>
              <c:f>'DCFROR (MLSP)'!$F$25</c:f>
              <c:strCache>
                <c:ptCount val="1"/>
                <c:pt idx="0">
                  <c:v>Labor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(MLSP)'!$J$25</c:f>
              <c:numCache>
                <c:formatCode>_("$"* #,##0.00_);_("$"* \(#,##0.00\);_("$"* "-"??_);_(@_)</c:formatCode>
                <c:ptCount val="1"/>
                <c:pt idx="0">
                  <c:v>1.1282901768361301E-2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D50-43DC-BAD1-07A60FD5DFC3}"/>
            </c:ext>
          </c:extLst>
        </c:ser>
        <c:ser>
          <c:idx val="18"/>
          <c:order val="18"/>
          <c:tx>
            <c:strRef>
              <c:f>'DCFROR (MLSP)'!$F$26</c:f>
              <c:strCache>
                <c:ptCount val="1"/>
                <c:pt idx="0">
                  <c:v>Labor Burden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(MLSP)'!$J$26</c:f>
              <c:numCache>
                <c:formatCode>_("$"* #,##0.00_);_("$"* \(#,##0.00\);_("$"*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D50-43DC-BAD1-07A60FD5DFC3}"/>
            </c:ext>
          </c:extLst>
        </c:ser>
        <c:ser>
          <c:idx val="19"/>
          <c:order val="19"/>
          <c:tx>
            <c:strRef>
              <c:f>'DCFROR (MLSP)'!$F$27</c:f>
              <c:strCache>
                <c:ptCount val="1"/>
                <c:pt idx="0">
                  <c:v>Equipment Maintenance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(MLSP)'!$J$27</c:f>
              <c:numCache>
                <c:formatCode>_("$"* #,##0.00_);_("$"* \(#,##0.00\);_("$"* "-"??_);_(@_)</c:formatCode>
                <c:ptCount val="1"/>
                <c:pt idx="0">
                  <c:v>7.3253836269053407E-2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D50-43DC-BAD1-07A60FD5DFC3}"/>
            </c:ext>
          </c:extLst>
        </c:ser>
        <c:ser>
          <c:idx val="20"/>
          <c:order val="20"/>
          <c:tx>
            <c:strRef>
              <c:f>'DCFROR (MLSP)'!$F$28</c:f>
              <c:strCache>
                <c:ptCount val="1"/>
                <c:pt idx="0">
                  <c:v>Property Tax and Insurance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(MLSP)'!$J$28</c:f>
              <c:numCache>
                <c:formatCode>_("$"* #,##0.00_);_("$"* \(#,##0.00\);_("$"* "-"??_);_(@_)</c:formatCode>
                <c:ptCount val="1"/>
                <c:pt idx="0">
                  <c:v>1.997831898257503E-2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D50-43DC-BAD1-07A60FD5DFC3}"/>
            </c:ext>
          </c:extLst>
        </c:ser>
        <c:ser>
          <c:idx val="21"/>
          <c:order val="21"/>
          <c:tx>
            <c:strRef>
              <c:f>'DCFROR (MLSP)'!$F$29</c:f>
              <c:strCache>
                <c:ptCount val="1"/>
                <c:pt idx="0">
                  <c:v>Misc. Supplies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(MLSP)'!$J$29</c:f>
              <c:numCache>
                <c:formatCode>_("$"* #,##0.00_);_("$"* \(#,##0.00\);_("$"* "-"??_);_(@_)</c:formatCode>
                <c:ptCount val="1"/>
                <c:pt idx="0">
                  <c:v>2.663775864373736E-3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D50-43DC-BAD1-07A60FD5DFC3}"/>
            </c:ext>
          </c:extLst>
        </c:ser>
        <c:ser>
          <c:idx val="22"/>
          <c:order val="22"/>
          <c:tx>
            <c:strRef>
              <c:f>'DCFROR (MLSP)'!$F$30</c:f>
              <c:strCache>
                <c:ptCount val="1"/>
                <c:pt idx="0">
                  <c:v>Fixed OPEX Contingency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(MLSP)'!$J$30</c:f>
              <c:numCache>
                <c:formatCode>_("$"* #,##0.00_);_("$"* \(#,##0.00\);_("$"* "-"??_);_(@_)</c:formatCode>
                <c:ptCount val="1"/>
                <c:pt idx="0">
                  <c:v>1.0717883288439724E-2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D50-43DC-BAD1-07A60FD5DFC3}"/>
            </c:ext>
          </c:extLst>
        </c:ser>
        <c:ser>
          <c:idx val="23"/>
          <c:order val="23"/>
          <c:tx>
            <c:strRef>
              <c:f>'DCFROR (MLSP)'!$F$31</c:f>
              <c:strCache>
                <c:ptCount val="1"/>
                <c:pt idx="0">
                  <c:v>Tax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(MLSP)'!$J$31</c:f>
              <c:numCache>
                <c:formatCode>_("$"* #,##0.00_);_("$"* \(#,##0.00\);_("$"* "-"??_);_(@_)</c:formatCode>
                <c:ptCount val="1"/>
                <c:pt idx="0">
                  <c:v>0.28214132065217873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D50-43DC-BAD1-07A60FD5D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118692800"/>
        <c:axId val="1417789088"/>
      </c:barChart>
      <c:barChart>
        <c:barDir val="col"/>
        <c:grouping val="stacked"/>
        <c:varyColors val="0"/>
        <c:ser>
          <c:idx val="24"/>
          <c:order val="24"/>
          <c:tx>
            <c:strRef>
              <c:f>'DCFROR (MLSP)'!$F$35</c:f>
              <c:strCache>
                <c:ptCount val="1"/>
                <c:pt idx="0">
                  <c:v>Net</c:v>
                </c:pt>
              </c:strCache>
            </c:strRef>
          </c:tx>
          <c:spPr>
            <a:solidFill>
              <a:schemeClr val="bg1"/>
            </a:solidFill>
            <a:ln w="19050"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(MLSP)'!$G$35</c:f>
              <c:numCache>
                <c:formatCode>_("$"* #,##0.00_);_("$"* \(#,##0.00\);_("$"* "-"??_);_(@_)</c:formatCode>
                <c:ptCount val="1"/>
                <c:pt idx="0">
                  <c:v>1.9139644858283347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D50-43DC-BAD1-07A60FD5D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2"/>
        <c:overlap val="100"/>
        <c:axId val="1202037632"/>
        <c:axId val="1202270384"/>
      </c:barChart>
      <c:catAx>
        <c:axId val="1118692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7789088"/>
        <c:crosses val="autoZero"/>
        <c:auto val="1"/>
        <c:lblAlgn val="ctr"/>
        <c:lblOffset val="100"/>
        <c:noMultiLvlLbl val="0"/>
      </c:catAx>
      <c:valAx>
        <c:axId val="14177890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ysClr val="windowText" lastClr="000000"/>
                    </a:solidFill>
                  </a:rPr>
                  <a:t>Minimum Lipid</a:t>
                </a:r>
                <a:r>
                  <a:rPr lang="en-US" sz="1800" baseline="0">
                    <a:solidFill>
                      <a:sysClr val="windowText" lastClr="000000"/>
                    </a:solidFill>
                  </a:rPr>
                  <a:t> Selling Price ($/kg lipid)</a:t>
                </a:r>
                <a:endParaRPr lang="en-US" sz="18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6249544381008313E-2"/>
              <c:y val="0.112739348057269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692800"/>
        <c:crosses val="autoZero"/>
        <c:crossBetween val="between"/>
      </c:valAx>
      <c:valAx>
        <c:axId val="1202270384"/>
        <c:scaling>
          <c:orientation val="minMax"/>
          <c:max val="2.5"/>
          <c:min val="-0.5"/>
        </c:scaling>
        <c:delete val="1"/>
        <c:axPos val="r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1202037632"/>
        <c:crosses val="max"/>
        <c:crossBetween val="between"/>
      </c:valAx>
      <c:catAx>
        <c:axId val="120203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2270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2505354676515"/>
          <c:y val="9.1581382762287736E-2"/>
          <c:w val="0.31271397241994658"/>
          <c:h val="0.8391637405097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Minimum</a:t>
            </a:r>
            <a:r>
              <a:rPr lang="en-US" sz="2000" b="1" baseline="0">
                <a:solidFill>
                  <a:sysClr val="windowText" lastClr="000000"/>
                </a:solidFill>
              </a:rPr>
              <a:t> Fuel Selling Price</a:t>
            </a:r>
            <a:endParaRPr lang="en-US" sz="2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53334690902438"/>
          <c:y val="7.815502395855789E-2"/>
          <c:w val="0.48697693592194724"/>
          <c:h val="0.855437082330555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'DCFROR (MFSP)'!$L$7</c:f>
              <c:strCache>
                <c:ptCount val="1"/>
                <c:pt idx="0">
                  <c:v>Nutrient Recovery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(MFSP)'!$M$7</c:f>
              <c:numCache>
                <c:formatCode>_("$"* #,##0.00_);_("$"* \(#,##0.00\);_("$"* "-"??_);_(@_)</c:formatCode>
                <c:ptCount val="1"/>
                <c:pt idx="0">
                  <c:v>-5.2050472620602049E-2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1-465B-9C3E-6CB4F3C1CE37}"/>
            </c:ext>
          </c:extLst>
        </c:ser>
        <c:ser>
          <c:idx val="1"/>
          <c:order val="1"/>
          <c:tx>
            <c:strRef>
              <c:f>'DCFROR (MFSP)'!$L$8</c:f>
              <c:strCache>
                <c:ptCount val="1"/>
                <c:pt idx="0">
                  <c:v>Energy Recovery</c:v>
                </c:pt>
              </c:strCache>
            </c:strRef>
          </c:tx>
          <c:spPr>
            <a:solidFill>
              <a:srgbClr val="9F5FCF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(MFSP)'!$M$8</c:f>
              <c:numCache>
                <c:formatCode>_("$"* #,##0.00_);_("$"* \(#,##0.00\);_("$"*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11-465B-9C3E-6CB4F3C1CE37}"/>
            </c:ext>
          </c:extLst>
        </c:ser>
        <c:ser>
          <c:idx val="2"/>
          <c:order val="2"/>
          <c:tx>
            <c:strRef>
              <c:f>'DCFROR (MFSP)'!$L$9</c:f>
              <c:strCache>
                <c:ptCount val="1"/>
                <c:pt idx="0">
                  <c:v>Propane + LNG + Naphtha</c:v>
                </c:pt>
              </c:strCache>
            </c:strRef>
          </c:tx>
          <c:spPr>
            <a:solidFill>
              <a:srgbClr val="BD92DE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(MFSP)'!$M$9</c:f>
              <c:numCache>
                <c:formatCode>_("$"* #,##0.00_);_("$"* \(#,##0.00\);_("$"* "-"??_);_(@_)</c:formatCode>
                <c:ptCount val="1"/>
                <c:pt idx="0">
                  <c:v>-0.66922862216359502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11-465B-9C3E-6CB4F3C1CE37}"/>
            </c:ext>
          </c:extLst>
        </c:ser>
        <c:ser>
          <c:idx val="3"/>
          <c:order val="3"/>
          <c:tx>
            <c:strRef>
              <c:f>'DCFROR (MFSP)'!$L$10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D6BCEA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(MFSP)'!$M$10</c:f>
              <c:numCache>
                <c:formatCode>_("$"* #,##0.00_);_("$"* \(#,##0.00\);_("$"* "-"??_);_(@_)</c:formatCode>
                <c:ptCount val="1"/>
                <c:pt idx="0">
                  <c:v>-0.9801478450884904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11-465B-9C3E-6CB4F3C1CE37}"/>
            </c:ext>
          </c:extLst>
        </c:ser>
        <c:ser>
          <c:idx val="4"/>
          <c:order val="4"/>
          <c:tx>
            <c:strRef>
              <c:f>'DCFROR (MFSP)'!$L$11</c:f>
              <c:strCache>
                <c:ptCount val="1"/>
                <c:pt idx="0">
                  <c:v>Land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(MFSP)'!$M$11</c:f>
              <c:numCache>
                <c:formatCode>_("$"* #,##0.00_);_("$"* \(#,##0.00\);_("$"* "-"??_);_(@_)</c:formatCode>
                <c:ptCount val="1"/>
                <c:pt idx="0">
                  <c:v>0.37611624340821764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1-465B-9C3E-6CB4F3C1CE37}"/>
            </c:ext>
          </c:extLst>
        </c:ser>
        <c:ser>
          <c:idx val="5"/>
          <c:order val="5"/>
          <c:tx>
            <c:strRef>
              <c:f>'DCFROR (MFSP)'!$L$12</c:f>
              <c:strCache>
                <c:ptCount val="1"/>
                <c:pt idx="0">
                  <c:v>Equipment &amp; Facilities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(MFSP)'!$M$12</c:f>
              <c:numCache>
                <c:formatCode>_("$"* #,##0.00_);_("$"* \(#,##0.00\);_("$"* "-"??_);_(@_)</c:formatCode>
                <c:ptCount val="1"/>
                <c:pt idx="0">
                  <c:v>2.9170582217506866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11-465B-9C3E-6CB4F3C1CE37}"/>
            </c:ext>
          </c:extLst>
        </c:ser>
        <c:ser>
          <c:idx val="6"/>
          <c:order val="6"/>
          <c:tx>
            <c:strRef>
              <c:f>'DCFROR (MFSP)'!$L$13</c:f>
              <c:strCache>
                <c:ptCount val="1"/>
                <c:pt idx="0">
                  <c:v>Cultivation Consumables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(MFSP)'!$M$13</c:f>
              <c:numCache>
                <c:formatCode>_("$"* #,##0.00_);_("$"* \(#,##0.00\);_("$"* "-"??_);_(@_)</c:formatCode>
                <c:ptCount val="1"/>
                <c:pt idx="0">
                  <c:v>2.9323286564930378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11-465B-9C3E-6CB4F3C1CE37}"/>
            </c:ext>
          </c:extLst>
        </c:ser>
        <c:ser>
          <c:idx val="7"/>
          <c:order val="7"/>
          <c:tx>
            <c:strRef>
              <c:f>'DCFROR (MFSP)'!$L$14</c:f>
              <c:strCache>
                <c:ptCount val="1"/>
                <c:pt idx="0">
                  <c:v>Cultivation Energy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(MFSP)'!$M$14</c:f>
              <c:numCache>
                <c:formatCode>_("$"* #,##0.00_);_("$"* \(#,##0.00\);_("$"* "-"??_);_(@_)</c:formatCode>
                <c:ptCount val="1"/>
                <c:pt idx="0">
                  <c:v>0.69948749714446357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11-465B-9C3E-6CB4F3C1CE37}"/>
            </c:ext>
          </c:extLst>
        </c:ser>
        <c:ser>
          <c:idx val="8"/>
          <c:order val="8"/>
          <c:tx>
            <c:strRef>
              <c:f>'DCFROR (MFSP)'!$L$15</c:f>
              <c:strCache>
                <c:ptCount val="1"/>
                <c:pt idx="0">
                  <c:v>Cultivation Labor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(MFSP)'!$M$15</c:f>
              <c:numCache>
                <c:formatCode>_("$"* #,##0.00_);_("$"* \(#,##0.00\);_("$"* "-"??_);_(@_)</c:formatCode>
                <c:ptCount val="1"/>
                <c:pt idx="0">
                  <c:v>0.98556760243002373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11-465B-9C3E-6CB4F3C1CE37}"/>
            </c:ext>
          </c:extLst>
        </c:ser>
        <c:ser>
          <c:idx val="9"/>
          <c:order val="9"/>
          <c:tx>
            <c:strRef>
              <c:f>'DCFROR (MFSP)'!$L$16</c:f>
              <c:strCache>
                <c:ptCount val="1"/>
                <c:pt idx="0">
                  <c:v>Cultivation Maintenance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(MFSP)'!$M$16</c:f>
              <c:numCache>
                <c:formatCode>_("$"* #,##0.00_);_("$"* \(#,##0.00\);_("$"* "-"??_);_(@_)</c:formatCode>
                <c:ptCount val="1"/>
                <c:pt idx="0">
                  <c:v>0.32348252961877977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11-465B-9C3E-6CB4F3C1CE37}"/>
            </c:ext>
          </c:extLst>
        </c:ser>
        <c:ser>
          <c:idx val="10"/>
          <c:order val="10"/>
          <c:tx>
            <c:strRef>
              <c:f>'DCFROR (MFSP)'!$L$17</c:f>
              <c:strCache>
                <c:ptCount val="1"/>
                <c:pt idx="0">
                  <c:v>Cultivation Other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(MFSP)'!$M$17</c:f>
              <c:numCache>
                <c:formatCode>_("$"* #,##0.00_);_("$"* \(#,##0.00\);_("$"* "-"??_);_(@_)</c:formatCode>
                <c:ptCount val="1"/>
                <c:pt idx="0">
                  <c:v>0.3351561836204503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11-465B-9C3E-6CB4F3C1CE37}"/>
            </c:ext>
          </c:extLst>
        </c:ser>
        <c:ser>
          <c:idx val="11"/>
          <c:order val="11"/>
          <c:tx>
            <c:strRef>
              <c:f>'DCFROR (MFSP)'!$L$18</c:f>
              <c:strCache>
                <c:ptCount val="1"/>
                <c:pt idx="0">
                  <c:v>Conversion Consumables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(MFSP)'!$M$18</c:f>
              <c:numCache>
                <c:formatCode>_("$"* #,##0.00_);_("$"* \(#,##0.00\);_("$"* "-"??_);_(@_)</c:formatCode>
                <c:ptCount val="1"/>
                <c:pt idx="0">
                  <c:v>0.53776060483752319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11-465B-9C3E-6CB4F3C1CE37}"/>
            </c:ext>
          </c:extLst>
        </c:ser>
        <c:ser>
          <c:idx val="12"/>
          <c:order val="12"/>
          <c:tx>
            <c:strRef>
              <c:f>'DCFROR (MFSP)'!$L$19</c:f>
              <c:strCache>
                <c:ptCount val="1"/>
                <c:pt idx="0">
                  <c:v>Conversion Energy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(MFSP)'!$M$19</c:f>
              <c:numCache>
                <c:formatCode>_("$"* #,##0.00_);_("$"* \(#,##0.00\);_("$"* "-"??_);_(@_)</c:formatCode>
                <c:ptCount val="1"/>
                <c:pt idx="0">
                  <c:v>8.8150689755006312E-2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311-465B-9C3E-6CB4F3C1CE37}"/>
            </c:ext>
          </c:extLst>
        </c:ser>
        <c:ser>
          <c:idx val="13"/>
          <c:order val="13"/>
          <c:tx>
            <c:strRef>
              <c:f>'DCFROR (MFSP)'!$L$20</c:f>
              <c:strCache>
                <c:ptCount val="1"/>
                <c:pt idx="0">
                  <c:v>Conversion Natural Gas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(MFSP)'!$M$20</c:f>
              <c:numCache>
                <c:formatCode>_("$"* #,##0.00_);_("$"* \(#,##0.00\);_("$"* "-"??_);_(@_)</c:formatCode>
                <c:ptCount val="1"/>
                <c:pt idx="0">
                  <c:v>0.37258425532129752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311-465B-9C3E-6CB4F3C1CE37}"/>
            </c:ext>
          </c:extLst>
        </c:ser>
        <c:ser>
          <c:idx val="14"/>
          <c:order val="14"/>
          <c:tx>
            <c:strRef>
              <c:f>'DCFROR (MFSP)'!$L$21</c:f>
              <c:strCache>
                <c:ptCount val="1"/>
                <c:pt idx="0">
                  <c:v>Conversion Labor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(MFSP)'!$M$21</c:f>
              <c:numCache>
                <c:formatCode>_("$"* #,##0.00_);_("$"* \(#,##0.00\);_("$"* "-"??_);_(@_)</c:formatCode>
                <c:ptCount val="1"/>
                <c:pt idx="0">
                  <c:v>0.12225953759517107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311-465B-9C3E-6CB4F3C1CE37}"/>
            </c:ext>
          </c:extLst>
        </c:ser>
        <c:ser>
          <c:idx val="15"/>
          <c:order val="15"/>
          <c:tx>
            <c:strRef>
              <c:f>'DCFROR (MFSP)'!$L$22</c:f>
              <c:strCache>
                <c:ptCount val="1"/>
                <c:pt idx="0">
                  <c:v>Conversion Maintenance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(MFSP)'!$M$22</c:f>
              <c:numCache>
                <c:formatCode>_("$"* #,##0.00_);_("$"* \(#,##0.00\);_("$"* "-"??_);_(@_)</c:formatCode>
                <c:ptCount val="1"/>
                <c:pt idx="0">
                  <c:v>0.79338978703245222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311-465B-9C3E-6CB4F3C1CE37}"/>
            </c:ext>
          </c:extLst>
        </c:ser>
        <c:ser>
          <c:idx val="16"/>
          <c:order val="16"/>
          <c:tx>
            <c:strRef>
              <c:f>'DCFROR (MFSP)'!$L$23</c:f>
              <c:strCache>
                <c:ptCount val="1"/>
                <c:pt idx="0">
                  <c:v>Conversion Other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(MFSP)'!$M$23</c:f>
              <c:numCache>
                <c:formatCode>_("$"* #,##0.00_);_("$"* \(#,##0.00\);_("$"* "-"??_);_(@_)</c:formatCode>
                <c:ptCount val="1"/>
                <c:pt idx="0">
                  <c:v>0.36131746005399545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311-465B-9C3E-6CB4F3C1CE37}"/>
            </c:ext>
          </c:extLst>
        </c:ser>
        <c:ser>
          <c:idx val="17"/>
          <c:order val="17"/>
          <c:tx>
            <c:strRef>
              <c:f>'DCFROR (MFSP)'!$L$24</c:f>
              <c:strCache>
                <c:ptCount val="1"/>
                <c:pt idx="0">
                  <c:v>Taxes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Portion of MFSP</c:v>
              </c:pt>
            </c:strLit>
          </c:cat>
          <c:val>
            <c:numRef>
              <c:f>'DCFROR (MFSP)'!$M$24</c:f>
              <c:numCache>
                <c:formatCode>_("$"* #,##0.00_);_("$"* \(#,##0.00\);_("$"* "-"??_);_(@_)</c:formatCode>
                <c:ptCount val="1"/>
                <c:pt idx="0">
                  <c:v>1.3319736091329359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311-465B-9C3E-6CB4F3C1C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118692800"/>
        <c:axId val="1417789088"/>
      </c:barChart>
      <c:barChart>
        <c:barDir val="col"/>
        <c:grouping val="stacked"/>
        <c:varyColors val="0"/>
        <c:ser>
          <c:idx val="18"/>
          <c:order val="18"/>
          <c:tx>
            <c:strRef>
              <c:f>'DCFROR (MFSP)'!$L$25</c:f>
              <c:strCache>
                <c:ptCount val="1"/>
                <c:pt idx="0">
                  <c:v>Net</c:v>
                </c:pt>
              </c:strCache>
            </c:strRef>
          </c:tx>
          <c:spPr>
            <a:solidFill>
              <a:schemeClr val="bg1"/>
            </a:solidFill>
            <a:ln w="19050"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Portion of MLSP</c:v>
              </c:pt>
            </c:strLit>
          </c:cat>
          <c:val>
            <c:numRef>
              <c:f>'DCFROR (MFSP)'!$M$25</c:f>
              <c:numCache>
                <c:formatCode>_("$"* #,##0.00_);_("$"* \(#,##0.00\);_("$"* "-"??_);_(@_)</c:formatCode>
                <c:ptCount val="1"/>
                <c:pt idx="0">
                  <c:v>10.475205938321354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311-465B-9C3E-6CB4F3C1C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9"/>
        <c:overlap val="100"/>
        <c:axId val="1612695808"/>
        <c:axId val="914421136"/>
      </c:barChart>
      <c:catAx>
        <c:axId val="1118692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7789088"/>
        <c:crosses val="autoZero"/>
        <c:auto val="1"/>
        <c:lblAlgn val="ctr"/>
        <c:lblOffset val="100"/>
        <c:noMultiLvlLbl val="0"/>
      </c:catAx>
      <c:valAx>
        <c:axId val="14177890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ysClr val="windowText" lastClr="000000"/>
                    </a:solidFill>
                  </a:rPr>
                  <a:t>Minimum Lipid</a:t>
                </a:r>
                <a:r>
                  <a:rPr lang="en-US" sz="1800" baseline="0">
                    <a:solidFill>
                      <a:sysClr val="windowText" lastClr="000000"/>
                    </a:solidFill>
                  </a:rPr>
                  <a:t> Selling Price ($/kg lipid)</a:t>
                </a:r>
                <a:endParaRPr lang="en-US" sz="18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6249544381008313E-2"/>
              <c:y val="0.112739348057269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_);_(@_)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692800"/>
        <c:crosses val="autoZero"/>
        <c:crossBetween val="between"/>
      </c:valAx>
      <c:valAx>
        <c:axId val="914421136"/>
        <c:scaling>
          <c:orientation val="minMax"/>
          <c:max val="35"/>
          <c:min val="-15"/>
        </c:scaling>
        <c:delete val="1"/>
        <c:axPos val="r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1612695808"/>
        <c:crosses val="max"/>
        <c:crossBetween val="between"/>
      </c:valAx>
      <c:catAx>
        <c:axId val="1612695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4421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2818898386642699"/>
          <c:y val="8.9891463296178642E-2"/>
          <c:w val="0.43884327346439189"/>
          <c:h val="0.548479195468522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System Global</a:t>
            </a:r>
            <a:r>
              <a:rPr lang="en-US" b="1" baseline="0">
                <a:solidFill>
                  <a:sysClr val="windowText" lastClr="000000"/>
                </a:solidFill>
              </a:rPr>
              <a:t> Warming Potential (g CO2-eq/MJ Fuel)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'LCA Outputs'!$A$76</c:f>
              <c:strCache>
                <c:ptCount val="1"/>
                <c:pt idx="0">
                  <c:v>CO2 Uptake (Biomass Growth)</c:v>
                </c:pt>
              </c:strCache>
            </c:strRef>
          </c:tx>
          <c:spPr>
            <a:solidFill>
              <a:srgbClr val="9F5FCF"/>
            </a:solidFill>
            <a:ln>
              <a:noFill/>
            </a:ln>
            <a:effectLst/>
          </c:spPr>
          <c:invertIfNegative val="0"/>
          <c:val>
            <c:numRef>
              <c:f>'LCA Outputs'!$H$76</c:f>
              <c:numCache>
                <c:formatCode>0.00E+00</c:formatCode>
                <c:ptCount val="1"/>
                <c:pt idx="0">
                  <c:v>-127.35198365776529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E2-4560-9602-00FDC2149020}"/>
            </c:ext>
          </c:extLst>
        </c:ser>
        <c:ser>
          <c:idx val="1"/>
          <c:order val="1"/>
          <c:tx>
            <c:strRef>
              <c:f>'LCA Outputs'!$A$77</c:f>
              <c:strCache>
                <c:ptCount val="1"/>
                <c:pt idx="0">
                  <c:v>Cultivation Consumables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Outputs'!$H$77</c:f>
              <c:numCache>
                <c:formatCode>0.00E+00</c:formatCode>
                <c:ptCount val="1"/>
                <c:pt idx="0">
                  <c:v>8.4675891901143459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E2-4560-9602-00FDC2149020}"/>
            </c:ext>
          </c:extLst>
        </c:ser>
        <c:ser>
          <c:idx val="2"/>
          <c:order val="2"/>
          <c:tx>
            <c:strRef>
              <c:f>'LCA Outputs'!$A$78</c:f>
              <c:strCache>
                <c:ptCount val="1"/>
                <c:pt idx="0">
                  <c:v>Cultivation Electricity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Outputs'!$H$78</c:f>
              <c:numCache>
                <c:formatCode>0.00E+00</c:formatCode>
                <c:ptCount val="1"/>
                <c:pt idx="0">
                  <c:v>29.981590997219502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E2-4560-9602-00FDC2149020}"/>
            </c:ext>
          </c:extLst>
        </c:ser>
        <c:ser>
          <c:idx val="3"/>
          <c:order val="3"/>
          <c:tx>
            <c:strRef>
              <c:f>'LCA Outputs'!$A$79</c:f>
              <c:strCache>
                <c:ptCount val="1"/>
                <c:pt idx="0">
                  <c:v>Conversion Consumables 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Outputs'!$H$79</c:f>
              <c:numCache>
                <c:formatCode>0.00E+00</c:formatCode>
                <c:ptCount val="1"/>
                <c:pt idx="0">
                  <c:v>16.26674462571486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E2-4560-9602-00FDC2149020}"/>
            </c:ext>
          </c:extLst>
        </c:ser>
        <c:ser>
          <c:idx val="4"/>
          <c:order val="4"/>
          <c:tx>
            <c:strRef>
              <c:f>'LCA Outputs'!$A$80</c:f>
              <c:strCache>
                <c:ptCount val="1"/>
                <c:pt idx="0">
                  <c:v>Conversion Electricity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Outputs'!$H$80</c:f>
              <c:numCache>
                <c:formatCode>0.00E+00</c:formatCode>
                <c:ptCount val="1"/>
                <c:pt idx="0">
                  <c:v>33.458048207959969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E2-4560-9602-00FDC2149020}"/>
            </c:ext>
          </c:extLst>
        </c:ser>
        <c:ser>
          <c:idx val="5"/>
          <c:order val="5"/>
          <c:tx>
            <c:strRef>
              <c:f>'LCA Outputs'!$A$81</c:f>
              <c:strCache>
                <c:ptCount val="1"/>
                <c:pt idx="0">
                  <c:v>Conversion Direct Emissions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Outputs'!$H$81</c:f>
              <c:numCache>
                <c:formatCode>0.00E+00</c:formatCode>
                <c:ptCount val="1"/>
                <c:pt idx="0">
                  <c:v>136.87788159556257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E2-4560-9602-00FDC2149020}"/>
            </c:ext>
          </c:extLst>
        </c:ser>
        <c:ser>
          <c:idx val="6"/>
          <c:order val="6"/>
          <c:tx>
            <c:strRef>
              <c:f>'LCA Outputs'!$A$82</c:f>
              <c:strCache>
                <c:ptCount val="1"/>
                <c:pt idx="0">
                  <c:v>Co-Product Displacement Credits</c:v>
                </c:pt>
              </c:strCache>
            </c:strRef>
          </c:tx>
          <c:spPr>
            <a:solidFill>
              <a:srgbClr val="D6BCEA"/>
            </a:solidFill>
            <a:ln>
              <a:noFill/>
            </a:ln>
            <a:effectLst/>
          </c:spPr>
          <c:invertIfNegative val="0"/>
          <c:val>
            <c:numRef>
              <c:f>'LCA Outputs'!$H$82</c:f>
              <c:numCache>
                <c:formatCode>0.00E+00</c:formatCode>
                <c:ptCount val="1"/>
                <c:pt idx="0">
                  <c:v>-31.356518945701314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E2-4560-9602-00FDC2149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barChart>
        <c:barDir val="col"/>
        <c:grouping val="stacked"/>
        <c:varyColors val="0"/>
        <c:ser>
          <c:idx val="7"/>
          <c:order val="7"/>
          <c:tx>
            <c:strRef>
              <c:f>'LCA Outputs'!$A$83</c:f>
              <c:strCache>
                <c:ptCount val="1"/>
                <c:pt idx="0">
                  <c:v>Net Emissions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FF0000"/>
              </a:solidFill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'LCA Outputs'!$H$83</c:f>
              <c:numCache>
                <c:formatCode>0.00E+00</c:formatCode>
                <c:ptCount val="1"/>
                <c:pt idx="0">
                  <c:v>66.343352013104663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E2-4560-9602-00FDC2149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2"/>
        <c:overlap val="100"/>
        <c:axId val="1497994352"/>
        <c:axId val="1257887248"/>
      </c:barChart>
      <c:catAx>
        <c:axId val="9541378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W2W Global Warming Potential (g CO2-eq/MJ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Fuel)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1482602952385172E-2"/>
              <c:y val="8.58833302589297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inorUnit val="25"/>
      </c:valAx>
      <c:valAx>
        <c:axId val="1257887248"/>
        <c:scaling>
          <c:orientation val="minMax"/>
          <c:max val="200"/>
          <c:min val="-200"/>
        </c:scaling>
        <c:delete val="1"/>
        <c:axPos val="r"/>
        <c:numFmt formatCode="0.00E+00" sourceLinked="1"/>
        <c:majorTickMark val="out"/>
        <c:minorTickMark val="none"/>
        <c:tickLblPos val="nextTo"/>
        <c:crossAx val="1497994352"/>
        <c:crosses val="max"/>
        <c:crossBetween val="between"/>
      </c:valAx>
      <c:catAx>
        <c:axId val="1497994352"/>
        <c:scaling>
          <c:orientation val="minMax"/>
        </c:scaling>
        <c:delete val="1"/>
        <c:axPos val="b"/>
        <c:majorTickMark val="out"/>
        <c:minorTickMark val="none"/>
        <c:tickLblPos val="nextTo"/>
        <c:crossAx val="125788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8355203020557478"/>
          <c:y val="0.10626168711020448"/>
          <c:w val="0.39118624329917784"/>
          <c:h val="0.337083362402691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TRACI</a:t>
            </a:r>
            <a:r>
              <a:rPr lang="en-US" b="1" baseline="0">
                <a:solidFill>
                  <a:sysClr val="windowText" lastClr="000000"/>
                </a:solidFill>
              </a:rPr>
              <a:t> Impacts for System Burdens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2087334967733927"/>
          <c:y val="2.0389803813696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92175833094411E-2"/>
          <c:y val="9.1807101998614804E-2"/>
          <c:w val="0.65229310785931571"/>
          <c:h val="0.64623438409218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'LCA Outputs'!$B$104</c:f>
              <c:strCache>
                <c:ptCount val="1"/>
                <c:pt idx="0">
                  <c:v>Ammonia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Outputs'!$C$104:$L$104</c:f>
              <c:numCache>
                <c:formatCode>0.00%</c:formatCode>
                <c:ptCount val="10"/>
                <c:pt idx="0">
                  <c:v>3.9773906476651558E-3</c:v>
                </c:pt>
                <c:pt idx="1">
                  <c:v>6.1796863255950199E-3</c:v>
                </c:pt>
                <c:pt idx="2">
                  <c:v>5.2918151947599794E-2</c:v>
                </c:pt>
                <c:pt idx="3">
                  <c:v>2.7026366144223768E-2</c:v>
                </c:pt>
                <c:pt idx="4">
                  <c:v>3.9759201891796443E-2</c:v>
                </c:pt>
                <c:pt idx="5">
                  <c:v>2.1643957343803602E-2</c:v>
                </c:pt>
                <c:pt idx="6">
                  <c:v>1.9500714588770039E-2</c:v>
                </c:pt>
                <c:pt idx="7">
                  <c:v>3.7966290798444401E-2</c:v>
                </c:pt>
                <c:pt idx="8">
                  <c:v>6.9616168175000333E-3</c:v>
                </c:pt>
                <c:pt idx="9">
                  <c:v>5.6874509990425252E-2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17-44CA-9569-E054F678984A}"/>
            </c:ext>
          </c:extLst>
        </c:ser>
        <c:ser>
          <c:idx val="1"/>
          <c:order val="1"/>
          <c:tx>
            <c:strRef>
              <c:f>'LCA Outputs'!$B$105</c:f>
              <c:strCache>
                <c:ptCount val="1"/>
                <c:pt idx="0">
                  <c:v>Diammonium Phosphate (DAP)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Outputs'!$C$105:$L$105</c:f>
              <c:numCache>
                <c:formatCode>0.00%</c:formatCode>
                <c:ptCount val="10"/>
                <c:pt idx="0">
                  <c:v>1.5396084259524085E-2</c:v>
                </c:pt>
                <c:pt idx="1">
                  <c:v>2.0537603345001942E-2</c:v>
                </c:pt>
                <c:pt idx="2">
                  <c:v>0.21723152575427698</c:v>
                </c:pt>
                <c:pt idx="3">
                  <c:v>0.14109913323401116</c:v>
                </c:pt>
                <c:pt idx="4">
                  <c:v>4.6772243502035418E-2</c:v>
                </c:pt>
                <c:pt idx="5">
                  <c:v>6.9189244927560399E-3</c:v>
                </c:pt>
                <c:pt idx="6">
                  <c:v>1.9217606606149414E-2</c:v>
                </c:pt>
                <c:pt idx="7">
                  <c:v>1.7766457181126384E-2</c:v>
                </c:pt>
                <c:pt idx="8">
                  <c:v>4.0837728641159858E-2</c:v>
                </c:pt>
                <c:pt idx="9">
                  <c:v>1.3495084058756875E-2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17-44CA-9569-E054F678984A}"/>
            </c:ext>
          </c:extLst>
        </c:ser>
        <c:ser>
          <c:idx val="2"/>
          <c:order val="2"/>
          <c:tx>
            <c:strRef>
              <c:f>'LCA Outputs'!$B$106</c:f>
              <c:strCache>
                <c:ptCount val="1"/>
                <c:pt idx="0">
                  <c:v>Process Water (Cultivation &amp; Dewatering)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Outputs'!$C$106:$L$106</c:f>
              <c:numCache>
                <c:formatCode>0.00%</c:formatCode>
                <c:ptCount val="10"/>
                <c:pt idx="0">
                  <c:v>2.7489188765520284E-2</c:v>
                </c:pt>
                <c:pt idx="1">
                  <c:v>1.0390665944260665E-2</c:v>
                </c:pt>
                <c:pt idx="2">
                  <c:v>4.6694073229007309E-2</c:v>
                </c:pt>
                <c:pt idx="3">
                  <c:v>4.4861938565570636E-2</c:v>
                </c:pt>
                <c:pt idx="4">
                  <c:v>4.8511535821868776E-2</c:v>
                </c:pt>
                <c:pt idx="5">
                  <c:v>9.0621766395896693E-3</c:v>
                </c:pt>
                <c:pt idx="6">
                  <c:v>1.6233038520957092E-2</c:v>
                </c:pt>
                <c:pt idx="7">
                  <c:v>0.10296407150961326</c:v>
                </c:pt>
                <c:pt idx="8">
                  <c:v>4.1337679640697719E-2</c:v>
                </c:pt>
                <c:pt idx="9">
                  <c:v>1.1039034692754395E-2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17-44CA-9569-E054F678984A}"/>
            </c:ext>
          </c:extLst>
        </c:ser>
        <c:ser>
          <c:idx val="3"/>
          <c:order val="3"/>
          <c:tx>
            <c:strRef>
              <c:f>'LCA Outputs'!$B$108</c:f>
              <c:strCache>
                <c:ptCount val="1"/>
                <c:pt idx="0">
                  <c:v>Electricity (Cultivation)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Outputs'!$C$108:$L$108</c:f>
              <c:numCache>
                <c:formatCode>0.00%</c:formatCode>
                <c:ptCount val="10"/>
                <c:pt idx="0">
                  <c:v>0.30059045045752059</c:v>
                </c:pt>
                <c:pt idx="1">
                  <c:v>0.18944935243307259</c:v>
                </c:pt>
                <c:pt idx="2">
                  <c:v>0.20414666128349224</c:v>
                </c:pt>
                <c:pt idx="3">
                  <c:v>0.25522624872111177</c:v>
                </c:pt>
                <c:pt idx="4">
                  <c:v>0.2454667329839389</c:v>
                </c:pt>
                <c:pt idx="5">
                  <c:v>9.859371906149092E-2</c:v>
                </c:pt>
                <c:pt idx="6">
                  <c:v>0.29203979263747676</c:v>
                </c:pt>
                <c:pt idx="7">
                  <c:v>0.19214066360714668</c:v>
                </c:pt>
                <c:pt idx="8">
                  <c:v>0.29034779613719552</c:v>
                </c:pt>
                <c:pt idx="9">
                  <c:v>0.16901960404927338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17-44CA-9569-E054F678984A}"/>
            </c:ext>
          </c:extLst>
        </c:ser>
        <c:ser>
          <c:idx val="4"/>
          <c:order val="4"/>
          <c:tx>
            <c:strRef>
              <c:f>'LCA Outputs'!$B$109</c:f>
              <c:strCache>
                <c:ptCount val="1"/>
                <c:pt idx="0">
                  <c:v>Electricity (Dewatering)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Outputs'!$C$109:$L$109</c:f>
              <c:numCache>
                <c:formatCode>0.00%</c:formatCode>
                <c:ptCount val="10"/>
                <c:pt idx="0">
                  <c:v>0.10532173428471163</c:v>
                </c:pt>
                <c:pt idx="1">
                  <c:v>6.6379801244506029E-2</c:v>
                </c:pt>
                <c:pt idx="2">
                  <c:v>7.1529485990272756E-2</c:v>
                </c:pt>
                <c:pt idx="3">
                  <c:v>8.9426896660802113E-2</c:v>
                </c:pt>
                <c:pt idx="4">
                  <c:v>8.6007329866003887E-2</c:v>
                </c:pt>
                <c:pt idx="5">
                  <c:v>3.4545546824027697E-2</c:v>
                </c:pt>
                <c:pt idx="6">
                  <c:v>0.10232573055434888</c:v>
                </c:pt>
                <c:pt idx="7">
                  <c:v>6.7322790484256906E-2</c:v>
                </c:pt>
                <c:pt idx="8">
                  <c:v>0.10173288402332292</c:v>
                </c:pt>
                <c:pt idx="9">
                  <c:v>5.9221568082052027E-2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17-44CA-9569-E054F678984A}"/>
            </c:ext>
          </c:extLst>
        </c:ser>
        <c:ser>
          <c:idx val="5"/>
          <c:order val="5"/>
          <c:tx>
            <c:strRef>
              <c:f>'LCA Outputs'!$B$110</c:f>
              <c:strCache>
                <c:ptCount val="1"/>
                <c:pt idx="0">
                  <c:v>Electricity (Storage)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Outputs'!$C$110:$L$110</c:f>
              <c:numCache>
                <c:formatCode>0.00%</c:formatCode>
                <c:ptCount val="10"/>
                <c:pt idx="0">
                  <c:v>2.4861855367375798E-4</c:v>
                </c:pt>
                <c:pt idx="1">
                  <c:v>1.5669368047005472E-4</c:v>
                </c:pt>
                <c:pt idx="2">
                  <c:v>1.6884983401294391E-4</c:v>
                </c:pt>
                <c:pt idx="3">
                  <c:v>2.1109779342637147E-4</c:v>
                </c:pt>
                <c:pt idx="4">
                  <c:v>2.0302569172307703E-4</c:v>
                </c:pt>
                <c:pt idx="5">
                  <c:v>8.1546928044704325E-5</c:v>
                </c:pt>
                <c:pt idx="6">
                  <c:v>2.4154629912627375E-4</c:v>
                </c:pt>
                <c:pt idx="7">
                  <c:v>1.5891966566208555E-4</c:v>
                </c:pt>
                <c:pt idx="8">
                  <c:v>2.4014684773957572E-4</c:v>
                </c:pt>
                <c:pt idx="9">
                  <c:v>1.3979622252563892E-4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17-44CA-9569-E054F678984A}"/>
            </c:ext>
          </c:extLst>
        </c:ser>
        <c:ser>
          <c:idx val="6"/>
          <c:order val="6"/>
          <c:tx>
            <c:strRef>
              <c:f>'LCA Outputs'!$B$111</c:f>
              <c:strCache>
                <c:ptCount val="1"/>
                <c:pt idx="0">
                  <c:v>Natural Gas (LE, HEFA &amp; AD)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Outputs'!$C$111:$L$111</c:f>
              <c:numCache>
                <c:formatCode>0.00%</c:formatCode>
                <c:ptCount val="10"/>
                <c:pt idx="0">
                  <c:v>6.8205952883590949E-3</c:v>
                </c:pt>
                <c:pt idx="1">
                  <c:v>7.8089090329079057E-3</c:v>
                </c:pt>
                <c:pt idx="2">
                  <c:v>3.1305607789031104E-2</c:v>
                </c:pt>
                <c:pt idx="3">
                  <c:v>2.1679838116846109E-2</c:v>
                </c:pt>
                <c:pt idx="4">
                  <c:v>8.2716959179222713E-2</c:v>
                </c:pt>
                <c:pt idx="5">
                  <c:v>1.8316684222806856E-2</c:v>
                </c:pt>
                <c:pt idx="6">
                  <c:v>2.6531063676565016E-2</c:v>
                </c:pt>
                <c:pt idx="7">
                  <c:v>5.5619944054590142E-2</c:v>
                </c:pt>
                <c:pt idx="8">
                  <c:v>9.3328513849508885E-3</c:v>
                </c:pt>
                <c:pt idx="9">
                  <c:v>0.2714043951775284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017-44CA-9569-E054F678984A}"/>
            </c:ext>
          </c:extLst>
        </c:ser>
        <c:ser>
          <c:idx val="7"/>
          <c:order val="7"/>
          <c:tx>
            <c:strRef>
              <c:f>'LCA Outputs'!$B$112</c:f>
              <c:strCache>
                <c:ptCount val="1"/>
                <c:pt idx="0">
                  <c:v>Hydrogen (LE, HEFA &amp; AD)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Outputs'!$C$112:$L$112</c:f>
              <c:numCache>
                <c:formatCode>0.00%</c:formatCode>
                <c:ptCount val="10"/>
                <c:pt idx="0">
                  <c:v>7.5280951523103911E-3</c:v>
                </c:pt>
                <c:pt idx="1">
                  <c:v>8.7569316630035313E-3</c:v>
                </c:pt>
                <c:pt idx="2">
                  <c:v>6.4162310582046925E-2</c:v>
                </c:pt>
                <c:pt idx="3">
                  <c:v>3.2710821490977635E-2</c:v>
                </c:pt>
                <c:pt idx="4">
                  <c:v>7.7026716547731619E-2</c:v>
                </c:pt>
                <c:pt idx="5">
                  <c:v>5.3275628981804234E-2</c:v>
                </c:pt>
                <c:pt idx="6">
                  <c:v>2.2631414785286446E-2</c:v>
                </c:pt>
                <c:pt idx="7">
                  <c:v>0.22811318152470092</c:v>
                </c:pt>
                <c:pt idx="8">
                  <c:v>8.9828327448241985E-3</c:v>
                </c:pt>
                <c:pt idx="9">
                  <c:v>0.15950853572626503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17-44CA-9569-E054F678984A}"/>
            </c:ext>
          </c:extLst>
        </c:ser>
        <c:ser>
          <c:idx val="8"/>
          <c:order val="8"/>
          <c:tx>
            <c:strRef>
              <c:f>'LCA Outputs'!$B$113</c:f>
              <c:strCache>
                <c:ptCount val="1"/>
                <c:pt idx="0">
                  <c:v>Process Water(LE, HEFA &amp; AD)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Outputs'!$C$113:$L$113</c:f>
              <c:numCache>
                <c:formatCode>0.00%</c:formatCode>
                <c:ptCount val="10"/>
                <c:pt idx="0">
                  <c:v>5.9924538010300515E-4</c:v>
                </c:pt>
                <c:pt idx="1">
                  <c:v>2.2650936033084441E-4</c:v>
                </c:pt>
                <c:pt idx="2">
                  <c:v>1.0178986327807134E-3</c:v>
                </c:pt>
                <c:pt idx="3">
                  <c:v>9.7795935912095024E-4</c:v>
                </c:pt>
                <c:pt idx="4">
                  <c:v>1.0575180654082898E-3</c:v>
                </c:pt>
                <c:pt idx="5">
                  <c:v>1.9754920857333283E-4</c:v>
                </c:pt>
                <c:pt idx="6">
                  <c:v>3.5386905818475675E-4</c:v>
                </c:pt>
                <c:pt idx="7">
                  <c:v>2.2445458356385732E-3</c:v>
                </c:pt>
                <c:pt idx="8">
                  <c:v>9.0113294212366762E-4</c:v>
                </c:pt>
                <c:pt idx="9">
                  <c:v>2.4064335244142172E-4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017-44CA-9569-E054F678984A}"/>
            </c:ext>
          </c:extLst>
        </c:ser>
        <c:ser>
          <c:idx val="9"/>
          <c:order val="9"/>
          <c:tx>
            <c:strRef>
              <c:f>'LCA Outputs'!$B$114</c:f>
              <c:strCache>
                <c:ptCount val="1"/>
                <c:pt idx="0">
                  <c:v>Hexane (LE, HEFA &amp; AD)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Outputs'!$C$114:$L$114</c:f>
              <c:numCache>
                <c:formatCode>0.00%</c:formatCode>
                <c:ptCount val="10"/>
                <c:pt idx="0">
                  <c:v>3.9837883468016088E-4</c:v>
                </c:pt>
                <c:pt idx="1">
                  <c:v>5.8204882556966769E-4</c:v>
                </c:pt>
                <c:pt idx="2">
                  <c:v>2.9953664326791852E-3</c:v>
                </c:pt>
                <c:pt idx="3">
                  <c:v>1.9273925619666642E-3</c:v>
                </c:pt>
                <c:pt idx="4">
                  <c:v>2.3426746604873405E-3</c:v>
                </c:pt>
                <c:pt idx="5">
                  <c:v>4.9012236378658534E-4</c:v>
                </c:pt>
                <c:pt idx="6">
                  <c:v>1.2080377555031374E-3</c:v>
                </c:pt>
                <c:pt idx="7">
                  <c:v>5.9767529785754326E-3</c:v>
                </c:pt>
                <c:pt idx="8">
                  <c:v>1.0404707889228092E-3</c:v>
                </c:pt>
                <c:pt idx="9">
                  <c:v>4.1943882367141442E-3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017-44CA-9569-E054F678984A}"/>
            </c:ext>
          </c:extLst>
        </c:ser>
        <c:ser>
          <c:idx val="10"/>
          <c:order val="10"/>
          <c:tx>
            <c:strRef>
              <c:f>'LCA Outputs'!$B$115</c:f>
              <c:strCache>
                <c:ptCount val="1"/>
                <c:pt idx="0">
                  <c:v>Electricity (LE, HEFA &amp; AD)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Outputs'!$C$115:$L$115</c:f>
              <c:numCache>
                <c:formatCode>0.00%</c:formatCode>
                <c:ptCount val="10"/>
                <c:pt idx="0">
                  <c:v>0.45325639116744809</c:v>
                </c:pt>
                <c:pt idx="1">
                  <c:v>0.28566818959858975</c:v>
                </c:pt>
                <c:pt idx="2">
                  <c:v>0.30783006852480005</c:v>
                </c:pt>
                <c:pt idx="3">
                  <c:v>0.38485230735194276</c:v>
                </c:pt>
                <c:pt idx="4">
                  <c:v>0.3701360617897837</c:v>
                </c:pt>
                <c:pt idx="5">
                  <c:v>0.14866817367474541</c:v>
                </c:pt>
                <c:pt idx="6">
                  <c:v>0.44036296657687385</c:v>
                </c:pt>
                <c:pt idx="7">
                  <c:v>0.28972638236024517</c:v>
                </c:pt>
                <c:pt idx="8">
                  <c:v>0.43781162728310014</c:v>
                </c:pt>
                <c:pt idx="9">
                  <c:v>0.25486244041126338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017-44CA-9569-E054F678984A}"/>
            </c:ext>
          </c:extLst>
        </c:ser>
        <c:ser>
          <c:idx val="11"/>
          <c:order val="11"/>
          <c:tx>
            <c:strRef>
              <c:f>'LCA Outputs'!$B$116</c:f>
              <c:strCache>
                <c:ptCount val="1"/>
                <c:pt idx="0">
                  <c:v>Direct CO2 Emissions (Biorefinery &amp; Fuel End Use)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Outputs'!$C$116:$L$116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0.56306816511212132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17-44CA-9569-E054F678984A}"/>
            </c:ext>
          </c:extLst>
        </c:ser>
        <c:ser>
          <c:idx val="12"/>
          <c:order val="12"/>
          <c:tx>
            <c:strRef>
              <c:f>'LCA Outputs'!$B$117</c:f>
              <c:strCache>
                <c:ptCount val="1"/>
                <c:pt idx="0">
                  <c:v>Non-CO2 GHG Emissions (Biorefinery &amp; Fuel End Use)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Outputs'!$C$117:$L$117</c:f>
              <c:numCache>
                <c:formatCode>0.00%</c:formatCode>
                <c:ptCount val="10"/>
                <c:pt idx="0">
                  <c:v>7.8373827208483765E-2</c:v>
                </c:pt>
                <c:pt idx="1">
                  <c:v>0.40386360854669201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4.5137805146449696E-2</c:v>
                </c:pt>
                <c:pt idx="6">
                  <c:v>5.9354218940758402E-2</c:v>
                </c:pt>
                <c:pt idx="7">
                  <c:v>0</c:v>
                </c:pt>
                <c:pt idx="8">
                  <c:v>6.0473232748462662E-2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12-4700-9CD0-D1394191A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catAx>
        <c:axId val="95413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%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of Impact Category by Process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5.1096136493442119E-3"/>
              <c:y val="0.107972306258064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531874867908519"/>
          <c:y val="0.23305425346827352"/>
          <c:w val="0.26087306699010099"/>
          <c:h val="0.437824297676910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System Global Warming Potential (kg CO2-eq/kg</a:t>
            </a:r>
            <a:r>
              <a:rPr lang="en-US" baseline="0"/>
              <a:t> AFDW</a:t>
            </a:r>
            <a:r>
              <a:rPr lang="en-US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47497559136492"/>
          <c:y val="8.5313135828209874E-2"/>
          <c:w val="0.40087213465623833"/>
          <c:h val="0.8893850444330382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'LCA Outputs'!$A$85</c:f>
              <c:strCache>
                <c:ptCount val="1"/>
                <c:pt idx="0">
                  <c:v>CO2 Uptake (from Biomass Growth)</c:v>
                </c:pt>
              </c:strCache>
            </c:strRef>
          </c:tx>
          <c:spPr>
            <a:solidFill>
              <a:srgbClr val="9F5FCF"/>
            </a:solidFill>
            <a:ln>
              <a:noFill/>
            </a:ln>
            <a:effectLst/>
          </c:spPr>
          <c:invertIfNegative val="0"/>
          <c:val>
            <c:numRef>
              <c:f>'LCA Outputs'!$H$85</c:f>
              <c:numCache>
                <c:formatCode>0.00E+00</c:formatCode>
                <c:ptCount val="1"/>
                <c:pt idx="0">
                  <c:v>-1.7393447311087935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37-4E8D-AED1-F0CCA118BD3B}"/>
            </c:ext>
          </c:extLst>
        </c:ser>
        <c:ser>
          <c:idx val="1"/>
          <c:order val="1"/>
          <c:tx>
            <c:strRef>
              <c:f>'LCA Outputs'!$A$86</c:f>
              <c:strCache>
                <c:ptCount val="1"/>
                <c:pt idx="0">
                  <c:v>Ammonia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>
              <a:noFill/>
            </a:ln>
            <a:effectLst/>
          </c:spPr>
          <c:invertIfNegative val="0"/>
          <c:val>
            <c:numRef>
              <c:f>'LCA Outputs'!$H$86</c:f>
              <c:numCache>
                <c:formatCode>0.00E+00</c:formatCode>
                <c:ptCount val="1"/>
                <c:pt idx="0">
                  <c:v>6.6527195758479804E-2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37-4E8D-AED1-F0CCA118BD3B}"/>
            </c:ext>
          </c:extLst>
        </c:ser>
        <c:ser>
          <c:idx val="2"/>
          <c:order val="2"/>
          <c:tx>
            <c:strRef>
              <c:f>'LCA Outputs'!$A$87</c:f>
              <c:strCache>
                <c:ptCount val="1"/>
                <c:pt idx="0">
                  <c:v>Diammonium Phosphate (DAP)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>
              <a:noFill/>
            </a:ln>
            <a:effectLst/>
          </c:spPr>
          <c:invertIfNegative val="0"/>
          <c:val>
            <c:numRef>
              <c:f>'LCA Outputs'!$H$87</c:f>
              <c:numCache>
                <c:formatCode>0.00E+00</c:formatCode>
                <c:ptCount val="1"/>
                <c:pt idx="0">
                  <c:v>2.1266750661911603E-2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37-4E8D-AED1-F0CCA118BD3B}"/>
            </c:ext>
          </c:extLst>
        </c:ser>
        <c:ser>
          <c:idx val="3"/>
          <c:order val="3"/>
          <c:tx>
            <c:strRef>
              <c:f>'LCA Outputs'!$A$88</c:f>
              <c:strCache>
                <c:ptCount val="1"/>
                <c:pt idx="0">
                  <c:v>Process Water (Cultivation &amp; Dewatering)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val>
            <c:numRef>
              <c:f>'LCA Outputs'!$H$88</c:f>
              <c:numCache>
                <c:formatCode>0.00E+00</c:formatCode>
                <c:ptCount val="1"/>
                <c:pt idx="0">
                  <c:v>2.7854481032439388E-2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37-4E8D-AED1-F0CCA118BD3B}"/>
            </c:ext>
          </c:extLst>
        </c:ser>
        <c:ser>
          <c:idx val="4"/>
          <c:order val="4"/>
          <c:tx>
            <c:strRef>
              <c:f>'LCA Outputs'!$A$89</c:f>
              <c:strCache>
                <c:ptCount val="1"/>
                <c:pt idx="0">
                  <c:v>Electricity (Cultivation)</c:v>
                </c:pt>
              </c:strCache>
            </c:strRef>
          </c:tx>
          <c:spPr>
            <a:solidFill>
              <a:srgbClr val="FFC000">
                <a:lumMod val="75000"/>
              </a:srgbClr>
            </a:solidFill>
            <a:ln>
              <a:noFill/>
            </a:ln>
            <a:effectLst/>
          </c:spPr>
          <c:invertIfNegative val="0"/>
          <c:val>
            <c:numRef>
              <c:f>'LCA Outputs'!$H$89</c:f>
              <c:numCache>
                <c:formatCode>0.00E+00</c:formatCode>
                <c:ptCount val="1"/>
                <c:pt idx="0">
                  <c:v>0.30304826166358056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37-4E8D-AED1-F0CCA118BD3B}"/>
            </c:ext>
          </c:extLst>
        </c:ser>
        <c:ser>
          <c:idx val="5"/>
          <c:order val="5"/>
          <c:tx>
            <c:strRef>
              <c:f>'LCA Outputs'!$A$90</c:f>
              <c:strCache>
                <c:ptCount val="1"/>
                <c:pt idx="0">
                  <c:v>Electricity (Dewatering)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val>
            <c:numRef>
              <c:f>'LCA Outputs'!$H$90</c:f>
              <c:numCache>
                <c:formatCode>0.00E+00</c:formatCode>
                <c:ptCount val="1"/>
                <c:pt idx="0">
                  <c:v>0.10618290914363557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37-4E8D-AED1-F0CCA118BD3B}"/>
            </c:ext>
          </c:extLst>
        </c:ser>
        <c:ser>
          <c:idx val="6"/>
          <c:order val="6"/>
          <c:tx>
            <c:strRef>
              <c:f>'LCA Outputs'!$A$91</c:f>
              <c:strCache>
                <c:ptCount val="1"/>
                <c:pt idx="0">
                  <c:v>Electricity (Storage)</c:v>
                </c:pt>
              </c:strCache>
            </c:strRef>
          </c:tx>
          <c:spPr>
            <a:solidFill>
              <a:srgbClr val="FFC000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val>
            <c:numRef>
              <c:f>'LCA Outputs'!$H$91</c:f>
              <c:numCache>
                <c:formatCode>0.00E+00</c:formatCode>
                <c:ptCount val="1"/>
                <c:pt idx="0">
                  <c:v>2.5065141089301998E-4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37-4E8D-AED1-F0CCA118B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barChart>
        <c:barDir val="col"/>
        <c:grouping val="stacked"/>
        <c:varyColors val="0"/>
        <c:ser>
          <c:idx val="7"/>
          <c:order val="7"/>
          <c:tx>
            <c:strRef>
              <c:f>'LCA Outputs'!$A$92</c:f>
              <c:strCache>
                <c:ptCount val="1"/>
                <c:pt idx="0">
                  <c:v>Net Emissions</c:v>
                </c:pt>
              </c:strCache>
            </c:strRef>
          </c:tx>
          <c:spPr>
            <a:solidFill>
              <a:schemeClr val="bg1"/>
            </a:solidFill>
            <a:ln w="15875">
              <a:solidFill>
                <a:srgbClr val="FF0000"/>
              </a:solidFill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'LCA Outputs'!$H$92</c:f>
              <c:numCache>
                <c:formatCode>0.00E+00</c:formatCode>
                <c:ptCount val="1"/>
                <c:pt idx="0">
                  <c:v>-1.2142144814378535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37-4E8D-AED1-F0CCA118B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2"/>
        <c:overlap val="100"/>
        <c:axId val="1497994352"/>
        <c:axId val="1257887248"/>
      </c:barChart>
      <c:catAx>
        <c:axId val="95413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  <c:max val="1"/>
          <c:min val="-3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C2G Global Warming</a:t>
                </a:r>
                <a:r>
                  <a:rPr lang="en-US" baseline="0"/>
                  <a:t> Potential (kg CO2-eq/kg AFDW)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482602952385172E-2"/>
              <c:y val="8.58833302589297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ajorUnit val="0.5"/>
        <c:minorUnit val="0.25"/>
      </c:valAx>
      <c:valAx>
        <c:axId val="1257887248"/>
        <c:scaling>
          <c:orientation val="minMax"/>
          <c:max val="200"/>
          <c:min val="-200"/>
        </c:scaling>
        <c:delete val="1"/>
        <c:axPos val="r"/>
        <c:numFmt formatCode="0.00E+00" sourceLinked="1"/>
        <c:majorTickMark val="out"/>
        <c:minorTickMark val="none"/>
        <c:tickLblPos val="nextTo"/>
        <c:crossAx val="1497994352"/>
        <c:crosses val="max"/>
        <c:crossBetween val="between"/>
      </c:valAx>
      <c:catAx>
        <c:axId val="1497994352"/>
        <c:scaling>
          <c:orientation val="minMax"/>
        </c:scaling>
        <c:delete val="1"/>
        <c:axPos val="b"/>
        <c:majorTickMark val="out"/>
        <c:minorTickMark val="none"/>
        <c:tickLblPos val="nextTo"/>
        <c:crossAx val="125788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2060808136380377"/>
          <c:y val="8.2362671983114311E-2"/>
          <c:w val="0.45872321434706675"/>
          <c:h val="0.3434864205115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TRACI</a:t>
            </a:r>
            <a:r>
              <a:rPr lang="en-US" b="1" baseline="0">
                <a:solidFill>
                  <a:sysClr val="windowText" lastClr="000000"/>
                </a:solidFill>
              </a:rPr>
              <a:t> Impacts for System Credits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7919322718144666"/>
          <c:y val="2.2194465344994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92175833094411E-2"/>
          <c:y val="9.1807101998614804E-2"/>
          <c:w val="0.65229310785931571"/>
          <c:h val="0.64623438409218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'LCA Outputs'!$B$123</c:f>
              <c:strCache>
                <c:ptCount val="1"/>
                <c:pt idx="0">
                  <c:v>CO2 Uptake (Biomass Growth)</c:v>
                </c:pt>
              </c:strCache>
            </c:strRef>
          </c:tx>
          <c:spPr>
            <a:solidFill>
              <a:srgbClr val="BD92DE"/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Outputs'!$C$123:$L$123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0.80242697504338745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D-4291-AE3A-27291306BA29}"/>
            </c:ext>
          </c:extLst>
        </c:ser>
        <c:ser>
          <c:idx val="1"/>
          <c:order val="1"/>
          <c:tx>
            <c:strRef>
              <c:f>'LCA Outputs'!$B$124</c:f>
              <c:strCache>
                <c:ptCount val="1"/>
                <c:pt idx="0">
                  <c:v>Ammonia Recovery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Outputs'!$C$124:$L$124</c:f>
              <c:numCache>
                <c:formatCode>0.00%</c:formatCode>
                <c:ptCount val="10"/>
                <c:pt idx="0">
                  <c:v>2.9052968688501545E-3</c:v>
                </c:pt>
                <c:pt idx="1">
                  <c:v>7.087284927475083E-3</c:v>
                </c:pt>
                <c:pt idx="2">
                  <c:v>4.8829358954633244E-2</c:v>
                </c:pt>
                <c:pt idx="3">
                  <c:v>2.1616015615658651E-2</c:v>
                </c:pt>
                <c:pt idx="4">
                  <c:v>3.3934995389390564E-2</c:v>
                </c:pt>
                <c:pt idx="5">
                  <c:v>9.0923590090189414E-3</c:v>
                </c:pt>
                <c:pt idx="6">
                  <c:v>1.4468080302952109E-2</c:v>
                </c:pt>
                <c:pt idx="7">
                  <c:v>4.1516417564724593E-2</c:v>
                </c:pt>
                <c:pt idx="8">
                  <c:v>5.2010090564964485E-3</c:v>
                </c:pt>
                <c:pt idx="9">
                  <c:v>6.8784482201445618E-2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D-4291-AE3A-27291306BA29}"/>
            </c:ext>
          </c:extLst>
        </c:ser>
        <c:ser>
          <c:idx val="2"/>
          <c:order val="2"/>
          <c:tx>
            <c:strRef>
              <c:f>'LCA Outputs'!$B$125</c:f>
              <c:strCache>
                <c:ptCount val="1"/>
                <c:pt idx="0">
                  <c:v>DAP Recovery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Outputs'!$C$125:$L$125</c:f>
              <c:numCache>
                <c:formatCode>0.00%</c:formatCode>
                <c:ptCount val="10"/>
                <c:pt idx="0">
                  <c:v>5.642818798112811E-3</c:v>
                </c:pt>
                <c:pt idx="1">
                  <c:v>1.18183481858145E-2</c:v>
                </c:pt>
                <c:pt idx="2">
                  <c:v>0.10057563048207138</c:v>
                </c:pt>
                <c:pt idx="3">
                  <c:v>5.6624697191079036E-2</c:v>
                </c:pt>
                <c:pt idx="4">
                  <c:v>2.0030504874108269E-2</c:v>
                </c:pt>
                <c:pt idx="5">
                  <c:v>1.4583845491171264E-3</c:v>
                </c:pt>
                <c:pt idx="6">
                  <c:v>7.1540709159065626E-3</c:v>
                </c:pt>
                <c:pt idx="7">
                  <c:v>9.7480128374247358E-3</c:v>
                </c:pt>
                <c:pt idx="8">
                  <c:v>1.5308499745511154E-2</c:v>
                </c:pt>
                <c:pt idx="9">
                  <c:v>8.1892090142828746E-3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D-4291-AE3A-27291306BA29}"/>
            </c:ext>
          </c:extLst>
        </c:ser>
        <c:ser>
          <c:idx val="3"/>
          <c:order val="3"/>
          <c:tx>
            <c:strRef>
              <c:f>'LCA Outputs'!$B$126</c:f>
              <c:strCache>
                <c:ptCount val="1"/>
                <c:pt idx="0">
                  <c:v>Electricity Production Credits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Outputs'!$C$126:$L$126</c:f>
              <c:numCache>
                <c:formatCode>0.00%</c:formatCode>
                <c:ptCount val="10"/>
                <c:pt idx="0">
                  <c:v>0.9914518843330371</c:v>
                </c:pt>
                <c:pt idx="1">
                  <c:v>0.98109436688671048</c:v>
                </c:pt>
                <c:pt idx="2">
                  <c:v>0.85059501056329534</c:v>
                </c:pt>
                <c:pt idx="3">
                  <c:v>0.92175928719326239</c:v>
                </c:pt>
                <c:pt idx="4">
                  <c:v>0.94603449973650111</c:v>
                </c:pt>
                <c:pt idx="5">
                  <c:v>0.18702228139847649</c:v>
                </c:pt>
                <c:pt idx="6">
                  <c:v>0.97837784878114131</c:v>
                </c:pt>
                <c:pt idx="7">
                  <c:v>0.94873556959785077</c:v>
                </c:pt>
                <c:pt idx="8">
                  <c:v>0.97949049119799236</c:v>
                </c:pt>
                <c:pt idx="9">
                  <c:v>0.9230263087842715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21-481A-93C4-0BBBB5621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catAx>
        <c:axId val="95413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%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of Impact Category by Process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5.1096136493442119E-3"/>
              <c:y val="0.107972306258064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531874867908519"/>
          <c:y val="0.23305425346827352"/>
          <c:w val="0.18185788576541792"/>
          <c:h val="0.134929685340745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Cultivation and Dewatering CAPEX</a:t>
            </a:r>
          </a:p>
        </c:rich>
      </c:tx>
      <c:layout>
        <c:manualLayout>
          <c:xMode val="edge"/>
          <c:yMode val="edge"/>
          <c:x val="0.23198327897799961"/>
          <c:y val="1.44274107171426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179812960273173"/>
          <c:y val="0.11107307559262672"/>
          <c:w val="0.46360410773895983"/>
          <c:h val="0.824211845888746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'CAPEX &amp; OPEX'!$B$11</c:f>
              <c:strCache>
                <c:ptCount val="1"/>
                <c:pt idx="0">
                  <c:v>Total ORP Capital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OPEX'!$C$11</c:f>
              <c:numCache>
                <c:formatCode>"$"#,##0</c:formatCode>
                <c:ptCount val="1"/>
                <c:pt idx="0">
                  <c:v>186575107.90229994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DB-4215-B9FC-AD8607470848}"/>
            </c:ext>
          </c:extLst>
        </c:ser>
        <c:ser>
          <c:idx val="1"/>
          <c:order val="1"/>
          <c:tx>
            <c:strRef>
              <c:f>'CAPEX &amp; OPEX'!$B$18</c:f>
              <c:strCache>
                <c:ptCount val="1"/>
                <c:pt idx="0">
                  <c:v>Total Inoculation System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OPEX'!$C$18</c:f>
              <c:numCache>
                <c:formatCode>"$"#,##0</c:formatCode>
                <c:ptCount val="1"/>
                <c:pt idx="0">
                  <c:v>16704159.340900002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DB-4215-B9FC-AD8607470848}"/>
            </c:ext>
          </c:extLst>
        </c:ser>
        <c:ser>
          <c:idx val="2"/>
          <c:order val="2"/>
          <c:tx>
            <c:strRef>
              <c:f>'CAPEX &amp; OPEX'!$B$25</c:f>
              <c:strCache>
                <c:ptCount val="1"/>
                <c:pt idx="0">
                  <c:v>Total CO2 Delivery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OPEX'!$C$25</c:f>
              <c:numCache>
                <c:formatCode>"$"#,##0</c:formatCode>
                <c:ptCount val="1"/>
                <c:pt idx="0">
                  <c:v>8716026.6747538466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DB-4215-B9FC-AD8607470848}"/>
            </c:ext>
          </c:extLst>
        </c:ser>
        <c:ser>
          <c:idx val="3"/>
          <c:order val="3"/>
          <c:tx>
            <c:strRef>
              <c:f>'CAPEX &amp; OPEX'!$B$36</c:f>
              <c:strCache>
                <c:ptCount val="1"/>
                <c:pt idx="0">
                  <c:v>Total Water Delivery and Circulation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OPEX'!$C$36</c:f>
              <c:numCache>
                <c:formatCode>"$"#,##0</c:formatCode>
                <c:ptCount val="1"/>
                <c:pt idx="0">
                  <c:v>7764208.1007153848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DB-4215-B9FC-AD8607470848}"/>
            </c:ext>
          </c:extLst>
        </c:ser>
        <c:ser>
          <c:idx val="4"/>
          <c:order val="4"/>
          <c:tx>
            <c:strRef>
              <c:f>'CAPEX &amp; OPEX'!$B$44</c:f>
              <c:strCache>
                <c:ptCount val="1"/>
                <c:pt idx="0">
                  <c:v>Total Dewatering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OPEX'!$C$44</c:f>
              <c:numCache>
                <c:formatCode>"$"#,##0</c:formatCode>
                <c:ptCount val="1"/>
                <c:pt idx="0">
                  <c:v>54031220.435130782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DB-4215-B9FC-AD8607470848}"/>
            </c:ext>
          </c:extLst>
        </c:ser>
        <c:ser>
          <c:idx val="5"/>
          <c:order val="5"/>
          <c:tx>
            <c:strRef>
              <c:f>'CAPEX &amp; OPEX'!$B$49</c:f>
              <c:strCache>
                <c:ptCount val="1"/>
                <c:pt idx="0">
                  <c:v>Total Storage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OPEX'!$C$49</c:f>
              <c:numCache>
                <c:formatCode>"$"#,##0</c:formatCode>
                <c:ptCount val="1"/>
                <c:pt idx="0">
                  <c:v>5837744.2581615392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DB-4215-B9FC-AD8607470848}"/>
            </c:ext>
          </c:extLst>
        </c:ser>
        <c:ser>
          <c:idx val="6"/>
          <c:order val="6"/>
          <c:tx>
            <c:strRef>
              <c:f>'CAPEX &amp; OPEX'!$B$53</c:f>
              <c:strCache>
                <c:ptCount val="1"/>
                <c:pt idx="0">
                  <c:v>Total Additional Direct Capital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OPEX'!$C$53</c:f>
              <c:numCache>
                <c:formatCode>"$"#,##0</c:formatCode>
                <c:ptCount val="1"/>
                <c:pt idx="0">
                  <c:v>23553214.783061542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DB-4215-B9FC-AD8607470848}"/>
            </c:ext>
          </c:extLst>
        </c:ser>
        <c:ser>
          <c:idx val="7"/>
          <c:order val="7"/>
          <c:tx>
            <c:strRef>
              <c:f>'CAPEX &amp; OPEX'!$B$59</c:f>
              <c:strCache>
                <c:ptCount val="1"/>
                <c:pt idx="0">
                  <c:v>Total Additional Indirect Capital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OPEX'!$C$59</c:f>
              <c:numCache>
                <c:formatCode>"$"#,##0</c:formatCode>
                <c:ptCount val="1"/>
                <c:pt idx="0">
                  <c:v>99372939.24014616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DB-4215-B9FC-AD8607470848}"/>
            </c:ext>
          </c:extLst>
        </c:ser>
        <c:ser>
          <c:idx val="8"/>
          <c:order val="8"/>
          <c:tx>
            <c:strRef>
              <c:f>'CAPEX &amp; OPEX'!$B$61</c:f>
              <c:strCache>
                <c:ptCount val="1"/>
                <c:pt idx="0">
                  <c:v>Land Capital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'CAPEX &amp; OPEX'!$C$61</c:f>
              <c:numCache>
                <c:formatCode>"$"#,##0</c:formatCode>
                <c:ptCount val="1"/>
                <c:pt idx="0">
                  <c:v>24042700.920000009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DB-4215-B9FC-AD8607470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1"/>
        <c:overlap val="100"/>
        <c:axId val="1535503968"/>
        <c:axId val="1535493152"/>
      </c:barChart>
      <c:catAx>
        <c:axId val="153550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493152"/>
        <c:crosses val="autoZero"/>
        <c:auto val="1"/>
        <c:lblAlgn val="ctr"/>
        <c:lblOffset val="100"/>
        <c:noMultiLvlLbl val="0"/>
      </c:catAx>
      <c:valAx>
        <c:axId val="15354931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Capital Investment</a:t>
                </a:r>
                <a:r>
                  <a:rPr lang="en-US" sz="1200" baseline="0">
                    <a:solidFill>
                      <a:sysClr val="windowText" lastClr="000000"/>
                    </a:solidFill>
                  </a:rPr>
                  <a:t> (MM USD)</a:t>
                </a:r>
                <a:endParaRPr lang="en-US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4.8470504293759403E-2"/>
              <c:y val="0.193825257549161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503968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428545218255491"/>
          <c:y val="0.33930013425822753"/>
          <c:w val="0.38241357694365868"/>
          <c:h val="0.362493806342872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Cultivation &amp; Dewatering OPEX</a:t>
            </a:r>
          </a:p>
        </c:rich>
      </c:tx>
      <c:layout>
        <c:manualLayout>
          <c:xMode val="edge"/>
          <c:yMode val="edge"/>
          <c:x val="0.27515738829479247"/>
          <c:y val="1.80790939004885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39403257516529"/>
          <c:y val="0.11175893212818694"/>
          <c:w val="0.4726670221431305"/>
          <c:h val="0.78216091181130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'CAPEX &amp; OPEX'!$G$3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OPEX'!$H$3</c:f>
              <c:numCache>
                <c:formatCode>"$"#,##0</c:formatCode>
                <c:ptCount val="1"/>
                <c:pt idx="0">
                  <c:v>5881059.5333846156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A8-4172-9E97-B3F46EE2874A}"/>
            </c:ext>
          </c:extLst>
        </c:ser>
        <c:ser>
          <c:idx val="1"/>
          <c:order val="1"/>
          <c:tx>
            <c:strRef>
              <c:f>'CAPEX &amp; OPEX'!$G$4</c:f>
              <c:strCache>
                <c:ptCount val="1"/>
                <c:pt idx="0">
                  <c:v>Ammonia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OPEX'!$H$4</c:f>
              <c:numCache>
                <c:formatCode>"$"#,##0</c:formatCode>
                <c:ptCount val="1"/>
                <c:pt idx="0">
                  <c:v>3779325.2049384615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A8-4172-9E97-B3F46EE2874A}"/>
            </c:ext>
          </c:extLst>
        </c:ser>
        <c:ser>
          <c:idx val="2"/>
          <c:order val="2"/>
          <c:tx>
            <c:strRef>
              <c:f>'CAPEX &amp; OPEX'!$G$5</c:f>
              <c:strCache>
                <c:ptCount val="1"/>
                <c:pt idx="0">
                  <c:v>DAP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OPEX'!$H$5</c:f>
              <c:numCache>
                <c:formatCode>"$"#,##0</c:formatCode>
                <c:ptCount val="1"/>
                <c:pt idx="0">
                  <c:v>1752081.3093923074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A8-4172-9E97-B3F46EE2874A}"/>
            </c:ext>
          </c:extLst>
        </c:ser>
        <c:ser>
          <c:idx val="3"/>
          <c:order val="3"/>
          <c:tx>
            <c:strRef>
              <c:f>'CAPEX &amp; OPEX'!$G$6</c:f>
              <c:strCache>
                <c:ptCount val="1"/>
                <c:pt idx="0">
                  <c:v>Cultivation CO2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OPEX'!$H$6</c:f>
              <c:numCache>
                <c:formatCode>"$"#,##0</c:formatCode>
                <c:ptCount val="1"/>
                <c:pt idx="0">
                  <c:v>19122643.015769228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A8-4172-9E97-B3F46EE2874A}"/>
            </c:ext>
          </c:extLst>
        </c:ser>
        <c:ser>
          <c:idx val="4"/>
          <c:order val="4"/>
          <c:tx>
            <c:strRef>
              <c:f>'CAPEX &amp; OPEX'!$G$7</c:f>
              <c:strCache>
                <c:ptCount val="1"/>
                <c:pt idx="0">
                  <c:v>Labor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OPEX'!$H$7</c:f>
              <c:numCache>
                <c:formatCode>"$"#,##0</c:formatCode>
                <c:ptCount val="1"/>
                <c:pt idx="0">
                  <c:v>4361224.4435999999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A8-4172-9E97-B3F46EE2874A}"/>
            </c:ext>
          </c:extLst>
        </c:ser>
        <c:ser>
          <c:idx val="5"/>
          <c:order val="5"/>
          <c:tx>
            <c:strRef>
              <c:f>'CAPEX &amp; OPEX'!$G$8</c:f>
              <c:strCache>
                <c:ptCount val="1"/>
                <c:pt idx="0">
                  <c:v>Labor Burdens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OPEX'!$H$8</c:f>
              <c:numCache>
                <c:formatCode>"$"#,##0</c:formatCode>
                <c:ptCount val="1"/>
                <c:pt idx="0">
                  <c:v>3925101.9993000007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FA8-4172-9E97-B3F46EE2874A}"/>
            </c:ext>
          </c:extLst>
        </c:ser>
        <c:ser>
          <c:idx val="6"/>
          <c:order val="6"/>
          <c:tx>
            <c:strRef>
              <c:f>'CAPEX &amp; OPEX'!$G$9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OPEX'!$H$9</c:f>
              <c:numCache>
                <c:formatCode>"$"#,##0</c:formatCode>
                <c:ptCount val="1"/>
                <c:pt idx="0">
                  <c:v>2719734.123146154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FA8-4172-9E97-B3F46EE2874A}"/>
            </c:ext>
          </c:extLst>
        </c:ser>
        <c:ser>
          <c:idx val="7"/>
          <c:order val="7"/>
          <c:tx>
            <c:strRef>
              <c:f>'CAPEX &amp; OPEX'!$G$10</c:f>
              <c:strCache>
                <c:ptCount val="1"/>
                <c:pt idx="0">
                  <c:v>Property Tax and Insurance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'CAPEX &amp; OPEX'!$H$10</c:f>
              <c:numCache>
                <c:formatCode>"$"#,##0</c:formatCode>
                <c:ptCount val="1"/>
                <c:pt idx="0">
                  <c:v>2817882.3451461536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FA8-4172-9E97-B3F46EE28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657272448"/>
        <c:axId val="1657270784"/>
      </c:barChart>
      <c:catAx>
        <c:axId val="165727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270784"/>
        <c:crosses val="autoZero"/>
        <c:auto val="1"/>
        <c:lblAlgn val="ctr"/>
        <c:lblOffset val="100"/>
        <c:noMultiLvlLbl val="0"/>
      </c:catAx>
      <c:valAx>
        <c:axId val="16572707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Operational</a:t>
                </a:r>
                <a:r>
                  <a:rPr lang="en-US" sz="1200" baseline="0">
                    <a:solidFill>
                      <a:sysClr val="windowText" lastClr="000000"/>
                    </a:solidFill>
                  </a:rPr>
                  <a:t> Expenses (MM USD/yr)</a:t>
                </a:r>
                <a:endParaRPr lang="en-US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2.9029532897383976E-2"/>
              <c:y val="0.142950351533982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272448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520133761649764"/>
          <c:y val="0.34495528034102579"/>
          <c:w val="0.33300893379959634"/>
          <c:h val="0.37363745437816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SAF Model Energy Balance (Electric)</a:t>
            </a:r>
          </a:p>
        </c:rich>
      </c:tx>
      <c:layout>
        <c:manualLayout>
          <c:xMode val="edge"/>
          <c:yMode val="edge"/>
          <c:x val="0.2503363724271308"/>
          <c:y val="2.81548552167661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86296449785882"/>
          <c:y val="0.1491804690869912"/>
          <c:w val="0.41714532393977066"/>
          <c:h val="0.757513290418040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'Process Model Outputs'!$B$32</c:f>
              <c:strCache>
                <c:ptCount val="1"/>
                <c:pt idx="0">
                  <c:v>HPH Electric Energy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Electric Energy</c:v>
              </c:pt>
            </c:strLit>
          </c:cat>
          <c:val>
            <c:numRef>
              <c:f>'Process Model Outputs'!$C$32</c:f>
              <c:numCache>
                <c:formatCode>0</c:formatCode>
                <c:ptCount val="1"/>
                <c:pt idx="0">
                  <c:v>29478733.797038458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9D-4C21-80B7-4A14CC3858D2}"/>
            </c:ext>
          </c:extLst>
        </c:ser>
        <c:ser>
          <c:idx val="1"/>
          <c:order val="1"/>
          <c:tx>
            <c:strRef>
              <c:f>'Process Model Outputs'!$B$33</c:f>
              <c:strCache>
                <c:ptCount val="1"/>
                <c:pt idx="0">
                  <c:v>WHE Electric Energy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Electric Energy</c:v>
              </c:pt>
            </c:strLit>
          </c:cat>
          <c:val>
            <c:numRef>
              <c:f>'Process Model Outputs'!$C$33</c:f>
              <c:numCache>
                <c:formatCode>0</c:formatCode>
                <c:ptCount val="1"/>
                <c:pt idx="0">
                  <c:v>36898709.202670008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9D-4C21-80B7-4A14CC3858D2}"/>
            </c:ext>
          </c:extLst>
        </c:ser>
        <c:ser>
          <c:idx val="2"/>
          <c:order val="2"/>
          <c:tx>
            <c:strRef>
              <c:f>'Process Model Outputs'!$B$34</c:f>
              <c:strCache>
                <c:ptCount val="1"/>
                <c:pt idx="0">
                  <c:v>HEFA Electric Energy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Electric Energy</c:v>
              </c:pt>
            </c:strLit>
          </c:cat>
          <c:val>
            <c:numRef>
              <c:f>'Process Model Outputs'!$C$34</c:f>
              <c:numCache>
                <c:formatCode>0</c:formatCode>
                <c:ptCount val="1"/>
                <c:pt idx="0">
                  <c:v>3013394.5848847697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9D-4C21-80B7-4A14CC3858D2}"/>
            </c:ext>
          </c:extLst>
        </c:ser>
        <c:ser>
          <c:idx val="3"/>
          <c:order val="3"/>
          <c:tx>
            <c:strRef>
              <c:f>'Process Model Outputs'!$B$35</c:f>
              <c:strCache>
                <c:ptCount val="1"/>
                <c:pt idx="0">
                  <c:v>AD Electric Energy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Electric Energy</c:v>
              </c:pt>
            </c:strLit>
          </c:cat>
          <c:val>
            <c:numRef>
              <c:f>'Process Model Outputs'!$C$35</c:f>
              <c:numCache>
                <c:formatCode>0</c:formatCode>
                <c:ptCount val="1"/>
                <c:pt idx="0">
                  <c:v>11861595.889963849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9D-4C21-80B7-4A14CC3858D2}"/>
            </c:ext>
          </c:extLst>
        </c:ser>
        <c:ser>
          <c:idx val="4"/>
          <c:order val="4"/>
          <c:tx>
            <c:strRef>
              <c:f>'Process Model Outputs'!$B$36</c:f>
              <c:strCache>
                <c:ptCount val="1"/>
                <c:pt idx="0">
                  <c:v>Biogas Cleanup Electric Energy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Electric Energy</c:v>
              </c:pt>
            </c:strLit>
          </c:cat>
          <c:val>
            <c:numRef>
              <c:f>'Process Model Outputs'!$C$36</c:f>
              <c:numCache>
                <c:formatCode>0</c:formatCode>
                <c:ptCount val="1"/>
                <c:pt idx="0">
                  <c:v>12561940.335617691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9D-4C21-80B7-4A14CC3858D2}"/>
            </c:ext>
          </c:extLst>
        </c:ser>
        <c:ser>
          <c:idx val="5"/>
          <c:order val="5"/>
          <c:tx>
            <c:strRef>
              <c:f>'Process Model Outputs'!$B$37</c:f>
              <c:strCache>
                <c:ptCount val="1"/>
                <c:pt idx="0">
                  <c:v>CHP Electricity Out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Electric Energy</c:v>
              </c:pt>
            </c:strLit>
          </c:cat>
          <c:val>
            <c:numRef>
              <c:f>'Process Model Outputs'!$C$37</c:f>
              <c:numCache>
                <c:formatCode>0</c:formatCode>
                <c:ptCount val="1"/>
                <c:pt idx="0">
                  <c:v>-83226633.163836151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59D-4C21-80B7-4A14CC385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7939872"/>
        <c:axId val="917924064"/>
      </c:barChart>
      <c:catAx>
        <c:axId val="91793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24064"/>
        <c:crosses val="autoZero"/>
        <c:auto val="1"/>
        <c:lblAlgn val="ctr"/>
        <c:lblOffset val="100"/>
        <c:noMultiLvlLbl val="0"/>
      </c:catAx>
      <c:valAx>
        <c:axId val="917924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Conversion Energy by Equipment </a:t>
                </a:r>
              </a:p>
              <a:p>
                <a:pPr>
                  <a:defRPr sz="1200">
                    <a:solidFill>
                      <a:sysClr val="windowText" lastClr="000000"/>
                    </a:solidFill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(MWh/yr)</a:t>
                </a:r>
              </a:p>
            </c:rich>
          </c:tx>
          <c:layout>
            <c:manualLayout>
              <c:xMode val="edge"/>
              <c:yMode val="edge"/>
              <c:x val="2.3391812865497075E-2"/>
              <c:y val="0.16009403528951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3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813694340838973"/>
          <c:y val="0.20754483965925341"/>
          <c:w val="0.3903715982870562"/>
          <c:h val="0.360022786337817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SAF Model Energy Balance (Thermal)</a:t>
            </a:r>
          </a:p>
        </c:rich>
      </c:tx>
      <c:layout>
        <c:manualLayout>
          <c:xMode val="edge"/>
          <c:yMode val="edge"/>
          <c:x val="0.2503363724271308"/>
          <c:y val="2.81548552167661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86296449785882"/>
          <c:y val="0.1491804690869912"/>
          <c:w val="0.41714532393977066"/>
          <c:h val="0.757513290418040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'Process Model Outputs'!$B$39</c:f>
              <c:strCache>
                <c:ptCount val="1"/>
                <c:pt idx="0">
                  <c:v>WHE Thermal Energy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Thermal Energy</c:v>
              </c:pt>
            </c:strLit>
          </c:cat>
          <c:val>
            <c:numRef>
              <c:f>'Process Model Outputs'!$C$39</c:f>
              <c:numCache>
                <c:formatCode>0</c:formatCode>
                <c:ptCount val="1"/>
                <c:pt idx="0">
                  <c:v>116162603.04543075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77-472D-AF94-F54A386416E8}"/>
            </c:ext>
          </c:extLst>
        </c:ser>
        <c:ser>
          <c:idx val="1"/>
          <c:order val="1"/>
          <c:tx>
            <c:strRef>
              <c:f>'Process Model Outputs'!$B$40</c:f>
              <c:strCache>
                <c:ptCount val="1"/>
                <c:pt idx="0">
                  <c:v>HEFA Thermal Energy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Thermal Energy</c:v>
              </c:pt>
            </c:strLit>
          </c:cat>
          <c:val>
            <c:numRef>
              <c:f>'Process Model Outputs'!$C$40</c:f>
              <c:numCache>
                <c:formatCode>0</c:formatCode>
                <c:ptCount val="1"/>
                <c:pt idx="0">
                  <c:v>78744802.974740759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77-472D-AF94-F54A386416E8}"/>
            </c:ext>
          </c:extLst>
        </c:ser>
        <c:ser>
          <c:idx val="2"/>
          <c:order val="2"/>
          <c:tx>
            <c:strRef>
              <c:f>'Process Model Outputs'!$B$41</c:f>
              <c:strCache>
                <c:ptCount val="1"/>
                <c:pt idx="0">
                  <c:v>AD Thermal Energy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Thermal Energy</c:v>
              </c:pt>
            </c:strLit>
          </c:cat>
          <c:val>
            <c:numRef>
              <c:f>'Process Model Outputs'!$C$41</c:f>
              <c:numCache>
                <c:formatCode>0</c:formatCode>
                <c:ptCount val="1"/>
                <c:pt idx="0">
                  <c:v>65897754.944238469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77-472D-AF94-F54A386416E8}"/>
            </c:ext>
          </c:extLst>
        </c:ser>
        <c:ser>
          <c:idx val="3"/>
          <c:order val="3"/>
          <c:tx>
            <c:strRef>
              <c:f>'Process Model Outputs'!$B$42</c:f>
              <c:strCache>
                <c:ptCount val="1"/>
                <c:pt idx="0">
                  <c:v>CHP Thermal Energy Out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Thermal Energy</c:v>
              </c:pt>
            </c:strLit>
          </c:cat>
          <c:val>
            <c:numRef>
              <c:f>'Process Model Outputs'!$C$42</c:f>
              <c:numCache>
                <c:formatCode>0</c:formatCode>
                <c:ptCount val="1"/>
                <c:pt idx="0">
                  <c:v>-108446825.03164616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77-472D-AF94-F54A38641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7939872"/>
        <c:axId val="917924064"/>
      </c:barChart>
      <c:catAx>
        <c:axId val="91793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24064"/>
        <c:crosses val="autoZero"/>
        <c:auto val="1"/>
        <c:lblAlgn val="ctr"/>
        <c:lblOffset val="100"/>
        <c:noMultiLvlLbl val="0"/>
      </c:catAx>
      <c:valAx>
        <c:axId val="917924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Conversion Energy by Equipment </a:t>
                </a:r>
              </a:p>
              <a:p>
                <a:pPr>
                  <a:defRPr sz="1200">
                    <a:solidFill>
                      <a:sysClr val="windowText" lastClr="000000"/>
                    </a:solidFill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(MWh/yr)</a:t>
                </a:r>
              </a:p>
            </c:rich>
          </c:tx>
          <c:layout>
            <c:manualLayout>
              <c:xMode val="edge"/>
              <c:yMode val="edge"/>
              <c:x val="2.3391812865497075E-2"/>
              <c:y val="0.16009403528951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3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936501358382829"/>
          <c:y val="0.23843286637374833"/>
          <c:w val="0.3903715982870562"/>
          <c:h val="0.250198691352946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HEFA</a:t>
            </a:r>
            <a:r>
              <a:rPr lang="en-US" b="1" baseline="0">
                <a:solidFill>
                  <a:sysClr val="windowText" lastClr="000000"/>
                </a:solidFill>
              </a:rPr>
              <a:t> Fuel Yield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7100162662326513"/>
          <c:y val="2.11901927098206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625702843518749"/>
          <c:y val="0.25339798446898859"/>
          <c:w val="0.56101098735775234"/>
          <c:h val="0.68250381467649368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0A-4904-9990-A6F9A7AABF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0A-4904-9990-A6F9A7AABFA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0A-4904-9990-A6F9A7AABFA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B0A-4904-9990-A6F9A7AABFA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B0A-4904-9990-A6F9A7AABFA7}"/>
              </c:ext>
            </c:extLst>
          </c:dPt>
          <c:dLbls>
            <c:dLbl>
              <c:idx val="0"/>
              <c:layout>
                <c:manualLayout>
                  <c:x val="2.8239422685402464E-2"/>
                  <c:y val="4.1654384332654733E-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B0A-4904-9990-A6F9A7AABFA7}"/>
                </c:ext>
              </c:extLst>
            </c:dLbl>
            <c:dLbl>
              <c:idx val="1"/>
              <c:layout>
                <c:manualLayout>
                  <c:x val="-8.1436287551863839E-4"/>
                  <c:y val="-0.1352687988798511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0A-4904-9990-A6F9A7AABFA7}"/>
                </c:ext>
              </c:extLst>
            </c:dLbl>
            <c:dLbl>
              <c:idx val="2"/>
              <c:layout>
                <c:manualLayout>
                  <c:x val="-5.5633879644829388E-2"/>
                  <c:y val="1.165487946424459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B0A-4904-9990-A6F9A7AABFA7}"/>
                </c:ext>
              </c:extLst>
            </c:dLbl>
            <c:dLbl>
              <c:idx val="3"/>
              <c:layout>
                <c:manualLayout>
                  <c:x val="-3.9796554119038575E-2"/>
                  <c:y val="-6.83203869856388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B0A-4904-9990-A6F9A7AABFA7}"/>
                </c:ext>
              </c:extLst>
            </c:dLbl>
            <c:dLbl>
              <c:idx val="4"/>
              <c:layout>
                <c:manualLayout>
                  <c:x val="4.0260969895438703E-2"/>
                  <c:y val="-3.284478430686183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B0A-4904-9990-A6F9A7AABF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'Process Model Outputs'!$B$44:$B$48</c:f>
              <c:strCache>
                <c:ptCount val="5"/>
                <c:pt idx="0">
                  <c:v>Diesel</c:v>
                </c:pt>
                <c:pt idx="1">
                  <c:v>Jet Fuel (Kerosene)</c:v>
                </c:pt>
                <c:pt idx="2">
                  <c:v>Naphtha (Gasoline)</c:v>
                </c:pt>
                <c:pt idx="3">
                  <c:v>LNG</c:v>
                </c:pt>
                <c:pt idx="4">
                  <c:v>Propane</c:v>
                </c:pt>
              </c:strCache>
            </c:strRef>
          </c:cat>
          <c:val>
            <c:numRef>
              <c:f>'Process Model Outputs'!$C$44:$C$48</c:f>
              <c:numCache>
                <c:formatCode>0</c:formatCode>
                <c:ptCount val="5"/>
                <c:pt idx="0">
                  <c:v>5027934.2635584613</c:v>
                </c:pt>
                <c:pt idx="1">
                  <c:v>11147782.637438459</c:v>
                </c:pt>
                <c:pt idx="2">
                  <c:v>1696946.7576161539</c:v>
                </c:pt>
                <c:pt idx="3">
                  <c:v>1969427.9226976922</c:v>
                </c:pt>
                <c:pt idx="4">
                  <c:v>1537991.3797915387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B0A-4904-9990-A6F9A7AAB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SAF</a:t>
            </a:r>
            <a:r>
              <a:rPr lang="en-US" b="1" baseline="0">
                <a:solidFill>
                  <a:sysClr val="windowText" lastClr="000000"/>
                </a:solidFill>
              </a:rPr>
              <a:t> Production Process</a:t>
            </a:r>
            <a:r>
              <a:rPr lang="en-US" b="1">
                <a:solidFill>
                  <a:sysClr val="windowText" lastClr="000000"/>
                </a:solidFill>
              </a:rPr>
              <a:t> CAPEX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491408223533"/>
          <c:y val="0.12245897871245523"/>
          <c:w val="0.50086322670592587"/>
          <c:h val="0.776463160168037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'CAPEX &amp; OPEX'!$A$97</c:f>
              <c:strCache>
                <c:ptCount val="1"/>
                <c:pt idx="0">
                  <c:v>Lipid Extraction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&amp; OPEX'!$A$66:$D$66</c:f>
              <c:strCache>
                <c:ptCount val="1"/>
                <c:pt idx="0">
                  <c:v>SAF Production Capital Expenses</c:v>
                </c:pt>
              </c:strCache>
            </c:strRef>
          </c:cat>
          <c:val>
            <c:numRef>
              <c:f>'CAPEX &amp; OPEX'!$B$97</c:f>
              <c:numCache>
                <c:formatCode>"$"#,##0</c:formatCode>
                <c:ptCount val="1"/>
                <c:pt idx="0">
                  <c:v>16161524.581215614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A8-4C97-8CC4-C679516B4CCE}"/>
            </c:ext>
          </c:extLst>
        </c:ser>
        <c:ser>
          <c:idx val="1"/>
          <c:order val="1"/>
          <c:tx>
            <c:strRef>
              <c:f>'CAPEX &amp; OPEX'!$A$98</c:f>
              <c:strCache>
                <c:ptCount val="1"/>
                <c:pt idx="0">
                  <c:v>HEFA Process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&amp; OPEX'!$A$66:$D$66</c:f>
              <c:strCache>
                <c:ptCount val="1"/>
                <c:pt idx="0">
                  <c:v>SAF Production Capital Expenses</c:v>
                </c:pt>
              </c:strCache>
            </c:strRef>
          </c:cat>
          <c:val>
            <c:numRef>
              <c:f>'CAPEX &amp; OPEX'!$B$98</c:f>
              <c:numCache>
                <c:formatCode>"$"#,##0</c:formatCode>
                <c:ptCount val="1"/>
                <c:pt idx="0">
                  <c:v>36625200.731641851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A8-4C97-8CC4-C679516B4CCE}"/>
            </c:ext>
          </c:extLst>
        </c:ser>
        <c:ser>
          <c:idx val="2"/>
          <c:order val="2"/>
          <c:tx>
            <c:strRef>
              <c:f>'CAPEX &amp; OPEX'!$A$99</c:f>
              <c:strCache>
                <c:ptCount val="1"/>
                <c:pt idx="0">
                  <c:v>Additional ISBL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&amp; OPEX'!$A$66:$D$66</c:f>
              <c:strCache>
                <c:ptCount val="1"/>
                <c:pt idx="0">
                  <c:v>SAF Production Capital Expenses</c:v>
                </c:pt>
              </c:strCache>
            </c:strRef>
          </c:cat>
          <c:val>
            <c:numRef>
              <c:f>'CAPEX &amp; OPEX'!$B$99</c:f>
              <c:numCache>
                <c:formatCode>"$"#,##0</c:formatCode>
                <c:ptCount val="1"/>
                <c:pt idx="0">
                  <c:v>10270516.379516847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A8-4C97-8CC4-C679516B4CCE}"/>
            </c:ext>
          </c:extLst>
        </c:ser>
        <c:ser>
          <c:idx val="3"/>
          <c:order val="3"/>
          <c:tx>
            <c:strRef>
              <c:f>'CAPEX &amp; OPEX'!$A$100</c:f>
              <c:strCache>
                <c:ptCount val="1"/>
                <c:pt idx="0">
                  <c:v>Energy/Nutrient Recovery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&amp; OPEX'!$A$66:$D$66</c:f>
              <c:strCache>
                <c:ptCount val="1"/>
                <c:pt idx="0">
                  <c:v>SAF Production Capital Expenses</c:v>
                </c:pt>
              </c:strCache>
            </c:strRef>
          </c:cat>
          <c:val>
            <c:numRef>
              <c:f>'CAPEX &amp; OPEX'!$B$100</c:f>
              <c:numCache>
                <c:formatCode>"$"#,##0</c:formatCode>
                <c:ptCount val="1"/>
                <c:pt idx="0">
                  <c:v>30778649.713416155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A8-4C97-8CC4-C679516B4CCE}"/>
            </c:ext>
          </c:extLst>
        </c:ser>
        <c:ser>
          <c:idx val="4"/>
          <c:order val="4"/>
          <c:tx>
            <c:strRef>
              <c:f>'CAPEX &amp; OPEX'!$A$101</c:f>
              <c:strCache>
                <c:ptCount val="1"/>
                <c:pt idx="0">
                  <c:v>Additional Direct CAPEX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&amp; OPEX'!$A$66:$D$66</c:f>
              <c:strCache>
                <c:ptCount val="1"/>
                <c:pt idx="0">
                  <c:v>SAF Production Capital Expenses</c:v>
                </c:pt>
              </c:strCache>
            </c:strRef>
          </c:cat>
          <c:val>
            <c:numRef>
              <c:f>'CAPEX &amp; OPEX'!$B$101</c:f>
              <c:numCache>
                <c:formatCode>"$"#,##0</c:formatCode>
                <c:ptCount val="1"/>
                <c:pt idx="0">
                  <c:v>16421280.996013079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8-4C97-8CC4-C679516B4CCE}"/>
            </c:ext>
          </c:extLst>
        </c:ser>
        <c:ser>
          <c:idx val="5"/>
          <c:order val="5"/>
          <c:tx>
            <c:strRef>
              <c:f>'CAPEX &amp; OPEX'!$A$102</c:f>
              <c:strCache>
                <c:ptCount val="1"/>
                <c:pt idx="0">
                  <c:v>Project Contingency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&amp; OPEX'!$A$66:$D$66</c:f>
              <c:strCache>
                <c:ptCount val="1"/>
                <c:pt idx="0">
                  <c:v>SAF Production Capital Expenses</c:v>
                </c:pt>
              </c:strCache>
            </c:strRef>
          </c:cat>
          <c:val>
            <c:numRef>
              <c:f>'CAPEX &amp; OPEX'!$B$102</c:f>
              <c:numCache>
                <c:formatCode>"$"#,##0</c:formatCode>
                <c:ptCount val="1"/>
                <c:pt idx="0">
                  <c:v>11025717.24017923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A8-4C97-8CC4-C679516B4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666169232"/>
        <c:axId val="1666180880"/>
      </c:barChart>
      <c:catAx>
        <c:axId val="166616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180880"/>
        <c:crosses val="autoZero"/>
        <c:auto val="1"/>
        <c:lblAlgn val="ctr"/>
        <c:lblOffset val="100"/>
        <c:noMultiLvlLbl val="0"/>
      </c:catAx>
      <c:valAx>
        <c:axId val="16661808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Capital Investment (MM USD)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130387414340265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169232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97152914234709"/>
          <c:y val="0.23062406207515052"/>
          <c:w val="0.34984280652318983"/>
          <c:h val="0.337788132100897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SAF</a:t>
            </a:r>
            <a:r>
              <a:rPr lang="en-US" b="1" baseline="0">
                <a:solidFill>
                  <a:sysClr val="windowText" lastClr="000000"/>
                </a:solidFill>
              </a:rPr>
              <a:t> Production OPEX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872862649490988"/>
          <c:y val="0.12828359688530805"/>
          <c:w val="0.42643385058039296"/>
          <c:h val="0.77222044898972952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'CAPEX &amp; OPEX'!$G$68</c:f>
              <c:strCache>
                <c:ptCount val="1"/>
                <c:pt idx="0">
                  <c:v>WHE Annual Hexane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OPEX'!$H$68</c:f>
              <c:numCache>
                <c:formatCode>"$"#,##0</c:formatCode>
                <c:ptCount val="1"/>
                <c:pt idx="0">
                  <c:v>261231.87117846153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A3-41D6-9B9A-9A6056F2FB18}"/>
            </c:ext>
          </c:extLst>
        </c:ser>
        <c:ser>
          <c:idx val="5"/>
          <c:order val="1"/>
          <c:tx>
            <c:strRef>
              <c:f>'CAPEX &amp; OPEX'!$G$69</c:f>
              <c:strCache>
                <c:ptCount val="1"/>
                <c:pt idx="0">
                  <c:v>HEFA HT Catalyst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OPEX'!$H$69</c:f>
              <c:numCache>
                <c:formatCode>"$"#,##0</c:formatCode>
                <c:ptCount val="1"/>
                <c:pt idx="0">
                  <c:v>55658.367296461533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A3-41D6-9B9A-9A6056F2FB18}"/>
            </c:ext>
          </c:extLst>
        </c:ser>
        <c:ser>
          <c:idx val="6"/>
          <c:order val="2"/>
          <c:tx>
            <c:strRef>
              <c:f>'CAPEX &amp; OPEX'!$G$70</c:f>
              <c:strCache>
                <c:ptCount val="1"/>
                <c:pt idx="0">
                  <c:v>HEFA ISO Catalyst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OPEX'!$H$70</c:f>
              <c:numCache>
                <c:formatCode>"$"#,##0</c:formatCode>
                <c:ptCount val="1"/>
                <c:pt idx="0">
                  <c:v>74211.156395307684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A3-41D6-9B9A-9A6056F2FB18}"/>
            </c:ext>
          </c:extLst>
        </c:ser>
        <c:ser>
          <c:idx val="0"/>
          <c:order val="3"/>
          <c:tx>
            <c:strRef>
              <c:f>'CAPEX &amp; OPEX'!$G$71</c:f>
              <c:strCache>
                <c:ptCount val="1"/>
                <c:pt idx="0">
                  <c:v>HEFA Water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OPEX'!$H$71</c:f>
              <c:numCache>
                <c:formatCode>"$"#,##0</c:formatCode>
                <c:ptCount val="1"/>
                <c:pt idx="0">
                  <c:v>112352.4696653846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A3-41D6-9B9A-9A6056F2FB18}"/>
            </c:ext>
          </c:extLst>
        </c:ser>
        <c:ser>
          <c:idx val="1"/>
          <c:order val="4"/>
          <c:tx>
            <c:strRef>
              <c:f>'CAPEX &amp; OPEX'!$G$72</c:f>
              <c:strCache>
                <c:ptCount val="1"/>
                <c:pt idx="0">
                  <c:v>HEFA SMR Catalyst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OPEX'!$H$72</c:f>
              <c:numCache>
                <c:formatCode>"$"#,##0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A3-41D6-9B9A-9A6056F2FB18}"/>
            </c:ext>
          </c:extLst>
        </c:ser>
        <c:ser>
          <c:idx val="2"/>
          <c:order val="5"/>
          <c:tx>
            <c:strRef>
              <c:f>'CAPEX &amp; OPEX'!$G$73</c:f>
              <c:strCache>
                <c:ptCount val="1"/>
                <c:pt idx="0">
                  <c:v>HEFA Purchased H2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OPEX'!$H$73</c:f>
              <c:numCache>
                <c:formatCode>"$"#,##0</c:formatCode>
                <c:ptCount val="1"/>
                <c:pt idx="0">
                  <c:v>4017859.4465230773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A3-41D6-9B9A-9A6056F2FB18}"/>
            </c:ext>
          </c:extLst>
        </c:ser>
        <c:ser>
          <c:idx val="3"/>
          <c:order val="6"/>
          <c:tx>
            <c:strRef>
              <c:f>'CAPEX &amp; OPEX'!$G$74</c:f>
              <c:strCache>
                <c:ptCount val="1"/>
                <c:pt idx="0">
                  <c:v>Supplemental Electricity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OPEX'!$H$74</c:f>
              <c:numCache>
                <c:formatCode>"$"#,##0</c:formatCode>
                <c:ptCount val="1"/>
                <c:pt idx="0">
                  <c:v>741141.84524307703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A3-41D6-9B9A-9A6056F2FB18}"/>
            </c:ext>
          </c:extLst>
        </c:ser>
        <c:ser>
          <c:idx val="7"/>
          <c:order val="7"/>
          <c:tx>
            <c:strRef>
              <c:f>'CAPEX &amp; OPEX'!$G$75</c:f>
              <c:strCache>
                <c:ptCount val="1"/>
                <c:pt idx="0">
                  <c:v>Supplemental Natural Gas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OPEX'!$H$75</c:f>
              <c:numCache>
                <c:formatCode>"$"#,##0</c:formatCode>
                <c:ptCount val="1"/>
                <c:pt idx="0">
                  <c:v>3132565.193361538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A3-41D6-9B9A-9A6056F2FB18}"/>
            </c:ext>
          </c:extLst>
        </c:ser>
        <c:ser>
          <c:idx val="8"/>
          <c:order val="8"/>
          <c:tx>
            <c:strRef>
              <c:f>'CAPEX &amp; OPEX'!$G$77</c:f>
              <c:strCache>
                <c:ptCount val="1"/>
                <c:pt idx="0">
                  <c:v>Labor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OPEX'!$H$77</c:f>
              <c:numCache>
                <c:formatCode>"$"#,##0</c:formatCode>
                <c:ptCount val="1"/>
                <c:pt idx="0">
                  <c:v>1027917.7570099999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A3-41D6-9B9A-9A6056F2FB18}"/>
            </c:ext>
          </c:extLst>
        </c:ser>
        <c:ser>
          <c:idx val="9"/>
          <c:order val="9"/>
          <c:tx>
            <c:strRef>
              <c:f>'CAPEX &amp; OPEX'!$G$78</c:f>
              <c:strCache>
                <c:ptCount val="1"/>
                <c:pt idx="0">
                  <c:v>Labor Burden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OPEX'!$H$78</c:f>
              <c:numCache>
                <c:formatCode>"$"#,##0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A3-41D6-9B9A-9A6056F2FB18}"/>
            </c:ext>
          </c:extLst>
        </c:ser>
        <c:ser>
          <c:idx val="10"/>
          <c:order val="10"/>
          <c:tx>
            <c:strRef>
              <c:f>'CAPEX &amp; OPEX'!$G$79</c:f>
              <c:strCache>
                <c:ptCount val="1"/>
                <c:pt idx="0">
                  <c:v>Equipment Maintenance</c:v>
                </c:pt>
              </c:strCache>
            </c:strRef>
          </c:tx>
          <c:spPr>
            <a:solidFill>
              <a:srgbClr val="EF904F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SAF Production OPEX</c:v>
              </c:pt>
            </c:strLit>
          </c:cat>
          <c:val>
            <c:numRef>
              <c:f>'CAPEX &amp; OPEX'!$H$79</c:f>
              <c:numCache>
                <c:formatCode>"$"#,##0</c:formatCode>
                <c:ptCount val="1"/>
                <c:pt idx="0">
                  <c:v>6670558.9303100007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A3-41D6-9B9A-9A6056F2FB18}"/>
            </c:ext>
          </c:extLst>
        </c:ser>
        <c:ser>
          <c:idx val="11"/>
          <c:order val="11"/>
          <c:tx>
            <c:strRef>
              <c:f>'CAPEX &amp; OPEX'!$G$80</c:f>
              <c:strCache>
                <c:ptCount val="1"/>
                <c:pt idx="0">
                  <c:v>Property Tax and Insurance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'CAPEX &amp; OPEX'!$H$80</c:f>
              <c:numCache>
                <c:formatCode>"$"#,##0</c:formatCode>
                <c:ptCount val="1"/>
                <c:pt idx="0">
                  <c:v>1819243.3446323078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A3-41D6-9B9A-9A6056F2FB18}"/>
            </c:ext>
          </c:extLst>
        </c:ser>
        <c:ser>
          <c:idx val="12"/>
          <c:order val="12"/>
          <c:tx>
            <c:strRef>
              <c:f>'CAPEX &amp; OPEX'!$G$81</c:f>
              <c:strCache>
                <c:ptCount val="1"/>
                <c:pt idx="0">
                  <c:v>Misc. Supplies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'CAPEX &amp; OPEX'!$H$81</c:f>
              <c:numCache>
                <c:formatCode>"$"#,##0</c:formatCode>
                <c:ptCount val="1"/>
                <c:pt idx="0">
                  <c:v>242565.7792839231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A3-41D6-9B9A-9A6056F2FB18}"/>
            </c:ext>
          </c:extLst>
        </c:ser>
        <c:ser>
          <c:idx val="13"/>
          <c:order val="13"/>
          <c:tx>
            <c:strRef>
              <c:f>'CAPEX &amp; OPEX'!$G$82</c:f>
              <c:strCache>
                <c:ptCount val="1"/>
                <c:pt idx="0">
                  <c:v>Fixed OPEX Contingency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5875">
              <a:noFill/>
            </a:ln>
            <a:effectLst/>
          </c:spPr>
          <c:invertIfNegative val="0"/>
          <c:val>
            <c:numRef>
              <c:f>'CAPEX &amp; OPEX'!$H$82</c:f>
              <c:numCache>
                <c:formatCode>"$"#,##0</c:formatCode>
                <c:ptCount val="1"/>
                <c:pt idx="0">
                  <c:v>976028.58112284623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A3-41D6-9B9A-9A6056F2F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466238976"/>
        <c:axId val="466233568"/>
      </c:barChart>
      <c:catAx>
        <c:axId val="46623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3568"/>
        <c:crosses val="autoZero"/>
        <c:auto val="1"/>
        <c:lblAlgn val="ctr"/>
        <c:lblOffset val="100"/>
        <c:noMultiLvlLbl val="0"/>
      </c:catAx>
      <c:valAx>
        <c:axId val="466233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Operational Expenses</a:t>
                </a:r>
                <a:r>
                  <a:rPr lang="en-US" sz="1200" baseline="0">
                    <a:solidFill>
                      <a:sysClr val="windowText" lastClr="000000"/>
                    </a:solidFill>
                  </a:rPr>
                  <a:t> (MM USD/yr)</a:t>
                </a:r>
                <a:endParaRPr lang="en-US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3.0309140227764417E-2"/>
              <c:y val="0.122089508176719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8976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738319589321739"/>
          <c:y val="0.18794453107343645"/>
          <c:w val="0.38322133104792694"/>
          <c:h val="0.60276389253166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System Global</a:t>
            </a:r>
            <a:r>
              <a:rPr lang="en-US" b="1" baseline="0">
                <a:solidFill>
                  <a:sysClr val="windowText" lastClr="000000"/>
                </a:solidFill>
              </a:rPr>
              <a:t> Warming Potential (g CO2-eq/MJ Fuel)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3419043453286"/>
          <c:y val="9.4452179500910366E-2"/>
          <c:w val="0.48142905683825588"/>
          <c:h val="0.8657254130682426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'LCA Outputs'!$A$76</c:f>
              <c:strCache>
                <c:ptCount val="1"/>
                <c:pt idx="0">
                  <c:v>CO2 Uptake (Biomass Growth)</c:v>
                </c:pt>
              </c:strCache>
            </c:strRef>
          </c:tx>
          <c:spPr>
            <a:solidFill>
              <a:srgbClr val="9F5FCF"/>
            </a:solidFill>
            <a:ln>
              <a:noFill/>
            </a:ln>
            <a:effectLst/>
          </c:spPr>
          <c:invertIfNegative val="0"/>
          <c:val>
            <c:numRef>
              <c:f>'LCA Outputs'!$H$76</c:f>
              <c:numCache>
                <c:formatCode>0.00E+00</c:formatCode>
                <c:ptCount val="1"/>
                <c:pt idx="0">
                  <c:v>-127.35198365776529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F0-45F4-8A74-C28B2B6624B9}"/>
            </c:ext>
          </c:extLst>
        </c:ser>
        <c:ser>
          <c:idx val="1"/>
          <c:order val="1"/>
          <c:tx>
            <c:strRef>
              <c:f>'LCA Outputs'!$A$77</c:f>
              <c:strCache>
                <c:ptCount val="1"/>
                <c:pt idx="0">
                  <c:v>Cultivation Consumables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Outputs'!$H$77</c:f>
              <c:numCache>
                <c:formatCode>0.00E+00</c:formatCode>
                <c:ptCount val="1"/>
                <c:pt idx="0">
                  <c:v>8.4675891901143459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F0-45F4-8A74-C28B2B6624B9}"/>
            </c:ext>
          </c:extLst>
        </c:ser>
        <c:ser>
          <c:idx val="2"/>
          <c:order val="2"/>
          <c:tx>
            <c:strRef>
              <c:f>'LCA Outputs'!$A$78</c:f>
              <c:strCache>
                <c:ptCount val="1"/>
                <c:pt idx="0">
                  <c:v>Cultivation Electricity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Outputs'!$H$78</c:f>
              <c:numCache>
                <c:formatCode>0.00E+00</c:formatCode>
                <c:ptCount val="1"/>
                <c:pt idx="0">
                  <c:v>29.981590997219502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F0-45F4-8A74-C28B2B6624B9}"/>
            </c:ext>
          </c:extLst>
        </c:ser>
        <c:ser>
          <c:idx val="3"/>
          <c:order val="3"/>
          <c:tx>
            <c:strRef>
              <c:f>'LCA Outputs'!$A$79</c:f>
              <c:strCache>
                <c:ptCount val="1"/>
                <c:pt idx="0">
                  <c:v>Conversion Consumables 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Outputs'!$H$79</c:f>
              <c:numCache>
                <c:formatCode>0.00E+00</c:formatCode>
                <c:ptCount val="1"/>
                <c:pt idx="0">
                  <c:v>16.26674462571486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F0-45F4-8A74-C28B2B6624B9}"/>
            </c:ext>
          </c:extLst>
        </c:ser>
        <c:ser>
          <c:idx val="4"/>
          <c:order val="4"/>
          <c:tx>
            <c:strRef>
              <c:f>'LCA Outputs'!$A$80</c:f>
              <c:strCache>
                <c:ptCount val="1"/>
                <c:pt idx="0">
                  <c:v>Conversion Electricity</c:v>
                </c:pt>
              </c:strCache>
            </c:strRef>
          </c:tx>
          <c:spPr>
            <a:solidFill>
              <a:srgbClr val="BD92DE"/>
            </a:solidFill>
            <a:ln>
              <a:noFill/>
            </a:ln>
            <a:effectLst/>
          </c:spPr>
          <c:invertIfNegative val="0"/>
          <c:val>
            <c:numRef>
              <c:f>'LCA Outputs'!$H$80</c:f>
              <c:numCache>
                <c:formatCode>0.00E+00</c:formatCode>
                <c:ptCount val="1"/>
                <c:pt idx="0">
                  <c:v>33.458048207959969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F0-45F4-8A74-C28B2B6624B9}"/>
            </c:ext>
          </c:extLst>
        </c:ser>
        <c:ser>
          <c:idx val="5"/>
          <c:order val="5"/>
          <c:tx>
            <c:strRef>
              <c:f>'LCA Outputs'!$A$81</c:f>
              <c:strCache>
                <c:ptCount val="1"/>
                <c:pt idx="0">
                  <c:v>Conversion Direct Emissions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Outputs'!$H$81</c:f>
              <c:numCache>
                <c:formatCode>0.00E+00</c:formatCode>
                <c:ptCount val="1"/>
                <c:pt idx="0">
                  <c:v>136.87788159556257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F0-45F4-8A74-C28B2B6624B9}"/>
            </c:ext>
          </c:extLst>
        </c:ser>
        <c:ser>
          <c:idx val="6"/>
          <c:order val="6"/>
          <c:tx>
            <c:strRef>
              <c:f>'LCA Outputs'!$A$82</c:f>
              <c:strCache>
                <c:ptCount val="1"/>
                <c:pt idx="0">
                  <c:v>Co-Product Displacement Credits</c:v>
                </c:pt>
              </c:strCache>
            </c:strRef>
          </c:tx>
          <c:spPr>
            <a:solidFill>
              <a:srgbClr val="D6BCEA"/>
            </a:solidFill>
            <a:ln>
              <a:noFill/>
            </a:ln>
            <a:effectLst/>
          </c:spPr>
          <c:invertIfNegative val="0"/>
          <c:val>
            <c:numRef>
              <c:f>'LCA Outputs'!$H$82</c:f>
              <c:numCache>
                <c:formatCode>0.00E+00</c:formatCode>
                <c:ptCount val="1"/>
                <c:pt idx="0">
                  <c:v>-31.356518945701314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F0-45F4-8A74-C28B2B662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barChart>
        <c:barDir val="col"/>
        <c:grouping val="stacked"/>
        <c:varyColors val="0"/>
        <c:ser>
          <c:idx val="7"/>
          <c:order val="7"/>
          <c:tx>
            <c:strRef>
              <c:f>'LCA Outputs'!$A$83</c:f>
              <c:strCache>
                <c:ptCount val="1"/>
                <c:pt idx="0">
                  <c:v>Net Emissions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FF0000"/>
              </a:solidFill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'LCA Outputs'!$H$83</c:f>
              <c:numCache>
                <c:formatCode>0.00E+00</c:formatCode>
                <c:ptCount val="1"/>
                <c:pt idx="0">
                  <c:v>66.343352013104663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F0-45F4-8A74-C28B2B662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2"/>
        <c:overlap val="100"/>
        <c:axId val="1497994352"/>
        <c:axId val="1257887248"/>
      </c:barChart>
      <c:catAx>
        <c:axId val="9541378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W2W Global Warming Potential (g CO2-eq/MJ</a:t>
                </a:r>
                <a:r>
                  <a:rPr lang="en-US" sz="1200" baseline="0">
                    <a:solidFill>
                      <a:sysClr val="windowText" lastClr="000000"/>
                    </a:solidFill>
                  </a:rPr>
                  <a:t> Fuel)</a:t>
                </a:r>
                <a:endParaRPr lang="en-US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1482602952385172E-2"/>
              <c:y val="8.58833302589297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inorUnit val="25"/>
      </c:valAx>
      <c:valAx>
        <c:axId val="1257887248"/>
        <c:scaling>
          <c:orientation val="minMax"/>
          <c:max val="200"/>
          <c:min val="-200"/>
        </c:scaling>
        <c:delete val="1"/>
        <c:axPos val="r"/>
        <c:numFmt formatCode="0.00E+00" sourceLinked="1"/>
        <c:majorTickMark val="out"/>
        <c:minorTickMark val="none"/>
        <c:tickLblPos val="nextTo"/>
        <c:crossAx val="1497994352"/>
        <c:crosses val="max"/>
        <c:crossBetween val="between"/>
      </c:valAx>
      <c:catAx>
        <c:axId val="1497994352"/>
        <c:scaling>
          <c:orientation val="minMax"/>
        </c:scaling>
        <c:delete val="1"/>
        <c:axPos val="b"/>
        <c:majorTickMark val="out"/>
        <c:minorTickMark val="none"/>
        <c:tickLblPos val="nextTo"/>
        <c:crossAx val="125788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7802283086334982"/>
          <c:y val="0.18846758254062526"/>
          <c:w val="0.39118624329917784"/>
          <c:h val="0.30625994333394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System Global Warming Potential (kg CO2-eq/kg</a:t>
            </a:r>
            <a:r>
              <a:rPr lang="en-US" baseline="0"/>
              <a:t> AFDW</a:t>
            </a:r>
            <a:r>
              <a:rPr lang="en-US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549070213552708"/>
          <c:y val="9.4294932161523182E-2"/>
          <c:w val="0.36345067027693762"/>
          <c:h val="0.880403307829812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'LCA Outputs'!$A$85</c:f>
              <c:strCache>
                <c:ptCount val="1"/>
                <c:pt idx="0">
                  <c:v>CO2 Uptake (from Biomass Growth)</c:v>
                </c:pt>
              </c:strCache>
            </c:strRef>
          </c:tx>
          <c:spPr>
            <a:solidFill>
              <a:srgbClr val="9F5FCF"/>
            </a:solidFill>
            <a:ln>
              <a:noFill/>
            </a:ln>
            <a:effectLst/>
          </c:spPr>
          <c:invertIfNegative val="0"/>
          <c:val>
            <c:numRef>
              <c:f>'LCA Outputs'!$H$85</c:f>
              <c:numCache>
                <c:formatCode>0.00E+00</c:formatCode>
                <c:ptCount val="1"/>
                <c:pt idx="0">
                  <c:v>-1.7393447311087935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BF-4A89-A06F-3F6114915A5D}"/>
            </c:ext>
          </c:extLst>
        </c:ser>
        <c:ser>
          <c:idx val="1"/>
          <c:order val="1"/>
          <c:tx>
            <c:strRef>
              <c:f>'LCA Outputs'!$A$86</c:f>
              <c:strCache>
                <c:ptCount val="1"/>
                <c:pt idx="0">
                  <c:v>Ammonia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>
              <a:noFill/>
            </a:ln>
            <a:effectLst/>
          </c:spPr>
          <c:invertIfNegative val="0"/>
          <c:val>
            <c:numRef>
              <c:f>'LCA Outputs'!$H$86</c:f>
              <c:numCache>
                <c:formatCode>0.00E+00</c:formatCode>
                <c:ptCount val="1"/>
                <c:pt idx="0">
                  <c:v>6.6527195758479804E-2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BF-4A89-A06F-3F6114915A5D}"/>
            </c:ext>
          </c:extLst>
        </c:ser>
        <c:ser>
          <c:idx val="2"/>
          <c:order val="2"/>
          <c:tx>
            <c:strRef>
              <c:f>'LCA Outputs'!$A$87</c:f>
              <c:strCache>
                <c:ptCount val="1"/>
                <c:pt idx="0">
                  <c:v>Diammonium Phosphate (DAP)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>
              <a:noFill/>
            </a:ln>
            <a:effectLst/>
          </c:spPr>
          <c:invertIfNegative val="0"/>
          <c:val>
            <c:numRef>
              <c:f>'LCA Outputs'!$H$87</c:f>
              <c:numCache>
                <c:formatCode>0.00E+00</c:formatCode>
                <c:ptCount val="1"/>
                <c:pt idx="0">
                  <c:v>2.1266750661911603E-2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BF-4A89-A06F-3F6114915A5D}"/>
            </c:ext>
          </c:extLst>
        </c:ser>
        <c:ser>
          <c:idx val="3"/>
          <c:order val="3"/>
          <c:tx>
            <c:strRef>
              <c:f>'LCA Outputs'!$A$88</c:f>
              <c:strCache>
                <c:ptCount val="1"/>
                <c:pt idx="0">
                  <c:v>Process Water (Cultivation &amp; Dewatering)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val>
            <c:numRef>
              <c:f>'LCA Outputs'!$H$88</c:f>
              <c:numCache>
                <c:formatCode>0.00E+00</c:formatCode>
                <c:ptCount val="1"/>
                <c:pt idx="0">
                  <c:v>2.7854481032439388E-2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BF-4A89-A06F-3F6114915A5D}"/>
            </c:ext>
          </c:extLst>
        </c:ser>
        <c:ser>
          <c:idx val="4"/>
          <c:order val="4"/>
          <c:tx>
            <c:strRef>
              <c:f>'LCA Outputs'!$A$89</c:f>
              <c:strCache>
                <c:ptCount val="1"/>
                <c:pt idx="0">
                  <c:v>Electricity (Cultivation)</c:v>
                </c:pt>
              </c:strCache>
            </c:strRef>
          </c:tx>
          <c:spPr>
            <a:solidFill>
              <a:srgbClr val="FFC000">
                <a:lumMod val="75000"/>
              </a:srgbClr>
            </a:solidFill>
            <a:ln>
              <a:noFill/>
            </a:ln>
            <a:effectLst/>
          </c:spPr>
          <c:invertIfNegative val="0"/>
          <c:val>
            <c:numRef>
              <c:f>'LCA Outputs'!$H$89</c:f>
              <c:numCache>
                <c:formatCode>0.00E+00</c:formatCode>
                <c:ptCount val="1"/>
                <c:pt idx="0">
                  <c:v>0.30304826166358056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BF-4A89-A06F-3F6114915A5D}"/>
            </c:ext>
          </c:extLst>
        </c:ser>
        <c:ser>
          <c:idx val="5"/>
          <c:order val="5"/>
          <c:tx>
            <c:strRef>
              <c:f>'LCA Outputs'!$A$90</c:f>
              <c:strCache>
                <c:ptCount val="1"/>
                <c:pt idx="0">
                  <c:v>Electricity (Dewatering)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val>
            <c:numRef>
              <c:f>'LCA Outputs'!$H$90</c:f>
              <c:numCache>
                <c:formatCode>0.00E+00</c:formatCode>
                <c:ptCount val="1"/>
                <c:pt idx="0">
                  <c:v>0.10618290914363557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7BF-4A89-A06F-3F6114915A5D}"/>
            </c:ext>
          </c:extLst>
        </c:ser>
        <c:ser>
          <c:idx val="6"/>
          <c:order val="6"/>
          <c:tx>
            <c:strRef>
              <c:f>'LCA Outputs'!$A$91</c:f>
              <c:strCache>
                <c:ptCount val="1"/>
                <c:pt idx="0">
                  <c:v>Electricity (Storage)</c:v>
                </c:pt>
              </c:strCache>
            </c:strRef>
          </c:tx>
          <c:spPr>
            <a:solidFill>
              <a:srgbClr val="FFC000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val>
            <c:numRef>
              <c:f>'LCA Outputs'!$H$91</c:f>
              <c:numCache>
                <c:formatCode>0.00E+00</c:formatCode>
                <c:ptCount val="1"/>
                <c:pt idx="0">
                  <c:v>2.5065141089301998E-4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7BF-4A89-A06F-3F6114915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barChart>
        <c:barDir val="col"/>
        <c:grouping val="stacked"/>
        <c:varyColors val="0"/>
        <c:ser>
          <c:idx val="7"/>
          <c:order val="7"/>
          <c:tx>
            <c:strRef>
              <c:f>'LCA Outputs'!$A$92</c:f>
              <c:strCache>
                <c:ptCount val="1"/>
                <c:pt idx="0">
                  <c:v>Net Emissions</c:v>
                </c:pt>
              </c:strCache>
            </c:strRef>
          </c:tx>
          <c:spPr>
            <a:solidFill>
              <a:schemeClr val="bg1"/>
            </a:solidFill>
            <a:ln w="15875">
              <a:solidFill>
                <a:srgbClr val="FF0000"/>
              </a:solidFill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'LCA Outputs'!$H$92</c:f>
              <c:numCache>
                <c:formatCode>0.00E+00</c:formatCode>
                <c:ptCount val="1"/>
                <c:pt idx="0">
                  <c:v>-1.2142144814378535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7BF-4A89-A06F-3F6114915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2"/>
        <c:overlap val="100"/>
        <c:axId val="1497994352"/>
        <c:axId val="1257887248"/>
      </c:barChart>
      <c:catAx>
        <c:axId val="95413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C2G Global Warming</a:t>
                </a:r>
                <a:r>
                  <a:rPr lang="en-US" sz="1200" baseline="0"/>
                  <a:t> Potential (kg CO2-eq/kg AFDW)</a:t>
                </a:r>
                <a:endParaRPr lang="en-US" sz="1200"/>
              </a:p>
            </c:rich>
          </c:tx>
          <c:layout>
            <c:manualLayout>
              <c:xMode val="edge"/>
              <c:yMode val="edge"/>
              <c:x val="1.2640023864503488E-2"/>
              <c:y val="7.786951363077736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ajorUnit val="0.25"/>
        <c:minorUnit val="0.25"/>
      </c:valAx>
      <c:valAx>
        <c:axId val="1257887248"/>
        <c:scaling>
          <c:orientation val="minMax"/>
          <c:max val="200"/>
          <c:min val="-200"/>
        </c:scaling>
        <c:delete val="1"/>
        <c:axPos val="r"/>
        <c:numFmt formatCode="0.00E+00" sourceLinked="1"/>
        <c:majorTickMark val="out"/>
        <c:minorTickMark val="none"/>
        <c:tickLblPos val="nextTo"/>
        <c:crossAx val="1497994352"/>
        <c:crosses val="max"/>
        <c:crossBetween val="between"/>
      </c:valAx>
      <c:catAx>
        <c:axId val="1497994352"/>
        <c:scaling>
          <c:orientation val="minMax"/>
        </c:scaling>
        <c:delete val="1"/>
        <c:axPos val="b"/>
        <c:majorTickMark val="out"/>
        <c:minorTickMark val="none"/>
        <c:tickLblPos val="nextTo"/>
        <c:crossAx val="125788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254115206793404"/>
          <c:y val="8.5454565723060844E-2"/>
          <c:w val="0.47981006202551479"/>
          <c:h val="0.346752690325135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rgbClr val="ED7D31">
          <a:lumMod val="60000"/>
          <a:lumOff val="40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TRACI</a:t>
            </a:r>
            <a:r>
              <a:rPr lang="en-US" b="1" baseline="0">
                <a:solidFill>
                  <a:sysClr val="windowText" lastClr="000000"/>
                </a:solidFill>
              </a:rPr>
              <a:t> Impacts for System Burdens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7307971928192629"/>
          <c:y val="1.55531244971660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597112872536776E-2"/>
          <c:y val="9.1807101998614804E-2"/>
          <c:w val="0.62987542476418235"/>
          <c:h val="0.5809385345288047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'LCA Outputs'!$B$104</c:f>
              <c:strCache>
                <c:ptCount val="1"/>
                <c:pt idx="0">
                  <c:v>Ammonia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Outputs'!$C$104:$L$104</c:f>
              <c:numCache>
                <c:formatCode>0.00%</c:formatCode>
                <c:ptCount val="10"/>
                <c:pt idx="0">
                  <c:v>3.9773906476651558E-3</c:v>
                </c:pt>
                <c:pt idx="1">
                  <c:v>6.1796863255950199E-3</c:v>
                </c:pt>
                <c:pt idx="2">
                  <c:v>5.2918151947599794E-2</c:v>
                </c:pt>
                <c:pt idx="3">
                  <c:v>2.7026366144223768E-2</c:v>
                </c:pt>
                <c:pt idx="4">
                  <c:v>3.9759201891796443E-2</c:v>
                </c:pt>
                <c:pt idx="5">
                  <c:v>2.1643957343803602E-2</c:v>
                </c:pt>
                <c:pt idx="6">
                  <c:v>1.9500714588770039E-2</c:v>
                </c:pt>
                <c:pt idx="7">
                  <c:v>3.7966290798444401E-2</c:v>
                </c:pt>
                <c:pt idx="8">
                  <c:v>6.9616168175000333E-3</c:v>
                </c:pt>
                <c:pt idx="9">
                  <c:v>5.6874509990425252E-2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6-4378-9BC6-57D2AC40F1AA}"/>
            </c:ext>
          </c:extLst>
        </c:ser>
        <c:ser>
          <c:idx val="1"/>
          <c:order val="1"/>
          <c:tx>
            <c:strRef>
              <c:f>'LCA Outputs'!$B$105</c:f>
              <c:strCache>
                <c:ptCount val="1"/>
                <c:pt idx="0">
                  <c:v>Diammonium Phosphate (DAP)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Outputs'!$C$105:$L$105</c:f>
              <c:numCache>
                <c:formatCode>0.00%</c:formatCode>
                <c:ptCount val="10"/>
                <c:pt idx="0">
                  <c:v>1.5396084259524085E-2</c:v>
                </c:pt>
                <c:pt idx="1">
                  <c:v>2.0537603345001942E-2</c:v>
                </c:pt>
                <c:pt idx="2">
                  <c:v>0.21723152575427698</c:v>
                </c:pt>
                <c:pt idx="3">
                  <c:v>0.14109913323401116</c:v>
                </c:pt>
                <c:pt idx="4">
                  <c:v>4.6772243502035418E-2</c:v>
                </c:pt>
                <c:pt idx="5">
                  <c:v>6.9189244927560399E-3</c:v>
                </c:pt>
                <c:pt idx="6">
                  <c:v>1.9217606606149414E-2</c:v>
                </c:pt>
                <c:pt idx="7">
                  <c:v>1.7766457181126384E-2</c:v>
                </c:pt>
                <c:pt idx="8">
                  <c:v>4.0837728641159858E-2</c:v>
                </c:pt>
                <c:pt idx="9">
                  <c:v>1.3495084058756875E-2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6-4378-9BC6-57D2AC40F1AA}"/>
            </c:ext>
          </c:extLst>
        </c:ser>
        <c:ser>
          <c:idx val="2"/>
          <c:order val="2"/>
          <c:tx>
            <c:strRef>
              <c:f>'LCA Outputs'!$B$106</c:f>
              <c:strCache>
                <c:ptCount val="1"/>
                <c:pt idx="0">
                  <c:v>Process Water (Cultivation &amp; Dewatering)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Outputs'!$C$106:$L$106</c:f>
              <c:numCache>
                <c:formatCode>0.00%</c:formatCode>
                <c:ptCount val="10"/>
                <c:pt idx="0">
                  <c:v>2.7489188765520284E-2</c:v>
                </c:pt>
                <c:pt idx="1">
                  <c:v>1.0390665944260665E-2</c:v>
                </c:pt>
                <c:pt idx="2">
                  <c:v>4.6694073229007309E-2</c:v>
                </c:pt>
                <c:pt idx="3">
                  <c:v>4.4861938565570636E-2</c:v>
                </c:pt>
                <c:pt idx="4">
                  <c:v>4.8511535821868776E-2</c:v>
                </c:pt>
                <c:pt idx="5">
                  <c:v>9.0621766395896693E-3</c:v>
                </c:pt>
                <c:pt idx="6">
                  <c:v>1.6233038520957092E-2</c:v>
                </c:pt>
                <c:pt idx="7">
                  <c:v>0.10296407150961326</c:v>
                </c:pt>
                <c:pt idx="8">
                  <c:v>4.1337679640697719E-2</c:v>
                </c:pt>
                <c:pt idx="9">
                  <c:v>1.1039034692754395E-2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36-4378-9BC6-57D2AC40F1AA}"/>
            </c:ext>
          </c:extLst>
        </c:ser>
        <c:ser>
          <c:idx val="3"/>
          <c:order val="3"/>
          <c:tx>
            <c:strRef>
              <c:f>'LCA Outputs'!$B$108</c:f>
              <c:strCache>
                <c:ptCount val="1"/>
                <c:pt idx="0">
                  <c:v>Electricity (Cultivation)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Outputs'!$C$108:$L$108</c:f>
              <c:numCache>
                <c:formatCode>0.00%</c:formatCode>
                <c:ptCount val="10"/>
                <c:pt idx="0">
                  <c:v>0.30059045045752059</c:v>
                </c:pt>
                <c:pt idx="1">
                  <c:v>0.18944935243307259</c:v>
                </c:pt>
                <c:pt idx="2">
                  <c:v>0.20414666128349224</c:v>
                </c:pt>
                <c:pt idx="3">
                  <c:v>0.25522624872111177</c:v>
                </c:pt>
                <c:pt idx="4">
                  <c:v>0.2454667329839389</c:v>
                </c:pt>
                <c:pt idx="5">
                  <c:v>9.859371906149092E-2</c:v>
                </c:pt>
                <c:pt idx="6">
                  <c:v>0.29203979263747676</c:v>
                </c:pt>
                <c:pt idx="7">
                  <c:v>0.19214066360714668</c:v>
                </c:pt>
                <c:pt idx="8">
                  <c:v>0.29034779613719552</c:v>
                </c:pt>
                <c:pt idx="9">
                  <c:v>0.16901960404927338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36-4378-9BC6-57D2AC40F1AA}"/>
            </c:ext>
          </c:extLst>
        </c:ser>
        <c:ser>
          <c:idx val="4"/>
          <c:order val="4"/>
          <c:tx>
            <c:strRef>
              <c:f>'LCA Outputs'!$B$109</c:f>
              <c:strCache>
                <c:ptCount val="1"/>
                <c:pt idx="0">
                  <c:v>Electricity (Dewatering)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Outputs'!$C$109:$L$109</c:f>
              <c:numCache>
                <c:formatCode>0.00%</c:formatCode>
                <c:ptCount val="10"/>
                <c:pt idx="0">
                  <c:v>0.10532173428471163</c:v>
                </c:pt>
                <c:pt idx="1">
                  <c:v>6.6379801244506029E-2</c:v>
                </c:pt>
                <c:pt idx="2">
                  <c:v>7.1529485990272756E-2</c:v>
                </c:pt>
                <c:pt idx="3">
                  <c:v>8.9426896660802113E-2</c:v>
                </c:pt>
                <c:pt idx="4">
                  <c:v>8.6007329866003887E-2</c:v>
                </c:pt>
                <c:pt idx="5">
                  <c:v>3.4545546824027697E-2</c:v>
                </c:pt>
                <c:pt idx="6">
                  <c:v>0.10232573055434888</c:v>
                </c:pt>
                <c:pt idx="7">
                  <c:v>6.7322790484256906E-2</c:v>
                </c:pt>
                <c:pt idx="8">
                  <c:v>0.10173288402332292</c:v>
                </c:pt>
                <c:pt idx="9">
                  <c:v>5.9221568082052027E-2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36-4378-9BC6-57D2AC40F1AA}"/>
            </c:ext>
          </c:extLst>
        </c:ser>
        <c:ser>
          <c:idx val="5"/>
          <c:order val="5"/>
          <c:tx>
            <c:strRef>
              <c:f>'LCA Outputs'!$B$110</c:f>
              <c:strCache>
                <c:ptCount val="1"/>
                <c:pt idx="0">
                  <c:v>Electricity (Storage)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Outputs'!$C$110:$L$110</c:f>
              <c:numCache>
                <c:formatCode>0.00%</c:formatCode>
                <c:ptCount val="10"/>
                <c:pt idx="0">
                  <c:v>2.4861855367375798E-4</c:v>
                </c:pt>
                <c:pt idx="1">
                  <c:v>1.5669368047005472E-4</c:v>
                </c:pt>
                <c:pt idx="2">
                  <c:v>1.6884983401294391E-4</c:v>
                </c:pt>
                <c:pt idx="3">
                  <c:v>2.1109779342637147E-4</c:v>
                </c:pt>
                <c:pt idx="4">
                  <c:v>2.0302569172307703E-4</c:v>
                </c:pt>
                <c:pt idx="5">
                  <c:v>8.1546928044704325E-5</c:v>
                </c:pt>
                <c:pt idx="6">
                  <c:v>2.4154629912627375E-4</c:v>
                </c:pt>
                <c:pt idx="7">
                  <c:v>1.5891966566208555E-4</c:v>
                </c:pt>
                <c:pt idx="8">
                  <c:v>2.4014684773957572E-4</c:v>
                </c:pt>
                <c:pt idx="9">
                  <c:v>1.3979622252563892E-4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36-4378-9BC6-57D2AC40F1AA}"/>
            </c:ext>
          </c:extLst>
        </c:ser>
        <c:ser>
          <c:idx val="6"/>
          <c:order val="6"/>
          <c:tx>
            <c:strRef>
              <c:f>'LCA Outputs'!$B$111</c:f>
              <c:strCache>
                <c:ptCount val="1"/>
                <c:pt idx="0">
                  <c:v>Natural Gas (LE, HEFA &amp; AD)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Outputs'!$C$111:$L$111</c:f>
              <c:numCache>
                <c:formatCode>0.00%</c:formatCode>
                <c:ptCount val="10"/>
                <c:pt idx="0">
                  <c:v>6.8205952883590949E-3</c:v>
                </c:pt>
                <c:pt idx="1">
                  <c:v>7.8089090329079057E-3</c:v>
                </c:pt>
                <c:pt idx="2">
                  <c:v>3.1305607789031104E-2</c:v>
                </c:pt>
                <c:pt idx="3">
                  <c:v>2.1679838116846109E-2</c:v>
                </c:pt>
                <c:pt idx="4">
                  <c:v>8.2716959179222713E-2</c:v>
                </c:pt>
                <c:pt idx="5">
                  <c:v>1.8316684222806856E-2</c:v>
                </c:pt>
                <c:pt idx="6">
                  <c:v>2.6531063676565016E-2</c:v>
                </c:pt>
                <c:pt idx="7">
                  <c:v>5.5619944054590142E-2</c:v>
                </c:pt>
                <c:pt idx="8">
                  <c:v>9.3328513849508885E-3</c:v>
                </c:pt>
                <c:pt idx="9">
                  <c:v>0.2714043951775284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36-4378-9BC6-57D2AC40F1AA}"/>
            </c:ext>
          </c:extLst>
        </c:ser>
        <c:ser>
          <c:idx val="7"/>
          <c:order val="7"/>
          <c:tx>
            <c:strRef>
              <c:f>'LCA Outputs'!$B$112</c:f>
              <c:strCache>
                <c:ptCount val="1"/>
                <c:pt idx="0">
                  <c:v>Hydrogen (LE, HEFA &amp; AD)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Outputs'!$C$112:$L$112</c:f>
              <c:numCache>
                <c:formatCode>0.00%</c:formatCode>
                <c:ptCount val="10"/>
                <c:pt idx="0">
                  <c:v>7.5280951523103911E-3</c:v>
                </c:pt>
                <c:pt idx="1">
                  <c:v>8.7569316630035313E-3</c:v>
                </c:pt>
                <c:pt idx="2">
                  <c:v>6.4162310582046925E-2</c:v>
                </c:pt>
                <c:pt idx="3">
                  <c:v>3.2710821490977635E-2</c:v>
                </c:pt>
                <c:pt idx="4">
                  <c:v>7.7026716547731619E-2</c:v>
                </c:pt>
                <c:pt idx="5">
                  <c:v>5.3275628981804234E-2</c:v>
                </c:pt>
                <c:pt idx="6">
                  <c:v>2.2631414785286446E-2</c:v>
                </c:pt>
                <c:pt idx="7">
                  <c:v>0.22811318152470092</c:v>
                </c:pt>
                <c:pt idx="8">
                  <c:v>8.9828327448241985E-3</c:v>
                </c:pt>
                <c:pt idx="9">
                  <c:v>0.15950853572626503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36-4378-9BC6-57D2AC40F1AA}"/>
            </c:ext>
          </c:extLst>
        </c:ser>
        <c:ser>
          <c:idx val="8"/>
          <c:order val="8"/>
          <c:tx>
            <c:strRef>
              <c:f>'LCA Outputs'!$B$113</c:f>
              <c:strCache>
                <c:ptCount val="1"/>
                <c:pt idx="0">
                  <c:v>Process Water(LE, HEFA &amp; AD)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Outputs'!$C$113:$L$113</c:f>
              <c:numCache>
                <c:formatCode>0.00%</c:formatCode>
                <c:ptCount val="10"/>
                <c:pt idx="0">
                  <c:v>5.9924538010300515E-4</c:v>
                </c:pt>
                <c:pt idx="1">
                  <c:v>2.2650936033084441E-4</c:v>
                </c:pt>
                <c:pt idx="2">
                  <c:v>1.0178986327807134E-3</c:v>
                </c:pt>
                <c:pt idx="3">
                  <c:v>9.7795935912095024E-4</c:v>
                </c:pt>
                <c:pt idx="4">
                  <c:v>1.0575180654082898E-3</c:v>
                </c:pt>
                <c:pt idx="5">
                  <c:v>1.9754920857333283E-4</c:v>
                </c:pt>
                <c:pt idx="6">
                  <c:v>3.5386905818475675E-4</c:v>
                </c:pt>
                <c:pt idx="7">
                  <c:v>2.2445458356385732E-3</c:v>
                </c:pt>
                <c:pt idx="8">
                  <c:v>9.0113294212366762E-4</c:v>
                </c:pt>
                <c:pt idx="9">
                  <c:v>2.4064335244142172E-4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36-4378-9BC6-57D2AC40F1AA}"/>
            </c:ext>
          </c:extLst>
        </c:ser>
        <c:ser>
          <c:idx val="9"/>
          <c:order val="9"/>
          <c:tx>
            <c:strRef>
              <c:f>'LCA Outputs'!$B$114</c:f>
              <c:strCache>
                <c:ptCount val="1"/>
                <c:pt idx="0">
                  <c:v>Hexane (LE, HEFA &amp; AD)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Outputs'!$C$114:$L$114</c:f>
              <c:numCache>
                <c:formatCode>0.00%</c:formatCode>
                <c:ptCount val="10"/>
                <c:pt idx="0">
                  <c:v>3.9837883468016088E-4</c:v>
                </c:pt>
                <c:pt idx="1">
                  <c:v>5.8204882556966769E-4</c:v>
                </c:pt>
                <c:pt idx="2">
                  <c:v>2.9953664326791852E-3</c:v>
                </c:pt>
                <c:pt idx="3">
                  <c:v>1.9273925619666642E-3</c:v>
                </c:pt>
                <c:pt idx="4">
                  <c:v>2.3426746604873405E-3</c:v>
                </c:pt>
                <c:pt idx="5">
                  <c:v>4.9012236378658534E-4</c:v>
                </c:pt>
                <c:pt idx="6">
                  <c:v>1.2080377555031374E-3</c:v>
                </c:pt>
                <c:pt idx="7">
                  <c:v>5.9767529785754326E-3</c:v>
                </c:pt>
                <c:pt idx="8">
                  <c:v>1.0404707889228092E-3</c:v>
                </c:pt>
                <c:pt idx="9">
                  <c:v>4.1943882367141442E-3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136-4378-9BC6-57D2AC40F1AA}"/>
            </c:ext>
          </c:extLst>
        </c:ser>
        <c:ser>
          <c:idx val="10"/>
          <c:order val="10"/>
          <c:tx>
            <c:strRef>
              <c:f>'LCA Outputs'!$B$115</c:f>
              <c:strCache>
                <c:ptCount val="1"/>
                <c:pt idx="0">
                  <c:v>Electricity (LE, HEFA &amp; AD)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Outputs'!$C$115:$L$115</c:f>
              <c:numCache>
                <c:formatCode>0.00%</c:formatCode>
                <c:ptCount val="10"/>
                <c:pt idx="0">
                  <c:v>0.45325639116744809</c:v>
                </c:pt>
                <c:pt idx="1">
                  <c:v>0.28566818959858975</c:v>
                </c:pt>
                <c:pt idx="2">
                  <c:v>0.30783006852480005</c:v>
                </c:pt>
                <c:pt idx="3">
                  <c:v>0.38485230735194276</c:v>
                </c:pt>
                <c:pt idx="4">
                  <c:v>0.3701360617897837</c:v>
                </c:pt>
                <c:pt idx="5">
                  <c:v>0.14866817367474541</c:v>
                </c:pt>
                <c:pt idx="6">
                  <c:v>0.44036296657687385</c:v>
                </c:pt>
                <c:pt idx="7">
                  <c:v>0.28972638236024517</c:v>
                </c:pt>
                <c:pt idx="8">
                  <c:v>0.43781162728310014</c:v>
                </c:pt>
                <c:pt idx="9">
                  <c:v>0.25486244041126338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136-4378-9BC6-57D2AC40F1AA}"/>
            </c:ext>
          </c:extLst>
        </c:ser>
        <c:ser>
          <c:idx val="11"/>
          <c:order val="11"/>
          <c:tx>
            <c:strRef>
              <c:f>'LCA Outputs'!$B$116</c:f>
              <c:strCache>
                <c:ptCount val="1"/>
                <c:pt idx="0">
                  <c:v>Direct CO2 Emissions (Biorefinery &amp; Fuel End Use)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Outputs'!$C$116:$L$116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0.56306816511212132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136-4378-9BC6-57D2AC40F1AA}"/>
            </c:ext>
          </c:extLst>
        </c:ser>
        <c:ser>
          <c:idx val="12"/>
          <c:order val="12"/>
          <c:tx>
            <c:strRef>
              <c:f>'LCA Outputs'!$B$117</c:f>
              <c:strCache>
                <c:ptCount val="1"/>
                <c:pt idx="0">
                  <c:v>Non-CO2 GHG Emissions (Biorefinery &amp; Fuel End Use)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Outputs'!$C$117:$L$117</c:f>
              <c:numCache>
                <c:formatCode>0.00%</c:formatCode>
                <c:ptCount val="10"/>
                <c:pt idx="0">
                  <c:v>7.8373827208483765E-2</c:v>
                </c:pt>
                <c:pt idx="1">
                  <c:v>0.40386360854669201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4.5137805146449696E-2</c:v>
                </c:pt>
                <c:pt idx="6">
                  <c:v>5.9354218940758402E-2</c:v>
                </c:pt>
                <c:pt idx="7">
                  <c:v>0</c:v>
                </c:pt>
                <c:pt idx="8">
                  <c:v>6.0473232748462662E-2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136-4378-9BC6-57D2AC40F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catAx>
        <c:axId val="95413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%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of Impact Category by Process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5.1096136493442119E-3"/>
              <c:y val="0.107972306258064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340246578995435"/>
          <c:y val="6.6743423408942806E-2"/>
          <c:w val="0.29631582046748728"/>
          <c:h val="0.65220343681516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TRACI</a:t>
            </a:r>
            <a:r>
              <a:rPr lang="en-US" b="1" baseline="0">
                <a:solidFill>
                  <a:sysClr val="windowText" lastClr="000000"/>
                </a:solidFill>
              </a:rPr>
              <a:t> Impacts for System Credits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7812965921237351"/>
          <c:y val="1.11376578466063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827630429397536E-2"/>
          <c:y val="8.1821761019665373E-2"/>
          <c:w val="0.69738580163114627"/>
          <c:h val="0.5363959671137320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'LCA Outputs'!$B$123</c:f>
              <c:strCache>
                <c:ptCount val="1"/>
                <c:pt idx="0">
                  <c:v>CO2 Uptake (Biomass Growth)</c:v>
                </c:pt>
              </c:strCache>
            </c:strRef>
          </c:tx>
          <c:spPr>
            <a:solidFill>
              <a:srgbClr val="BD92DE"/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Outputs'!$C$123:$L$123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0.80242697504338745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D8-404F-A102-7CC16B28B7EB}"/>
            </c:ext>
          </c:extLst>
        </c:ser>
        <c:ser>
          <c:idx val="1"/>
          <c:order val="1"/>
          <c:tx>
            <c:strRef>
              <c:f>'LCA Outputs'!$B$124</c:f>
              <c:strCache>
                <c:ptCount val="1"/>
                <c:pt idx="0">
                  <c:v>Ammonia Recovery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Outputs'!$C$124:$L$124</c:f>
              <c:numCache>
                <c:formatCode>0.00%</c:formatCode>
                <c:ptCount val="10"/>
                <c:pt idx="0">
                  <c:v>2.9052968688501545E-3</c:v>
                </c:pt>
                <c:pt idx="1">
                  <c:v>7.087284927475083E-3</c:v>
                </c:pt>
                <c:pt idx="2">
                  <c:v>4.8829358954633244E-2</c:v>
                </c:pt>
                <c:pt idx="3">
                  <c:v>2.1616015615658651E-2</c:v>
                </c:pt>
                <c:pt idx="4">
                  <c:v>3.3934995389390564E-2</c:v>
                </c:pt>
                <c:pt idx="5">
                  <c:v>9.0923590090189414E-3</c:v>
                </c:pt>
                <c:pt idx="6">
                  <c:v>1.4468080302952109E-2</c:v>
                </c:pt>
                <c:pt idx="7">
                  <c:v>4.1516417564724593E-2</c:v>
                </c:pt>
                <c:pt idx="8">
                  <c:v>5.2010090564964485E-3</c:v>
                </c:pt>
                <c:pt idx="9">
                  <c:v>6.8784482201445618E-2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D8-404F-A102-7CC16B28B7EB}"/>
            </c:ext>
          </c:extLst>
        </c:ser>
        <c:ser>
          <c:idx val="2"/>
          <c:order val="2"/>
          <c:tx>
            <c:strRef>
              <c:f>'LCA Outputs'!$B$125</c:f>
              <c:strCache>
                <c:ptCount val="1"/>
                <c:pt idx="0">
                  <c:v>DAP Recovery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Outputs'!$C$125:$L$125</c:f>
              <c:numCache>
                <c:formatCode>0.00%</c:formatCode>
                <c:ptCount val="10"/>
                <c:pt idx="0">
                  <c:v>5.642818798112811E-3</c:v>
                </c:pt>
                <c:pt idx="1">
                  <c:v>1.18183481858145E-2</c:v>
                </c:pt>
                <c:pt idx="2">
                  <c:v>0.10057563048207138</c:v>
                </c:pt>
                <c:pt idx="3">
                  <c:v>5.6624697191079036E-2</c:v>
                </c:pt>
                <c:pt idx="4">
                  <c:v>2.0030504874108269E-2</c:v>
                </c:pt>
                <c:pt idx="5">
                  <c:v>1.4583845491171264E-3</c:v>
                </c:pt>
                <c:pt idx="6">
                  <c:v>7.1540709159065626E-3</c:v>
                </c:pt>
                <c:pt idx="7">
                  <c:v>9.7480128374247358E-3</c:v>
                </c:pt>
                <c:pt idx="8">
                  <c:v>1.5308499745511154E-2</c:v>
                </c:pt>
                <c:pt idx="9">
                  <c:v>8.1892090142828746E-3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D8-404F-A102-7CC16B28B7EB}"/>
            </c:ext>
          </c:extLst>
        </c:ser>
        <c:ser>
          <c:idx val="3"/>
          <c:order val="3"/>
          <c:tx>
            <c:strRef>
              <c:f>'LCA Outputs'!$B$126</c:f>
              <c:strCache>
                <c:ptCount val="1"/>
                <c:pt idx="0">
                  <c:v>Electricity Production Credits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'LCA Outputs'!$C$102:$L$103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Outputs'!$C$126:$L$126</c:f>
              <c:numCache>
                <c:formatCode>0.00%</c:formatCode>
                <c:ptCount val="10"/>
                <c:pt idx="0">
                  <c:v>0.9914518843330371</c:v>
                </c:pt>
                <c:pt idx="1">
                  <c:v>0.98109436688671048</c:v>
                </c:pt>
                <c:pt idx="2">
                  <c:v>0.85059501056329534</c:v>
                </c:pt>
                <c:pt idx="3">
                  <c:v>0.92175928719326239</c:v>
                </c:pt>
                <c:pt idx="4">
                  <c:v>0.94603449973650111</c:v>
                </c:pt>
                <c:pt idx="5">
                  <c:v>0.18702228139847649</c:v>
                </c:pt>
                <c:pt idx="6">
                  <c:v>0.97837784878114131</c:v>
                </c:pt>
                <c:pt idx="7">
                  <c:v>0.94873556959785077</c:v>
                </c:pt>
                <c:pt idx="8">
                  <c:v>0.97949049119799236</c:v>
                </c:pt>
                <c:pt idx="9">
                  <c:v>0.9230263087842715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D8-404F-A102-7CC16B28B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catAx>
        <c:axId val="95413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%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of Impact Category by Process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4.2048569906201648E-3"/>
              <c:y val="7.314126799913671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62667555269657"/>
          <c:y val="0.13907043184842111"/>
          <c:w val="0.24112793954278899"/>
          <c:h val="0.239970372711377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Annual Cultivation Energy</a:t>
            </a:r>
          </a:p>
        </c:rich>
      </c:tx>
      <c:layout>
        <c:manualLayout>
          <c:xMode val="edge"/>
          <c:yMode val="edge"/>
          <c:x val="0.31108900861076577"/>
          <c:y val="2.815484722590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16705806511029"/>
          <c:y val="0.1491804690869912"/>
          <c:w val="0.42884123037251926"/>
          <c:h val="0.757513290418040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'Process Model Outputs'!$B$13</c:f>
              <c:strCache>
                <c:ptCount val="1"/>
                <c:pt idx="0">
                  <c:v>Pumping Energy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Outputs'!$C$13</c:f>
              <c:numCache>
                <c:formatCode>0</c:formatCode>
                <c:ptCount val="1"/>
                <c:pt idx="0">
                  <c:v>18938144.775515381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5-40DC-8924-85D4B348AEBC}"/>
            </c:ext>
          </c:extLst>
        </c:ser>
        <c:ser>
          <c:idx val="1"/>
          <c:order val="1"/>
          <c:tx>
            <c:strRef>
              <c:f>'Process Model Outputs'!$B$14</c:f>
              <c:strCache>
                <c:ptCount val="1"/>
                <c:pt idx="0">
                  <c:v>Paddlewheel Energy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Outputs'!$C$14</c:f>
              <c:numCache>
                <c:formatCode>0</c:formatCode>
                <c:ptCount val="1"/>
                <c:pt idx="0">
                  <c:v>40658691.375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B5-40DC-8924-85D4B348AEBC}"/>
            </c:ext>
          </c:extLst>
        </c:ser>
        <c:ser>
          <c:idx val="2"/>
          <c:order val="2"/>
          <c:tx>
            <c:strRef>
              <c:f>'Process Model Outputs'!$B$15</c:f>
              <c:strCache>
                <c:ptCount val="1"/>
                <c:pt idx="0">
                  <c:v>Sparging Energy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Outputs'!$C$15</c:f>
              <c:numCache>
                <c:formatCode>0</c:formatCode>
                <c:ptCount val="1"/>
                <c:pt idx="0">
                  <c:v>14953906.83796923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B5-40DC-8924-85D4B348AEBC}"/>
            </c:ext>
          </c:extLst>
        </c:ser>
        <c:ser>
          <c:idx val="3"/>
          <c:order val="3"/>
          <c:tx>
            <c:strRef>
              <c:f>'Process Model Outputs'!$B$16</c:f>
              <c:strCache>
                <c:ptCount val="1"/>
                <c:pt idx="0">
                  <c:v>Membrane Energy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Outputs'!$C$16</c:f>
              <c:numCache>
                <c:formatCode>0</c:formatCode>
                <c:ptCount val="1"/>
                <c:pt idx="0">
                  <c:v>784400.27836923068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B5-40DC-8924-85D4B348AEBC}"/>
            </c:ext>
          </c:extLst>
        </c:ser>
        <c:ser>
          <c:idx val="4"/>
          <c:order val="4"/>
          <c:tx>
            <c:strRef>
              <c:f>'Process Model Outputs'!$B$17</c:f>
              <c:strCache>
                <c:ptCount val="1"/>
                <c:pt idx="0">
                  <c:v>Centrifuge Energy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Outputs'!$C$17</c:f>
              <c:numCache>
                <c:formatCode>0</c:formatCode>
                <c:ptCount val="1"/>
                <c:pt idx="0">
                  <c:v>2026241.6806153846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B5-40DC-8924-85D4B348AEBC}"/>
            </c:ext>
          </c:extLst>
        </c:ser>
        <c:ser>
          <c:idx val="5"/>
          <c:order val="5"/>
          <c:tx>
            <c:strRef>
              <c:f>'Process Model Outputs'!$B$18</c:f>
              <c:strCache>
                <c:ptCount val="1"/>
                <c:pt idx="0">
                  <c:v>UV Sterilization Energy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Outputs'!$C$18</c:f>
              <c:numCache>
                <c:formatCode>0</c:formatCode>
                <c:ptCount val="1"/>
                <c:pt idx="0">
                  <c:v>50558.499376923079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B5-40DC-8924-85D4B348AEBC}"/>
            </c:ext>
          </c:extLst>
        </c:ser>
        <c:ser>
          <c:idx val="6"/>
          <c:order val="6"/>
          <c:tx>
            <c:strRef>
              <c:f>'Process Model Outputs'!$B$19</c:f>
              <c:strCache>
                <c:ptCount val="1"/>
                <c:pt idx="0">
                  <c:v>Makeup Water Pumping Energy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Outputs'!$C$19</c:f>
              <c:numCache>
                <c:formatCode>0</c:formatCode>
                <c:ptCount val="1"/>
                <c:pt idx="0">
                  <c:v>6603192.7444461538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B5-40DC-8924-85D4B348A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7939872"/>
        <c:axId val="917924064"/>
      </c:barChart>
      <c:catAx>
        <c:axId val="91793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24064"/>
        <c:crosses val="autoZero"/>
        <c:auto val="1"/>
        <c:lblAlgn val="ctr"/>
        <c:lblOffset val="100"/>
        <c:noMultiLvlLbl val="0"/>
      </c:catAx>
      <c:valAx>
        <c:axId val="917924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Cultivation Energy by Equipment </a:t>
                </a:r>
              </a:p>
              <a:p>
                <a:pPr>
                  <a:defRPr sz="1200">
                    <a:solidFill>
                      <a:sysClr val="windowText" lastClr="000000"/>
                    </a:solidFill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(MWh/yr)</a:t>
                </a:r>
              </a:p>
            </c:rich>
          </c:tx>
          <c:layout>
            <c:manualLayout>
              <c:xMode val="edge"/>
              <c:yMode val="edge"/>
              <c:x val="2.3391812865497075E-2"/>
              <c:y val="0.16009403528951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3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644103697564108"/>
          <c:y val="0.25489856989102067"/>
          <c:w val="0.38968365796380711"/>
          <c:h val="0.57908329447957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2</xdr:row>
      <xdr:rowOff>61911</xdr:rowOff>
    </xdr:from>
    <xdr:to>
      <xdr:col>11</xdr:col>
      <xdr:colOff>390525</xdr:colOff>
      <xdr:row>20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22</xdr:row>
      <xdr:rowOff>85725</xdr:rowOff>
    </xdr:from>
    <xdr:to>
      <xdr:col>11</xdr:col>
      <xdr:colOff>342900</xdr:colOff>
      <xdr:row>41</xdr:row>
      <xdr:rowOff>166688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257175</xdr:colOff>
      <xdr:row>42</xdr:row>
      <xdr:rowOff>66675</xdr:rowOff>
    </xdr:from>
    <xdr:to>
      <xdr:col>11</xdr:col>
      <xdr:colOff>333375</xdr:colOff>
      <xdr:row>61</xdr:row>
      <xdr:rowOff>147638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447675</xdr:colOff>
      <xdr:row>22</xdr:row>
      <xdr:rowOff>100012</xdr:rowOff>
    </xdr:from>
    <xdr:to>
      <xdr:col>18</xdr:col>
      <xdr:colOff>514350</xdr:colOff>
      <xdr:row>36</xdr:row>
      <xdr:rowOff>176212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11</xdr:row>
      <xdr:rowOff>147636</xdr:rowOff>
    </xdr:from>
    <xdr:to>
      <xdr:col>7</xdr:col>
      <xdr:colOff>219075</xdr:colOff>
      <xdr:row>39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</xdr:colOff>
      <xdr:row>40</xdr:row>
      <xdr:rowOff>4761</xdr:rowOff>
    </xdr:from>
    <xdr:to>
      <xdr:col>7</xdr:col>
      <xdr:colOff>209550</xdr:colOff>
      <xdr:row>62</xdr:row>
      <xdr:rowOff>28574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5881</xdr:colOff>
      <xdr:row>86</xdr:row>
      <xdr:rowOff>68074</xdr:rowOff>
    </xdr:from>
    <xdr:to>
      <xdr:col>7</xdr:col>
      <xdr:colOff>773206</xdr:colOff>
      <xdr:row>114</xdr:row>
      <xdr:rowOff>89647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1019177</xdr:colOff>
      <xdr:row>86</xdr:row>
      <xdr:rowOff>67237</xdr:rowOff>
    </xdr:from>
    <xdr:to>
      <xdr:col>11</xdr:col>
      <xdr:colOff>1927414</xdr:colOff>
      <xdr:row>114</xdr:row>
      <xdr:rowOff>67236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39</xdr:row>
          <xdr:rowOff>142875</xdr:rowOff>
        </xdr:from>
        <xdr:to>
          <xdr:col>5</xdr:col>
          <xdr:colOff>771525</xdr:colOff>
          <xdr:row>42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for MBSP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39</xdr:row>
          <xdr:rowOff>142875</xdr:rowOff>
        </xdr:from>
        <xdr:to>
          <xdr:col>5</xdr:col>
          <xdr:colOff>771525</xdr:colOff>
          <xdr:row>42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for MBSP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39</xdr:row>
          <xdr:rowOff>142875</xdr:rowOff>
        </xdr:from>
        <xdr:to>
          <xdr:col>5</xdr:col>
          <xdr:colOff>771525</xdr:colOff>
          <xdr:row>42</xdr:row>
          <xdr:rowOff>133350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for MBSP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53</xdr:row>
          <xdr:rowOff>142875</xdr:rowOff>
        </xdr:from>
        <xdr:to>
          <xdr:col>5</xdr:col>
          <xdr:colOff>771525</xdr:colOff>
          <xdr:row>56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for MLSP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325539</xdr:colOff>
      <xdr:row>4</xdr:row>
      <xdr:rowOff>103744</xdr:rowOff>
    </xdr:from>
    <xdr:to>
      <xdr:col>19</xdr:col>
      <xdr:colOff>1049400</xdr:colOff>
      <xdr:row>44</xdr:row>
      <xdr:rowOff>114628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63</xdr:row>
          <xdr:rowOff>142875</xdr:rowOff>
        </xdr:from>
        <xdr:to>
          <xdr:col>5</xdr:col>
          <xdr:colOff>771525</xdr:colOff>
          <xdr:row>66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for MFSP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389804</xdr:colOff>
      <xdr:row>4</xdr:row>
      <xdr:rowOff>147279</xdr:rowOff>
    </xdr:from>
    <xdr:to>
      <xdr:col>19</xdr:col>
      <xdr:colOff>1111190</xdr:colOff>
      <xdr:row>44</xdr:row>
      <xdr:rowOff>42709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118281</xdr:colOff>
      <xdr:row>48</xdr:row>
      <xdr:rowOff>11829</xdr:rowOff>
    </xdr:from>
    <xdr:to>
      <xdr:col>22</xdr:col>
      <xdr:colOff>202327</xdr:colOff>
      <xdr:row>80</xdr:row>
      <xdr:rowOff>156385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414617</xdr:colOff>
      <xdr:row>100</xdr:row>
      <xdr:rowOff>33618</xdr:rowOff>
    </xdr:from>
    <xdr:to>
      <xdr:col>32</xdr:col>
      <xdr:colOff>268941</xdr:colOff>
      <xdr:row>138</xdr:row>
      <xdr:rowOff>22413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287334</xdr:colOff>
      <xdr:row>47</xdr:row>
      <xdr:rowOff>179294</xdr:rowOff>
    </xdr:from>
    <xdr:to>
      <xdr:col>32</xdr:col>
      <xdr:colOff>56030</xdr:colOff>
      <xdr:row>80</xdr:row>
      <xdr:rowOff>178740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432955</xdr:colOff>
      <xdr:row>139</xdr:row>
      <xdr:rowOff>-1</xdr:rowOff>
    </xdr:from>
    <xdr:to>
      <xdr:col>32</xdr:col>
      <xdr:colOff>287279</xdr:colOff>
      <xdr:row>175</xdr:row>
      <xdr:rowOff>179294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188735</xdr:colOff>
      <xdr:row>1</xdr:row>
      <xdr:rowOff>150958</xdr:rowOff>
    </xdr:from>
    <xdr:to>
      <xdr:col>24</xdr:col>
      <xdr:colOff>226833</xdr:colOff>
      <xdr:row>23</xdr:row>
      <xdr:rowOff>167287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293508</xdr:colOff>
      <xdr:row>1</xdr:row>
      <xdr:rowOff>150958</xdr:rowOff>
    </xdr:from>
    <xdr:to>
      <xdr:col>32</xdr:col>
      <xdr:colOff>317323</xdr:colOff>
      <xdr:row>18</xdr:row>
      <xdr:rowOff>112857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459440</xdr:colOff>
      <xdr:row>1</xdr:row>
      <xdr:rowOff>89647</xdr:rowOff>
    </xdr:from>
    <xdr:to>
      <xdr:col>15</xdr:col>
      <xdr:colOff>425822</xdr:colOff>
      <xdr:row>23</xdr:row>
      <xdr:rowOff>33618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457760</xdr:colOff>
      <xdr:row>23</xdr:row>
      <xdr:rowOff>141194</xdr:rowOff>
    </xdr:from>
    <xdr:to>
      <xdr:col>15</xdr:col>
      <xdr:colOff>459441</xdr:colOff>
      <xdr:row>43</xdr:row>
      <xdr:rowOff>31657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313765</xdr:colOff>
      <xdr:row>24</xdr:row>
      <xdr:rowOff>156882</xdr:rowOff>
    </xdr:from>
    <xdr:to>
      <xdr:col>7</xdr:col>
      <xdr:colOff>358588</xdr:colOff>
      <xdr:row>43</xdr:row>
      <xdr:rowOff>11206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185736</xdr:colOff>
      <xdr:row>24</xdr:row>
      <xdr:rowOff>56029</xdr:rowOff>
    </xdr:from>
    <xdr:to>
      <xdr:col>24</xdr:col>
      <xdr:colOff>201706</xdr:colOff>
      <xdr:row>43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291353</xdr:colOff>
      <xdr:row>18</xdr:row>
      <xdr:rowOff>178456</xdr:rowOff>
    </xdr:from>
    <xdr:to>
      <xdr:col>32</xdr:col>
      <xdr:colOff>285730</xdr:colOff>
      <xdr:row>43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111039</xdr:colOff>
      <xdr:row>45</xdr:row>
      <xdr:rowOff>112059</xdr:rowOff>
    </xdr:from>
    <xdr:to>
      <xdr:col>8</xdr:col>
      <xdr:colOff>588818</xdr:colOff>
      <xdr:row>72</xdr:row>
      <xdr:rowOff>103909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121226</xdr:colOff>
      <xdr:row>73</xdr:row>
      <xdr:rowOff>42786</xdr:rowOff>
    </xdr:from>
    <xdr:to>
      <xdr:col>8</xdr:col>
      <xdr:colOff>588818</xdr:colOff>
      <xdr:row>98</xdr:row>
      <xdr:rowOff>34637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173182</xdr:colOff>
      <xdr:row>45</xdr:row>
      <xdr:rowOff>99835</xdr:rowOff>
    </xdr:from>
    <xdr:to>
      <xdr:col>32</xdr:col>
      <xdr:colOff>309562</xdr:colOff>
      <xdr:row>72</xdr:row>
      <xdr:rowOff>107674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190500</xdr:colOff>
      <xdr:row>73</xdr:row>
      <xdr:rowOff>49696</xdr:rowOff>
    </xdr:from>
    <xdr:to>
      <xdr:col>32</xdr:col>
      <xdr:colOff>285750</xdr:colOff>
      <xdr:row>98</xdr:row>
      <xdr:rowOff>27215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259772</xdr:colOff>
      <xdr:row>1</xdr:row>
      <xdr:rowOff>69273</xdr:rowOff>
    </xdr:from>
    <xdr:to>
      <xdr:col>7</xdr:col>
      <xdr:colOff>360217</xdr:colOff>
      <xdr:row>24</xdr:row>
      <xdr:rowOff>51955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678CB-4D2F-4464-A66D-B4537623E479}">
  <sheetPr codeName="Sheet1"/>
  <dimension ref="A1:D57"/>
  <sheetViews>
    <sheetView workbookViewId="0">
      <selection activeCell="C3" sqref="C3"/>
    </sheetView>
  </sheetViews>
  <sheetFormatPr defaultRowHeight="15" x14ac:dyDescent="0.25"/>
  <cols>
    <col min="1" max="1" width="30.85546875" customWidth="1"/>
    <col min="2" max="2" width="31.140625" customWidth="1"/>
    <col min="3" max="3" width="28.7109375" customWidth="1"/>
    <col min="4" max="4" width="31.5703125" bestFit="1" customWidth="1"/>
    <col min="10" max="10" width="11.7109375" bestFit="1" customWidth="1"/>
  </cols>
  <sheetData>
    <row r="1" spans="1:4" x14ac:dyDescent="0.25">
      <c r="A1" s="334" t="s">
        <v>3</v>
      </c>
      <c r="B1" s="334"/>
      <c r="C1" s="334"/>
      <c r="D1" s="335"/>
    </row>
    <row r="2" spans="1:4" x14ac:dyDescent="0.25">
      <c r="A2" s="5" t="s">
        <v>38</v>
      </c>
      <c r="B2" s="1" t="s">
        <v>0</v>
      </c>
      <c r="C2" s="1" t="s">
        <v>1</v>
      </c>
      <c r="D2" s="12" t="s">
        <v>2</v>
      </c>
    </row>
    <row r="3" spans="1:4" x14ac:dyDescent="0.25">
      <c r="A3" s="4" t="s">
        <v>39</v>
      </c>
      <c r="B3" s="3" t="s">
        <v>4</v>
      </c>
      <c r="C3" s="70" t="s">
        <v>588</v>
      </c>
      <c r="D3" s="13" t="s">
        <v>267</v>
      </c>
    </row>
    <row r="4" spans="1:4" x14ac:dyDescent="0.25">
      <c r="A4" s="336" t="s">
        <v>40</v>
      </c>
      <c r="B4" t="s">
        <v>5</v>
      </c>
      <c r="C4" s="9">
        <v>5000</v>
      </c>
      <c r="D4" s="14" t="s">
        <v>6</v>
      </c>
    </row>
    <row r="5" spans="1:4" x14ac:dyDescent="0.25">
      <c r="A5" s="337"/>
      <c r="B5" t="s">
        <v>7</v>
      </c>
      <c r="C5" s="9">
        <v>10</v>
      </c>
      <c r="D5" s="14" t="s">
        <v>8</v>
      </c>
    </row>
    <row r="6" spans="1:4" x14ac:dyDescent="0.25">
      <c r="A6" s="337"/>
      <c r="B6" t="s">
        <v>9</v>
      </c>
      <c r="C6" s="9">
        <v>0.2</v>
      </c>
      <c r="D6" s="14" t="s">
        <v>12</v>
      </c>
    </row>
    <row r="7" spans="1:4" x14ac:dyDescent="0.25">
      <c r="A7" s="337"/>
      <c r="B7" t="s">
        <v>10</v>
      </c>
      <c r="C7" s="9">
        <v>0.25</v>
      </c>
      <c r="D7" s="14" t="s">
        <v>12</v>
      </c>
    </row>
    <row r="8" spans="1:4" x14ac:dyDescent="0.25">
      <c r="A8" s="338"/>
      <c r="B8" s="2" t="s">
        <v>11</v>
      </c>
      <c r="C8" s="10">
        <v>0.15</v>
      </c>
      <c r="D8" s="15" t="s">
        <v>12</v>
      </c>
    </row>
    <row r="9" spans="1:4" x14ac:dyDescent="0.25">
      <c r="A9" s="339" t="s">
        <v>41</v>
      </c>
      <c r="B9" t="s">
        <v>13</v>
      </c>
      <c r="C9" s="9" t="s">
        <v>589</v>
      </c>
      <c r="D9" s="14" t="s">
        <v>14</v>
      </c>
    </row>
    <row r="10" spans="1:4" x14ac:dyDescent="0.25">
      <c r="A10" s="339"/>
      <c r="B10" t="s">
        <v>15</v>
      </c>
      <c r="C10" s="9">
        <v>0.1</v>
      </c>
      <c r="D10" s="14" t="s">
        <v>18</v>
      </c>
    </row>
    <row r="11" spans="1:4" x14ac:dyDescent="0.25">
      <c r="A11" s="339"/>
      <c r="B11" t="s">
        <v>16</v>
      </c>
      <c r="C11" s="9">
        <v>0.6</v>
      </c>
      <c r="D11" s="14" t="s">
        <v>18</v>
      </c>
    </row>
    <row r="12" spans="1:4" x14ac:dyDescent="0.25">
      <c r="A12" s="339"/>
      <c r="B12" s="2" t="s">
        <v>17</v>
      </c>
      <c r="C12" s="10">
        <v>5</v>
      </c>
      <c r="D12" s="15" t="s">
        <v>19</v>
      </c>
    </row>
    <row r="13" spans="1:4" x14ac:dyDescent="0.25">
      <c r="A13" s="339" t="s">
        <v>42</v>
      </c>
      <c r="B13" t="s">
        <v>20</v>
      </c>
      <c r="C13" s="9">
        <v>0.54</v>
      </c>
      <c r="D13" s="14" t="s">
        <v>21</v>
      </c>
    </row>
    <row r="14" spans="1:4" x14ac:dyDescent="0.25">
      <c r="A14" s="339"/>
      <c r="B14" s="2" t="s">
        <v>22</v>
      </c>
      <c r="C14" s="10">
        <v>0.95</v>
      </c>
      <c r="D14" s="15" t="s">
        <v>23</v>
      </c>
    </row>
    <row r="15" spans="1:4" x14ac:dyDescent="0.25">
      <c r="A15" s="339" t="s">
        <v>43</v>
      </c>
      <c r="B15" t="s">
        <v>25</v>
      </c>
      <c r="C15" s="9">
        <v>2.2000000000000001E-3</v>
      </c>
      <c r="D15" s="14" t="s">
        <v>21</v>
      </c>
    </row>
    <row r="16" spans="1:4" x14ac:dyDescent="0.25">
      <c r="A16" s="339"/>
      <c r="B16" t="s">
        <v>24</v>
      </c>
      <c r="C16" s="9">
        <v>1.7999999999999999E-2</v>
      </c>
      <c r="D16" s="14" t="s">
        <v>21</v>
      </c>
    </row>
    <row r="17" spans="1:4" x14ac:dyDescent="0.25">
      <c r="A17" s="339"/>
      <c r="B17" t="s">
        <v>26</v>
      </c>
      <c r="C17" s="9">
        <v>0.2</v>
      </c>
      <c r="D17" s="14" t="s">
        <v>30</v>
      </c>
    </row>
    <row r="18" spans="1:4" x14ac:dyDescent="0.25">
      <c r="A18" s="339"/>
      <c r="B18" t="s">
        <v>27</v>
      </c>
      <c r="C18" s="9">
        <v>0.18</v>
      </c>
      <c r="D18" s="14" t="s">
        <v>30</v>
      </c>
    </row>
    <row r="19" spans="1:4" x14ac:dyDescent="0.25">
      <c r="A19" s="339"/>
      <c r="B19" t="s">
        <v>28</v>
      </c>
      <c r="C19" s="9">
        <v>0.82</v>
      </c>
      <c r="D19" s="14" t="s">
        <v>30</v>
      </c>
    </row>
    <row r="20" spans="1:4" x14ac:dyDescent="0.25">
      <c r="A20" s="339"/>
      <c r="B20" s="2" t="s">
        <v>29</v>
      </c>
      <c r="C20" s="17">
        <v>0.2</v>
      </c>
      <c r="D20" s="15" t="s">
        <v>31</v>
      </c>
    </row>
    <row r="21" spans="1:4" x14ac:dyDescent="0.25">
      <c r="A21" s="333" t="s">
        <v>44</v>
      </c>
      <c r="B21" t="s">
        <v>32</v>
      </c>
      <c r="C21" s="9">
        <v>0.09</v>
      </c>
      <c r="D21" s="14" t="s">
        <v>30</v>
      </c>
    </row>
    <row r="22" spans="1:4" x14ac:dyDescent="0.25">
      <c r="A22" s="333"/>
      <c r="B22" t="s">
        <v>33</v>
      </c>
      <c r="C22" s="18">
        <v>0.42099999999999999</v>
      </c>
      <c r="D22" s="14" t="s">
        <v>30</v>
      </c>
    </row>
    <row r="23" spans="1:4" x14ac:dyDescent="0.25">
      <c r="A23" s="333"/>
      <c r="B23" t="s">
        <v>34</v>
      </c>
      <c r="C23" s="9">
        <v>0.41199999999999998</v>
      </c>
      <c r="D23" s="14" t="s">
        <v>30</v>
      </c>
    </row>
    <row r="24" spans="1:4" x14ac:dyDescent="0.25">
      <c r="A24" s="333"/>
      <c r="B24" s="2" t="s">
        <v>35</v>
      </c>
      <c r="C24" s="10">
        <v>7.6999999999999999E-2</v>
      </c>
      <c r="D24" s="15" t="s">
        <v>30</v>
      </c>
    </row>
    <row r="25" spans="1:4" x14ac:dyDescent="0.25">
      <c r="A25" s="333" t="s">
        <v>45</v>
      </c>
      <c r="B25" t="s">
        <v>36</v>
      </c>
      <c r="C25" s="9">
        <v>0.05</v>
      </c>
      <c r="D25" s="14" t="s">
        <v>46</v>
      </c>
    </row>
    <row r="26" spans="1:4" x14ac:dyDescent="0.25">
      <c r="A26" s="333"/>
      <c r="B26" s="2" t="s">
        <v>37</v>
      </c>
      <c r="C26" s="17">
        <v>0.7</v>
      </c>
      <c r="D26" s="15" t="s">
        <v>47</v>
      </c>
    </row>
    <row r="27" spans="1:4" x14ac:dyDescent="0.25">
      <c r="A27" s="327" t="s">
        <v>299</v>
      </c>
      <c r="B27" s="23" t="s">
        <v>48</v>
      </c>
      <c r="C27" s="11">
        <v>330</v>
      </c>
      <c r="D27" s="16" t="s">
        <v>49</v>
      </c>
    </row>
    <row r="28" spans="1:4" x14ac:dyDescent="0.25">
      <c r="A28" s="328"/>
      <c r="B28" s="82" t="s">
        <v>287</v>
      </c>
      <c r="C28" s="85" t="s">
        <v>590</v>
      </c>
      <c r="D28" s="14" t="s">
        <v>288</v>
      </c>
    </row>
    <row r="29" spans="1:4" x14ac:dyDescent="0.25">
      <c r="A29" s="328"/>
      <c r="B29" s="82" t="s">
        <v>289</v>
      </c>
      <c r="C29" s="85">
        <v>1</v>
      </c>
      <c r="D29" s="14" t="s">
        <v>291</v>
      </c>
    </row>
    <row r="30" spans="1:4" x14ac:dyDescent="0.25">
      <c r="A30" s="328"/>
      <c r="B30" s="82" t="s">
        <v>290</v>
      </c>
      <c r="C30" s="85">
        <v>400</v>
      </c>
      <c r="D30" s="14" t="s">
        <v>292</v>
      </c>
    </row>
    <row r="31" spans="1:4" x14ac:dyDescent="0.25">
      <c r="A31" s="328"/>
      <c r="B31" s="82" t="s">
        <v>293</v>
      </c>
      <c r="C31" s="85">
        <v>1.8</v>
      </c>
      <c r="D31" s="14" t="s">
        <v>294</v>
      </c>
    </row>
    <row r="32" spans="1:4" x14ac:dyDescent="0.25">
      <c r="A32" s="328"/>
      <c r="B32" s="82" t="s">
        <v>297</v>
      </c>
      <c r="C32" s="82">
        <v>5.2</v>
      </c>
      <c r="D32" s="14" t="s">
        <v>298</v>
      </c>
    </row>
    <row r="33" spans="1:4" x14ac:dyDescent="0.25">
      <c r="A33" s="329"/>
      <c r="B33" s="2" t="s">
        <v>295</v>
      </c>
      <c r="C33" s="10">
        <v>1</v>
      </c>
      <c r="D33" s="15" t="s">
        <v>296</v>
      </c>
    </row>
    <row r="34" spans="1:4" x14ac:dyDescent="0.25">
      <c r="A34" s="336" t="s">
        <v>306</v>
      </c>
      <c r="B34" s="23" t="s">
        <v>300</v>
      </c>
      <c r="C34" s="11" t="s">
        <v>591</v>
      </c>
      <c r="D34" s="16" t="s">
        <v>301</v>
      </c>
    </row>
    <row r="35" spans="1:4" x14ac:dyDescent="0.25">
      <c r="A35" s="337"/>
      <c r="B35" s="82" t="s">
        <v>302</v>
      </c>
      <c r="C35" s="85" t="s">
        <v>592</v>
      </c>
      <c r="D35" s="14" t="s">
        <v>303</v>
      </c>
    </row>
    <row r="36" spans="1:4" x14ac:dyDescent="0.25">
      <c r="A36" s="338"/>
      <c r="B36" s="82" t="s">
        <v>304</v>
      </c>
      <c r="C36" s="85" t="s">
        <v>593</v>
      </c>
      <c r="D36" s="14" t="s">
        <v>305</v>
      </c>
    </row>
    <row r="37" spans="1:4" x14ac:dyDescent="0.25">
      <c r="A37" s="330" t="s">
        <v>54</v>
      </c>
      <c r="B37" s="8" t="s">
        <v>50</v>
      </c>
      <c r="C37" s="11">
        <v>2019</v>
      </c>
      <c r="D37" s="16" t="s">
        <v>52</v>
      </c>
    </row>
    <row r="38" spans="1:4" x14ac:dyDescent="0.25">
      <c r="A38" s="331"/>
      <c r="B38" s="7" t="s">
        <v>51</v>
      </c>
      <c r="C38" s="86">
        <v>0.1</v>
      </c>
      <c r="D38" s="14" t="s">
        <v>53</v>
      </c>
    </row>
    <row r="39" spans="1:4" x14ac:dyDescent="0.25">
      <c r="A39" s="332"/>
      <c r="B39" s="6" t="s">
        <v>317</v>
      </c>
      <c r="C39" s="17" t="s">
        <v>594</v>
      </c>
      <c r="D39" s="15" t="s">
        <v>318</v>
      </c>
    </row>
    <row r="40" spans="1:4" x14ac:dyDescent="0.25">
      <c r="A40" s="336" t="s">
        <v>59</v>
      </c>
      <c r="B40" s="7" t="s">
        <v>55</v>
      </c>
      <c r="C40" s="85">
        <v>7.0000000000000007E-2</v>
      </c>
      <c r="D40" s="14" t="s">
        <v>63</v>
      </c>
    </row>
    <row r="41" spans="1:4" x14ac:dyDescent="0.25">
      <c r="A41" s="337"/>
      <c r="B41" s="7" t="s">
        <v>56</v>
      </c>
      <c r="C41" s="9">
        <v>50</v>
      </c>
      <c r="D41" s="14" t="s">
        <v>64</v>
      </c>
    </row>
    <row r="42" spans="1:4" x14ac:dyDescent="0.25">
      <c r="A42" s="337"/>
      <c r="B42" s="7" t="s">
        <v>57</v>
      </c>
      <c r="C42" s="18">
        <v>0.8</v>
      </c>
      <c r="D42" s="14" t="s">
        <v>65</v>
      </c>
    </row>
    <row r="43" spans="1:4" x14ac:dyDescent="0.25">
      <c r="A43" s="337"/>
      <c r="B43" s="7" t="s">
        <v>58</v>
      </c>
      <c r="C43" s="85">
        <v>0.66</v>
      </c>
      <c r="D43" s="14" t="s">
        <v>65</v>
      </c>
    </row>
    <row r="44" spans="1:4" x14ac:dyDescent="0.25">
      <c r="A44" s="327" t="s">
        <v>307</v>
      </c>
      <c r="B44" s="23" t="s">
        <v>60</v>
      </c>
      <c r="C44" s="19">
        <v>0.21540000000000001</v>
      </c>
      <c r="D44" s="16" t="s">
        <v>65</v>
      </c>
    </row>
    <row r="45" spans="1:4" x14ac:dyDescent="0.25">
      <c r="A45" s="328"/>
      <c r="B45" s="82" t="s">
        <v>61</v>
      </c>
      <c r="C45" s="85">
        <v>1.47</v>
      </c>
      <c r="D45" s="14" t="s">
        <v>65</v>
      </c>
    </row>
    <row r="46" spans="1:4" x14ac:dyDescent="0.25">
      <c r="A46" s="328"/>
      <c r="B46" s="82" t="s">
        <v>62</v>
      </c>
      <c r="C46" s="86">
        <v>0.20399999999999999</v>
      </c>
      <c r="D46" s="14" t="s">
        <v>66</v>
      </c>
    </row>
    <row r="47" spans="1:4" x14ac:dyDescent="0.25">
      <c r="A47" s="328"/>
      <c r="B47" s="82" t="s">
        <v>308</v>
      </c>
      <c r="C47" s="87">
        <v>0.73519983951112622</v>
      </c>
      <c r="D47" s="14" t="s">
        <v>65</v>
      </c>
    </row>
    <row r="48" spans="1:4" x14ac:dyDescent="0.25">
      <c r="A48" s="328"/>
      <c r="B48" s="82" t="s">
        <v>309</v>
      </c>
      <c r="C48" s="82">
        <v>45</v>
      </c>
      <c r="D48" s="14" t="s">
        <v>311</v>
      </c>
    </row>
    <row r="49" spans="1:4" x14ac:dyDescent="0.25">
      <c r="A49" s="329"/>
      <c r="B49" s="82" t="s">
        <v>310</v>
      </c>
      <c r="C49" s="82">
        <v>0.75</v>
      </c>
      <c r="D49" s="14" t="s">
        <v>312</v>
      </c>
    </row>
    <row r="50" spans="1:4" x14ac:dyDescent="0.25">
      <c r="A50" s="327" t="s">
        <v>313</v>
      </c>
      <c r="B50" s="8" t="s">
        <v>314</v>
      </c>
      <c r="C50" s="23">
        <v>3.55</v>
      </c>
      <c r="D50" s="16" t="s">
        <v>319</v>
      </c>
    </row>
    <row r="51" spans="1:4" x14ac:dyDescent="0.25">
      <c r="A51" s="328"/>
      <c r="B51" s="7" t="s">
        <v>315</v>
      </c>
      <c r="C51" s="82">
        <v>3.63</v>
      </c>
      <c r="D51" s="14" t="s">
        <v>319</v>
      </c>
    </row>
    <row r="52" spans="1:4" x14ac:dyDescent="0.25">
      <c r="A52" s="328"/>
      <c r="B52" s="7" t="s">
        <v>109</v>
      </c>
      <c r="C52" s="82">
        <v>4.05</v>
      </c>
      <c r="D52" s="14" t="s">
        <v>319</v>
      </c>
    </row>
    <row r="53" spans="1:4" x14ac:dyDescent="0.25">
      <c r="A53" s="328"/>
      <c r="B53" s="7" t="s">
        <v>316</v>
      </c>
      <c r="C53" s="82">
        <v>2.46</v>
      </c>
      <c r="D53" s="14" t="s">
        <v>319</v>
      </c>
    </row>
    <row r="54" spans="1:4" x14ac:dyDescent="0.25">
      <c r="A54" s="329"/>
      <c r="B54" s="6" t="s">
        <v>110</v>
      </c>
      <c r="C54" s="2">
        <v>5.17</v>
      </c>
      <c r="D54" s="15" t="s">
        <v>319</v>
      </c>
    </row>
    <row r="55" spans="1:4" x14ac:dyDescent="0.25">
      <c r="A55" s="82"/>
      <c r="B55" s="82"/>
      <c r="C55" s="82"/>
      <c r="D55" s="82"/>
    </row>
    <row r="56" spans="1:4" x14ac:dyDescent="0.25">
      <c r="B56" s="82"/>
      <c r="C56" s="82"/>
      <c r="D56" s="82"/>
    </row>
    <row r="57" spans="1:4" x14ac:dyDescent="0.25">
      <c r="B57" s="82"/>
      <c r="C57" s="82"/>
      <c r="D57" s="82"/>
    </row>
  </sheetData>
  <mergeCells count="13">
    <mergeCell ref="A50:A54"/>
    <mergeCell ref="A37:A39"/>
    <mergeCell ref="A25:A26"/>
    <mergeCell ref="A1:D1"/>
    <mergeCell ref="A4:A8"/>
    <mergeCell ref="A40:A43"/>
    <mergeCell ref="A9:A12"/>
    <mergeCell ref="A13:A14"/>
    <mergeCell ref="A15:A20"/>
    <mergeCell ref="A21:A24"/>
    <mergeCell ref="A27:A33"/>
    <mergeCell ref="A34:A36"/>
    <mergeCell ref="A44:A4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4839C-DC67-4EBE-94FA-FFD7EEB8D0C3}">
  <sheetPr codeName="Sheet4"/>
  <dimension ref="A1:D80"/>
  <sheetViews>
    <sheetView topLeftCell="A12" workbookViewId="0">
      <selection activeCell="C3" sqref="C3"/>
    </sheetView>
  </sheetViews>
  <sheetFormatPr defaultRowHeight="15" x14ac:dyDescent="0.25"/>
  <cols>
    <col min="1" max="1" width="25.5703125" customWidth="1"/>
    <col min="2" max="2" width="38.5703125" customWidth="1"/>
    <col min="3" max="3" width="13.140625" customWidth="1"/>
    <col min="4" max="4" width="34.42578125" customWidth="1"/>
  </cols>
  <sheetData>
    <row r="1" spans="1:4" x14ac:dyDescent="0.25">
      <c r="A1" s="346" t="s">
        <v>73</v>
      </c>
      <c r="B1" s="346"/>
      <c r="C1" s="346"/>
      <c r="D1" s="346"/>
    </row>
    <row r="2" spans="1:4" x14ac:dyDescent="0.25">
      <c r="A2" s="172" t="s">
        <v>74</v>
      </c>
      <c r="B2" s="173" t="s">
        <v>0</v>
      </c>
      <c r="C2" s="173" t="s">
        <v>1</v>
      </c>
      <c r="D2" s="174" t="s">
        <v>2</v>
      </c>
    </row>
    <row r="3" spans="1:4" x14ac:dyDescent="0.25">
      <c r="A3" s="333" t="s">
        <v>97</v>
      </c>
      <c r="B3" s="23" t="s">
        <v>76</v>
      </c>
      <c r="C3" s="25">
        <v>183500.10974615387</v>
      </c>
      <c r="D3" s="16" t="s">
        <v>75</v>
      </c>
    </row>
    <row r="4" spans="1:4" ht="17.25" x14ac:dyDescent="0.25">
      <c r="A4" s="333"/>
      <c r="B4" s="20" t="s">
        <v>67</v>
      </c>
      <c r="C4" s="21">
        <v>24.845061538461543</v>
      </c>
      <c r="D4" s="14" t="s">
        <v>98</v>
      </c>
    </row>
    <row r="5" spans="1:4" ht="17.25" x14ac:dyDescent="0.25">
      <c r="A5" s="333"/>
      <c r="B5" s="20" t="s">
        <v>68</v>
      </c>
      <c r="C5" s="21">
        <v>0.12422461538461538</v>
      </c>
      <c r="D5" s="14" t="s">
        <v>99</v>
      </c>
    </row>
    <row r="6" spans="1:4" ht="17.25" x14ac:dyDescent="0.25">
      <c r="A6" s="333"/>
      <c r="B6" s="20" t="s">
        <v>69</v>
      </c>
      <c r="C6" s="21">
        <v>26.441938461538463</v>
      </c>
      <c r="D6" s="14" t="s">
        <v>98</v>
      </c>
    </row>
    <row r="7" spans="1:4" ht="17.25" x14ac:dyDescent="0.25">
      <c r="A7" s="333"/>
      <c r="B7" s="20" t="s">
        <v>70</v>
      </c>
      <c r="C7" s="21">
        <v>26.565169230769229</v>
      </c>
      <c r="D7" s="14" t="s">
        <v>98</v>
      </c>
    </row>
    <row r="8" spans="1:4" ht="17.25" x14ac:dyDescent="0.25">
      <c r="A8" s="333"/>
      <c r="B8" s="20" t="s">
        <v>71</v>
      </c>
      <c r="C8" s="21">
        <v>24.612769230769235</v>
      </c>
      <c r="D8" s="14" t="s">
        <v>98</v>
      </c>
    </row>
    <row r="9" spans="1:4" ht="17.25" x14ac:dyDescent="0.25">
      <c r="A9" s="333"/>
      <c r="B9" s="2" t="s">
        <v>72</v>
      </c>
      <c r="C9" s="22">
        <v>21.689284615384619</v>
      </c>
      <c r="D9" s="15" t="s">
        <v>98</v>
      </c>
    </row>
    <row r="10" spans="1:4" x14ac:dyDescent="0.25">
      <c r="A10" s="339" t="s">
        <v>101</v>
      </c>
      <c r="B10" s="23" t="s">
        <v>80</v>
      </c>
      <c r="C10" s="25">
        <v>4724156.5061692307</v>
      </c>
      <c r="D10" s="16" t="s">
        <v>77</v>
      </c>
    </row>
    <row r="11" spans="1:4" x14ac:dyDescent="0.25">
      <c r="A11" s="339"/>
      <c r="B11" s="20" t="s">
        <v>81</v>
      </c>
      <c r="C11" s="307">
        <v>2654668.6506000003</v>
      </c>
      <c r="D11" s="14" t="s">
        <v>77</v>
      </c>
    </row>
    <row r="12" spans="1:4" x14ac:dyDescent="0.25">
      <c r="A12" s="339"/>
      <c r="B12" s="2" t="s">
        <v>82</v>
      </c>
      <c r="C12" s="24">
        <v>382452.86031538458</v>
      </c>
      <c r="D12" s="15" t="s">
        <v>78</v>
      </c>
    </row>
    <row r="13" spans="1:4" x14ac:dyDescent="0.25">
      <c r="A13" s="333" t="s">
        <v>102</v>
      </c>
      <c r="B13" s="23" t="s">
        <v>83</v>
      </c>
      <c r="C13" s="25">
        <v>18938144.775515381</v>
      </c>
      <c r="D13" s="16" t="s">
        <v>79</v>
      </c>
    </row>
    <row r="14" spans="1:4" x14ac:dyDescent="0.25">
      <c r="A14" s="333"/>
      <c r="B14" s="20" t="s">
        <v>84</v>
      </c>
      <c r="C14" s="307">
        <v>40658691.375</v>
      </c>
      <c r="D14" s="14" t="s">
        <v>79</v>
      </c>
    </row>
    <row r="15" spans="1:4" x14ac:dyDescent="0.25">
      <c r="A15" s="333"/>
      <c r="B15" s="287" t="s">
        <v>85</v>
      </c>
      <c r="C15" s="301">
        <v>14953906.83796923</v>
      </c>
      <c r="D15" s="14" t="s">
        <v>79</v>
      </c>
    </row>
    <row r="16" spans="1:4" x14ac:dyDescent="0.25">
      <c r="A16" s="327" t="s">
        <v>103</v>
      </c>
      <c r="B16" s="8" t="s">
        <v>86</v>
      </c>
      <c r="C16" s="25">
        <v>784400.27836923068</v>
      </c>
      <c r="D16" s="16" t="s">
        <v>79</v>
      </c>
    </row>
    <row r="17" spans="1:4" x14ac:dyDescent="0.25">
      <c r="A17" s="328"/>
      <c r="B17" s="7" t="s">
        <v>87</v>
      </c>
      <c r="C17" s="301">
        <v>2026241.6806153846</v>
      </c>
      <c r="D17" s="14" t="s">
        <v>79</v>
      </c>
    </row>
    <row r="18" spans="1:4" x14ac:dyDescent="0.25">
      <c r="A18" s="328"/>
      <c r="B18" s="7" t="s">
        <v>88</v>
      </c>
      <c r="C18" s="301">
        <v>50558.499376923079</v>
      </c>
      <c r="D18" s="14" t="s">
        <v>79</v>
      </c>
    </row>
    <row r="19" spans="1:4" x14ac:dyDescent="0.25">
      <c r="A19" s="329"/>
      <c r="B19" s="6" t="s">
        <v>583</v>
      </c>
      <c r="C19" s="24">
        <v>6603192.7444461538</v>
      </c>
      <c r="D19" s="15" t="s">
        <v>79</v>
      </c>
    </row>
    <row r="20" spans="1:4" ht="17.25" x14ac:dyDescent="0.25">
      <c r="A20" s="327" t="s">
        <v>104</v>
      </c>
      <c r="B20" s="287" t="s">
        <v>89</v>
      </c>
      <c r="C20" s="308">
        <v>137.68079230769231</v>
      </c>
      <c r="D20" s="14" t="s">
        <v>100</v>
      </c>
    </row>
    <row r="21" spans="1:4" ht="17.25" x14ac:dyDescent="0.25">
      <c r="A21" s="329"/>
      <c r="B21" s="2" t="s">
        <v>90</v>
      </c>
      <c r="C21" s="22">
        <v>0</v>
      </c>
      <c r="D21" s="15" t="s">
        <v>100</v>
      </c>
    </row>
    <row r="22" spans="1:4" ht="15" customHeight="1" x14ac:dyDescent="0.25">
      <c r="A22" s="300" t="s">
        <v>105</v>
      </c>
      <c r="B22" s="302" t="s">
        <v>91</v>
      </c>
      <c r="C22" s="309">
        <v>183500.10974615387</v>
      </c>
      <c r="D22" s="303" t="s">
        <v>75</v>
      </c>
    </row>
    <row r="23" spans="1:4" x14ac:dyDescent="0.25">
      <c r="A23" s="336" t="s">
        <v>106</v>
      </c>
      <c r="B23" s="304" t="s">
        <v>92</v>
      </c>
      <c r="C23" s="305">
        <v>0.26704153846153844</v>
      </c>
      <c r="D23" s="306" t="s">
        <v>96</v>
      </c>
    </row>
    <row r="24" spans="1:4" x14ac:dyDescent="0.25">
      <c r="A24" s="337"/>
      <c r="B24" s="20" t="s">
        <v>93</v>
      </c>
      <c r="C24" s="21">
        <v>0.37312615384615389</v>
      </c>
      <c r="D24" s="14" t="s">
        <v>96</v>
      </c>
    </row>
    <row r="25" spans="1:4" x14ac:dyDescent="0.25">
      <c r="A25" s="337"/>
      <c r="B25" s="20" t="s">
        <v>94</v>
      </c>
      <c r="C25" s="21">
        <v>0.40335692307692306</v>
      </c>
      <c r="D25" s="14" t="s">
        <v>96</v>
      </c>
    </row>
    <row r="26" spans="1:4" x14ac:dyDescent="0.25">
      <c r="A26" s="338"/>
      <c r="B26" s="2" t="s">
        <v>95</v>
      </c>
      <c r="C26" s="22">
        <v>0.27495230769230766</v>
      </c>
      <c r="D26" s="15" t="s">
        <v>96</v>
      </c>
    </row>
    <row r="27" spans="1:4" x14ac:dyDescent="0.25">
      <c r="A27" s="343" t="s">
        <v>320</v>
      </c>
      <c r="B27" s="344"/>
      <c r="C27" s="344"/>
      <c r="D27" s="345"/>
    </row>
    <row r="28" spans="1:4" x14ac:dyDescent="0.25">
      <c r="A28" s="175" t="s">
        <v>38</v>
      </c>
      <c r="B28" s="175" t="s">
        <v>0</v>
      </c>
      <c r="C28" s="175" t="s">
        <v>1</v>
      </c>
      <c r="D28" s="176" t="s">
        <v>2</v>
      </c>
    </row>
    <row r="29" spans="1:4" x14ac:dyDescent="0.25">
      <c r="A29" s="327" t="s">
        <v>322</v>
      </c>
      <c r="B29" s="23" t="s">
        <v>328</v>
      </c>
      <c r="C29" s="25">
        <v>355320.90343313082</v>
      </c>
      <c r="D29" s="16" t="s">
        <v>329</v>
      </c>
    </row>
    <row r="30" spans="1:4" x14ac:dyDescent="0.25">
      <c r="A30" s="328"/>
      <c r="B30" s="88" t="s">
        <v>330</v>
      </c>
      <c r="C30" s="89">
        <v>550747400.32133853</v>
      </c>
      <c r="D30" s="14" t="s">
        <v>331</v>
      </c>
    </row>
    <row r="31" spans="1:4" x14ac:dyDescent="0.25">
      <c r="A31" s="329"/>
      <c r="B31" s="2" t="s">
        <v>321</v>
      </c>
      <c r="C31" s="24">
        <v>2733237.718716308</v>
      </c>
      <c r="D31" s="15" t="s">
        <v>332</v>
      </c>
    </row>
    <row r="32" spans="1:4" x14ac:dyDescent="0.25">
      <c r="A32" s="327" t="s">
        <v>323</v>
      </c>
      <c r="B32" s="23" t="s">
        <v>333</v>
      </c>
      <c r="C32" s="25">
        <v>29478733.797038458</v>
      </c>
      <c r="D32" s="16" t="s">
        <v>79</v>
      </c>
    </row>
    <row r="33" spans="1:4" x14ac:dyDescent="0.25">
      <c r="A33" s="328"/>
      <c r="B33" s="88" t="s">
        <v>334</v>
      </c>
      <c r="C33" s="89">
        <v>36898709.202670008</v>
      </c>
      <c r="D33" s="14" t="s">
        <v>79</v>
      </c>
    </row>
    <row r="34" spans="1:4" x14ac:dyDescent="0.25">
      <c r="A34" s="328"/>
      <c r="B34" s="88" t="s">
        <v>335</v>
      </c>
      <c r="C34" s="89">
        <v>3013394.5848847697</v>
      </c>
      <c r="D34" s="14" t="s">
        <v>79</v>
      </c>
    </row>
    <row r="35" spans="1:4" x14ac:dyDescent="0.25">
      <c r="A35" s="328"/>
      <c r="B35" s="88" t="s">
        <v>336</v>
      </c>
      <c r="C35" s="89">
        <v>11861595.889963849</v>
      </c>
      <c r="D35" s="14" t="s">
        <v>79</v>
      </c>
    </row>
    <row r="36" spans="1:4" x14ac:dyDescent="0.25">
      <c r="A36" s="328"/>
      <c r="B36" s="88" t="s">
        <v>337</v>
      </c>
      <c r="C36" s="89">
        <v>12561940.335617691</v>
      </c>
      <c r="D36" s="14" t="s">
        <v>79</v>
      </c>
    </row>
    <row r="37" spans="1:4" x14ac:dyDescent="0.25">
      <c r="A37" s="328"/>
      <c r="B37" s="88" t="s">
        <v>338</v>
      </c>
      <c r="C37" s="89">
        <v>-83226633.163836151</v>
      </c>
      <c r="D37" s="14" t="s">
        <v>79</v>
      </c>
    </row>
    <row r="38" spans="1:4" x14ac:dyDescent="0.25">
      <c r="A38" s="329"/>
      <c r="B38" s="2" t="s">
        <v>339</v>
      </c>
      <c r="C38" s="24">
        <v>10587740.646339156</v>
      </c>
      <c r="D38" s="15" t="s">
        <v>79</v>
      </c>
    </row>
    <row r="39" spans="1:4" x14ac:dyDescent="0.25">
      <c r="A39" s="327" t="s">
        <v>324</v>
      </c>
      <c r="B39" s="23" t="s">
        <v>342</v>
      </c>
      <c r="C39" s="25">
        <v>116162603.04543075</v>
      </c>
      <c r="D39" s="16" t="s">
        <v>340</v>
      </c>
    </row>
    <row r="40" spans="1:4" x14ac:dyDescent="0.25">
      <c r="A40" s="328"/>
      <c r="B40" s="88" t="s">
        <v>343</v>
      </c>
      <c r="C40" s="89">
        <v>78744802.974740759</v>
      </c>
      <c r="D40" s="14" t="s">
        <v>340</v>
      </c>
    </row>
    <row r="41" spans="1:4" x14ac:dyDescent="0.25">
      <c r="A41" s="328"/>
      <c r="B41" s="88" t="s">
        <v>344</v>
      </c>
      <c r="C41" s="89">
        <v>65897754.944238469</v>
      </c>
      <c r="D41" s="14" t="s">
        <v>340</v>
      </c>
    </row>
    <row r="42" spans="1:4" x14ac:dyDescent="0.25">
      <c r="A42" s="328"/>
      <c r="B42" s="88" t="s">
        <v>345</v>
      </c>
      <c r="C42" s="89">
        <v>-108446825.03164616</v>
      </c>
      <c r="D42" s="14" t="s">
        <v>340</v>
      </c>
    </row>
    <row r="43" spans="1:4" x14ac:dyDescent="0.25">
      <c r="A43" s="329"/>
      <c r="B43" s="2" t="s">
        <v>346</v>
      </c>
      <c r="C43" s="24">
        <v>14543013.896816922</v>
      </c>
      <c r="D43" s="15" t="s">
        <v>341</v>
      </c>
    </row>
    <row r="44" spans="1:4" x14ac:dyDescent="0.25">
      <c r="A44" s="327" t="s">
        <v>325</v>
      </c>
      <c r="B44" s="23" t="s">
        <v>110</v>
      </c>
      <c r="C44" s="25">
        <v>5027934.2635584613</v>
      </c>
      <c r="D44" s="16" t="s">
        <v>108</v>
      </c>
    </row>
    <row r="45" spans="1:4" x14ac:dyDescent="0.25">
      <c r="A45" s="328"/>
      <c r="B45" s="88" t="s">
        <v>316</v>
      </c>
      <c r="C45" s="89">
        <v>11147782.637438459</v>
      </c>
      <c r="D45" s="14" t="s">
        <v>108</v>
      </c>
    </row>
    <row r="46" spans="1:4" x14ac:dyDescent="0.25">
      <c r="A46" s="328"/>
      <c r="B46" s="88" t="s">
        <v>347</v>
      </c>
      <c r="C46" s="89">
        <v>1696946.7576161539</v>
      </c>
      <c r="D46" s="14" t="s">
        <v>108</v>
      </c>
    </row>
    <row r="47" spans="1:4" x14ac:dyDescent="0.25">
      <c r="A47" s="328"/>
      <c r="B47" s="88" t="s">
        <v>315</v>
      </c>
      <c r="C47" s="89">
        <v>1969427.9226976922</v>
      </c>
      <c r="D47" s="14" t="s">
        <v>108</v>
      </c>
    </row>
    <row r="48" spans="1:4" x14ac:dyDescent="0.25">
      <c r="A48" s="329"/>
      <c r="B48" s="2" t="s">
        <v>314</v>
      </c>
      <c r="C48" s="24">
        <v>1537991.3797915387</v>
      </c>
      <c r="D48" s="15" t="s">
        <v>108</v>
      </c>
    </row>
    <row r="49" spans="1:4" x14ac:dyDescent="0.25">
      <c r="A49" s="327" t="s">
        <v>326</v>
      </c>
      <c r="B49" s="23" t="s">
        <v>348</v>
      </c>
      <c r="C49" s="25">
        <v>1399528.6094076922</v>
      </c>
      <c r="D49" s="16" t="s">
        <v>349</v>
      </c>
    </row>
    <row r="50" spans="1:4" x14ac:dyDescent="0.25">
      <c r="A50" s="328"/>
      <c r="B50" s="88" t="s">
        <v>351</v>
      </c>
      <c r="C50" s="89">
        <v>394603.90846692311</v>
      </c>
      <c r="D50" s="14" t="s">
        <v>350</v>
      </c>
    </row>
    <row r="51" spans="1:4" x14ac:dyDescent="0.25">
      <c r="A51" s="328"/>
      <c r="B51" s="88" t="s">
        <v>352</v>
      </c>
      <c r="C51" s="89">
        <v>3028.9622597461539</v>
      </c>
      <c r="D51" s="14" t="s">
        <v>353</v>
      </c>
    </row>
    <row r="52" spans="1:4" x14ac:dyDescent="0.25">
      <c r="A52" s="328"/>
      <c r="B52" s="88" t="s">
        <v>354</v>
      </c>
      <c r="C52" s="89">
        <v>3689.8709202692307</v>
      </c>
      <c r="D52" s="14" t="s">
        <v>355</v>
      </c>
    </row>
    <row r="53" spans="1:4" x14ac:dyDescent="0.25">
      <c r="A53" s="328"/>
      <c r="B53" s="88" t="s">
        <v>356</v>
      </c>
      <c r="C53" s="89">
        <v>26777.110124769235</v>
      </c>
      <c r="D53" s="14" t="s">
        <v>357</v>
      </c>
    </row>
    <row r="54" spans="1:4" x14ac:dyDescent="0.25">
      <c r="A54" s="329"/>
      <c r="B54" s="2" t="s">
        <v>358</v>
      </c>
      <c r="C54" s="24">
        <v>2262.7780974615384</v>
      </c>
      <c r="D54" s="15" t="s">
        <v>355</v>
      </c>
    </row>
    <row r="55" spans="1:4" x14ac:dyDescent="0.25">
      <c r="A55" s="327" t="s">
        <v>327</v>
      </c>
      <c r="B55" s="23" t="s">
        <v>359</v>
      </c>
      <c r="C55" s="25">
        <v>10508.413278284615</v>
      </c>
      <c r="D55" s="16" t="s">
        <v>360</v>
      </c>
    </row>
    <row r="56" spans="1:4" x14ac:dyDescent="0.25">
      <c r="A56" s="328"/>
      <c r="B56" s="88" t="s">
        <v>359</v>
      </c>
      <c r="C56" s="89">
        <v>10.508413278284614</v>
      </c>
      <c r="D56" s="14" t="s">
        <v>361</v>
      </c>
    </row>
    <row r="57" spans="1:4" x14ac:dyDescent="0.25">
      <c r="A57" s="329"/>
      <c r="B57" s="2" t="s">
        <v>362</v>
      </c>
      <c r="C57" s="24">
        <v>370552.76689769229</v>
      </c>
      <c r="D57" s="15" t="s">
        <v>363</v>
      </c>
    </row>
    <row r="59" spans="1:4" x14ac:dyDescent="0.25">
      <c r="A59" s="340" t="s">
        <v>457</v>
      </c>
      <c r="B59" s="341"/>
      <c r="C59" s="341"/>
      <c r="D59" s="342"/>
    </row>
    <row r="60" spans="1:4" x14ac:dyDescent="0.25">
      <c r="A60" s="170" t="s">
        <v>38</v>
      </c>
      <c r="B60" s="170" t="s">
        <v>0</v>
      </c>
      <c r="C60" s="170" t="s">
        <v>1</v>
      </c>
      <c r="D60" s="177" t="s">
        <v>2</v>
      </c>
    </row>
    <row r="61" spans="1:4" x14ac:dyDescent="0.25">
      <c r="A61" s="27" t="s">
        <v>468</v>
      </c>
      <c r="B61" s="26" t="s">
        <v>396</v>
      </c>
      <c r="C61" s="191">
        <v>355320.90343313082</v>
      </c>
      <c r="D61" s="13" t="s">
        <v>77</v>
      </c>
    </row>
    <row r="62" spans="1:4" x14ac:dyDescent="0.25">
      <c r="A62" s="327" t="s">
        <v>465</v>
      </c>
      <c r="B62" s="23" t="s">
        <v>333</v>
      </c>
      <c r="C62" s="25">
        <v>29478733.797038458</v>
      </c>
      <c r="D62" s="16" t="s">
        <v>79</v>
      </c>
    </row>
    <row r="63" spans="1:4" x14ac:dyDescent="0.25">
      <c r="A63" s="328"/>
      <c r="B63" s="163" t="s">
        <v>334</v>
      </c>
      <c r="C63" s="192">
        <v>36898709.202670008</v>
      </c>
      <c r="D63" s="14" t="s">
        <v>79</v>
      </c>
    </row>
    <row r="64" spans="1:4" x14ac:dyDescent="0.25">
      <c r="A64" s="328"/>
      <c r="B64" s="163" t="s">
        <v>336</v>
      </c>
      <c r="C64" s="192">
        <v>11861595.889963849</v>
      </c>
      <c r="D64" s="14" t="s">
        <v>79</v>
      </c>
    </row>
    <row r="65" spans="1:4" x14ac:dyDescent="0.25">
      <c r="A65" s="328"/>
      <c r="B65" s="163" t="s">
        <v>337</v>
      </c>
      <c r="C65" s="192">
        <v>12561940.335617691</v>
      </c>
      <c r="D65" s="14" t="s">
        <v>79</v>
      </c>
    </row>
    <row r="66" spans="1:4" x14ac:dyDescent="0.25">
      <c r="A66" s="328"/>
      <c r="B66" s="163" t="s">
        <v>338</v>
      </c>
      <c r="C66" s="192">
        <v>83226633.163836151</v>
      </c>
      <c r="D66" s="14" t="s">
        <v>79</v>
      </c>
    </row>
    <row r="67" spans="1:4" x14ac:dyDescent="0.25">
      <c r="A67" s="329"/>
      <c r="B67" s="2" t="s">
        <v>339</v>
      </c>
      <c r="C67" s="24">
        <v>7574346.0614536917</v>
      </c>
      <c r="D67" s="15" t="s">
        <v>79</v>
      </c>
    </row>
    <row r="68" spans="1:4" x14ac:dyDescent="0.25">
      <c r="A68" s="327" t="s">
        <v>466</v>
      </c>
      <c r="B68" s="23" t="s">
        <v>342</v>
      </c>
      <c r="C68" s="25">
        <v>116162603.04543075</v>
      </c>
      <c r="D68" s="16" t="s">
        <v>340</v>
      </c>
    </row>
    <row r="69" spans="1:4" x14ac:dyDescent="0.25">
      <c r="A69" s="328"/>
      <c r="B69" s="163" t="s">
        <v>344</v>
      </c>
      <c r="C69" s="192">
        <v>65897754.944238469</v>
      </c>
      <c r="D69" s="14" t="s">
        <v>340</v>
      </c>
    </row>
    <row r="70" spans="1:4" x14ac:dyDescent="0.25">
      <c r="A70" s="328"/>
      <c r="B70" s="163" t="s">
        <v>345</v>
      </c>
      <c r="C70" s="192">
        <v>108446825.03164616</v>
      </c>
      <c r="D70" s="14" t="s">
        <v>340</v>
      </c>
    </row>
    <row r="71" spans="1:4" x14ac:dyDescent="0.25">
      <c r="A71" s="329"/>
      <c r="B71" s="2" t="s">
        <v>346</v>
      </c>
      <c r="C71" s="24">
        <v>7026610.1703466931</v>
      </c>
      <c r="D71" s="15" t="s">
        <v>341</v>
      </c>
    </row>
    <row r="72" spans="1:4" x14ac:dyDescent="0.25">
      <c r="A72" s="327" t="s">
        <v>326</v>
      </c>
      <c r="B72" s="23" t="s">
        <v>348</v>
      </c>
      <c r="C72" s="25">
        <v>1399528.6094076922</v>
      </c>
      <c r="D72" s="16" t="s">
        <v>77</v>
      </c>
    </row>
    <row r="73" spans="1:4" x14ac:dyDescent="0.25">
      <c r="A73" s="328"/>
      <c r="B73" s="163" t="s">
        <v>351</v>
      </c>
      <c r="C73" s="192">
        <v>394603.90846692311</v>
      </c>
      <c r="D73" s="14" t="s">
        <v>77</v>
      </c>
    </row>
    <row r="74" spans="1:4" x14ac:dyDescent="0.25">
      <c r="A74" s="328"/>
      <c r="B74" s="163" t="s">
        <v>469</v>
      </c>
      <c r="C74" s="192">
        <v>3028.9622597461539</v>
      </c>
      <c r="D74" s="14" t="s">
        <v>353</v>
      </c>
    </row>
    <row r="75" spans="1:4" x14ac:dyDescent="0.25">
      <c r="A75" s="328"/>
      <c r="B75" s="163" t="s">
        <v>356</v>
      </c>
      <c r="C75" s="192">
        <v>26777.110124769235</v>
      </c>
      <c r="D75" s="14" t="s">
        <v>355</v>
      </c>
    </row>
    <row r="76" spans="1:4" x14ac:dyDescent="0.25">
      <c r="A76" s="329"/>
      <c r="B76" s="2" t="s">
        <v>471</v>
      </c>
      <c r="C76" s="24">
        <v>2262.7780974615384</v>
      </c>
      <c r="D76" s="15" t="s">
        <v>355</v>
      </c>
    </row>
    <row r="77" spans="1:4" x14ac:dyDescent="0.25">
      <c r="A77" s="327" t="s">
        <v>327</v>
      </c>
      <c r="B77" s="23" t="s">
        <v>359</v>
      </c>
      <c r="C77" s="25">
        <v>10508.413278284615</v>
      </c>
      <c r="D77" s="16" t="s">
        <v>360</v>
      </c>
    </row>
    <row r="78" spans="1:4" x14ac:dyDescent="0.25">
      <c r="A78" s="328"/>
      <c r="B78" s="163" t="s">
        <v>359</v>
      </c>
      <c r="C78" s="192">
        <v>10.508413278284614</v>
      </c>
      <c r="D78" s="14" t="s">
        <v>361</v>
      </c>
    </row>
    <row r="79" spans="1:4" x14ac:dyDescent="0.25">
      <c r="A79" s="329"/>
      <c r="B79" s="2" t="s">
        <v>362</v>
      </c>
      <c r="C79" s="24">
        <v>370552.76689769229</v>
      </c>
      <c r="D79" s="15" t="s">
        <v>363</v>
      </c>
    </row>
    <row r="80" spans="1:4" x14ac:dyDescent="0.25">
      <c r="A80" s="27" t="s">
        <v>467</v>
      </c>
      <c r="B80" s="26" t="s">
        <v>472</v>
      </c>
      <c r="C80" s="191">
        <v>68330.942968000003</v>
      </c>
      <c r="D80" s="13" t="s">
        <v>470</v>
      </c>
    </row>
  </sheetData>
  <mergeCells count="19">
    <mergeCell ref="A1:D1"/>
    <mergeCell ref="A3:A9"/>
    <mergeCell ref="A10:A12"/>
    <mergeCell ref="A13:A15"/>
    <mergeCell ref="A16:A19"/>
    <mergeCell ref="A20:A21"/>
    <mergeCell ref="A23:A26"/>
    <mergeCell ref="A49:A54"/>
    <mergeCell ref="A55:A57"/>
    <mergeCell ref="A27:D27"/>
    <mergeCell ref="A29:A31"/>
    <mergeCell ref="A32:A38"/>
    <mergeCell ref="A39:A43"/>
    <mergeCell ref="A44:A48"/>
    <mergeCell ref="A77:A79"/>
    <mergeCell ref="A62:A67"/>
    <mergeCell ref="A59:D59"/>
    <mergeCell ref="A68:A71"/>
    <mergeCell ref="A72:A7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F556A-6DF5-4F60-BF5E-5959344F9AC4}">
  <sheetPr codeName="Sheet2"/>
  <dimension ref="A1:N140"/>
  <sheetViews>
    <sheetView topLeftCell="A79" zoomScale="85" zoomScaleNormal="85" workbookViewId="0">
      <selection activeCell="A2" sqref="A2"/>
    </sheetView>
  </sheetViews>
  <sheetFormatPr defaultRowHeight="15" x14ac:dyDescent="0.25"/>
  <cols>
    <col min="1" max="1" width="27.28515625" customWidth="1"/>
    <col min="2" max="2" width="39.5703125" customWidth="1"/>
    <col min="3" max="3" width="19.42578125" bestFit="1" customWidth="1"/>
    <col min="4" max="4" width="16.140625" bestFit="1" customWidth="1"/>
    <col min="5" max="5" width="12.28515625" bestFit="1" customWidth="1"/>
    <col min="6" max="6" width="42.85546875" bestFit="1" customWidth="1"/>
    <col min="7" max="7" width="37.28515625" customWidth="1"/>
    <col min="8" max="8" width="16.5703125" customWidth="1"/>
    <col min="9" max="9" width="18.42578125" customWidth="1"/>
    <col min="11" max="11" width="33.42578125" customWidth="1"/>
    <col min="12" max="12" width="31.5703125" customWidth="1"/>
    <col min="13" max="13" width="22" customWidth="1"/>
    <col min="14" max="14" width="18.85546875" customWidth="1"/>
  </cols>
  <sheetData>
    <row r="1" spans="1:14" x14ac:dyDescent="0.25">
      <c r="A1" s="355" t="s">
        <v>176</v>
      </c>
      <c r="B1" s="355"/>
      <c r="C1" s="355"/>
      <c r="D1" s="355"/>
      <c r="F1" s="355" t="s">
        <v>182</v>
      </c>
      <c r="G1" s="355"/>
      <c r="H1" s="355"/>
      <c r="I1" s="355"/>
      <c r="K1" s="90"/>
      <c r="L1" s="90"/>
      <c r="M1" s="90"/>
      <c r="N1" s="90"/>
    </row>
    <row r="2" spans="1:14" x14ac:dyDescent="0.25">
      <c r="A2" s="47" t="s">
        <v>38</v>
      </c>
      <c r="B2" s="45" t="s">
        <v>115</v>
      </c>
      <c r="C2" s="46" t="s">
        <v>1</v>
      </c>
      <c r="D2" s="46" t="s">
        <v>2</v>
      </c>
      <c r="F2" s="47" t="s">
        <v>38</v>
      </c>
      <c r="G2" s="45" t="s">
        <v>200</v>
      </c>
      <c r="H2" s="46" t="s">
        <v>1</v>
      </c>
      <c r="I2" s="46" t="s">
        <v>2</v>
      </c>
      <c r="K2" s="90"/>
      <c r="L2" s="90"/>
      <c r="M2" s="90"/>
      <c r="N2" s="90"/>
    </row>
    <row r="3" spans="1:14" x14ac:dyDescent="0.25">
      <c r="A3" s="333" t="s">
        <v>116</v>
      </c>
      <c r="B3" s="23" t="s">
        <v>125</v>
      </c>
      <c r="C3" s="29">
        <v>74760783.783200011</v>
      </c>
      <c r="D3" s="33" t="str">
        <f>CONCATENATE("Cost (",'Model Inputs'!$C$37," USD)")</f>
        <v>Cost (2019 USD)</v>
      </c>
      <c r="F3" s="333" t="s">
        <v>107</v>
      </c>
      <c r="G3" s="23" t="s">
        <v>184</v>
      </c>
      <c r="H3" s="29">
        <v>5881059.5333846156</v>
      </c>
      <c r="I3" s="33" t="str">
        <f>CONCATENATE("(",'Model Inputs'!$C$37," USD)/yr")</f>
        <v>(2019 USD)/yr</v>
      </c>
      <c r="K3" s="90"/>
      <c r="L3" s="90"/>
      <c r="M3" s="90"/>
      <c r="N3" s="90"/>
    </row>
    <row r="4" spans="1:14" x14ac:dyDescent="0.25">
      <c r="A4" s="333"/>
      <c r="B4" s="30" t="s">
        <v>126</v>
      </c>
      <c r="C4" s="31">
        <v>2303380.3810000005</v>
      </c>
      <c r="D4" s="34" t="str">
        <f>CONCATENATE("Cost (",'Model Inputs'!$C$37," USD)")</f>
        <v>Cost (2019 USD)</v>
      </c>
      <c r="F4" s="333"/>
      <c r="G4" s="30" t="s">
        <v>185</v>
      </c>
      <c r="H4" s="31">
        <v>3779325.2049384615</v>
      </c>
      <c r="I4" s="34" t="str">
        <f>CONCATENATE("(",'Model Inputs'!$C$37," USD)/yr")</f>
        <v>(2019 USD)/yr</v>
      </c>
      <c r="K4" s="90"/>
      <c r="L4" s="90"/>
      <c r="M4" s="90"/>
      <c r="N4" s="90"/>
    </row>
    <row r="5" spans="1:14" x14ac:dyDescent="0.25">
      <c r="A5" s="333"/>
      <c r="B5" s="30" t="s">
        <v>127</v>
      </c>
      <c r="C5" s="31">
        <v>33744141.642099991</v>
      </c>
      <c r="D5" s="34" t="str">
        <f>CONCATENATE("Cost (",'Model Inputs'!$C$37," USD)")</f>
        <v>Cost (2019 USD)</v>
      </c>
      <c r="F5" s="333"/>
      <c r="G5" s="30" t="s">
        <v>186</v>
      </c>
      <c r="H5" s="31">
        <v>1752081.3093923074</v>
      </c>
      <c r="I5" s="34" t="str">
        <f>CONCATENATE("(",'Model Inputs'!$C$37," USD)/yr")</f>
        <v>(2019 USD)/yr</v>
      </c>
      <c r="K5" s="90"/>
      <c r="L5" s="90"/>
      <c r="M5" s="90"/>
      <c r="N5" s="90"/>
    </row>
    <row r="6" spans="1:14" x14ac:dyDescent="0.25">
      <c r="A6" s="333"/>
      <c r="B6" s="30" t="s">
        <v>128</v>
      </c>
      <c r="C6" s="31">
        <v>4165292.4839000008</v>
      </c>
      <c r="D6" s="34" t="str">
        <f>CONCATENATE("Cost (",'Model Inputs'!$C$37," USD)")</f>
        <v>Cost (2019 USD)</v>
      </c>
      <c r="F6" s="333"/>
      <c r="G6" s="2" t="s">
        <v>187</v>
      </c>
      <c r="H6" s="32">
        <v>19122643.015769228</v>
      </c>
      <c r="I6" s="35" t="str">
        <f>CONCATENATE("(",'Model Inputs'!$C$37," USD)/yr")</f>
        <v>(2019 USD)/yr</v>
      </c>
      <c r="K6" s="90"/>
      <c r="L6" s="90"/>
      <c r="M6" s="90"/>
      <c r="N6" s="90"/>
    </row>
    <row r="7" spans="1:14" x14ac:dyDescent="0.25">
      <c r="A7" s="333"/>
      <c r="B7" s="30" t="s">
        <v>129</v>
      </c>
      <c r="C7" s="31">
        <v>43429501.171700001</v>
      </c>
      <c r="D7" s="34" t="str">
        <f>CONCATENATE("Cost (",'Model Inputs'!$C$37," USD)")</f>
        <v>Cost (2019 USD)</v>
      </c>
      <c r="F7" s="333" t="s">
        <v>188</v>
      </c>
      <c r="G7" s="23" t="s">
        <v>188</v>
      </c>
      <c r="H7" s="29">
        <v>4361224.4435999999</v>
      </c>
      <c r="I7" s="33" t="str">
        <f>CONCATENATE("(",'Model Inputs'!$C$37," USD)/yr")</f>
        <v>(2019 USD)/yr</v>
      </c>
      <c r="K7" s="90"/>
      <c r="L7" s="90"/>
      <c r="M7" s="90"/>
      <c r="N7" s="90"/>
    </row>
    <row r="8" spans="1:14" x14ac:dyDescent="0.25">
      <c r="A8" s="333"/>
      <c r="B8" s="30" t="s">
        <v>130</v>
      </c>
      <c r="C8" s="31">
        <v>527252.2132</v>
      </c>
      <c r="D8" s="34" t="str">
        <f>CONCATENATE("Cost (",'Model Inputs'!$C$37," USD)")</f>
        <v>Cost (2019 USD)</v>
      </c>
      <c r="F8" s="333"/>
      <c r="G8" s="2" t="s">
        <v>189</v>
      </c>
      <c r="H8" s="32">
        <v>3925101.9993000007</v>
      </c>
      <c r="I8" s="35" t="str">
        <f>CONCATENATE("(",'Model Inputs'!$C$37," USD)/yr")</f>
        <v>(2019 USD)/yr</v>
      </c>
      <c r="K8" s="90"/>
      <c r="L8" s="90"/>
      <c r="M8" s="90"/>
      <c r="N8" s="90"/>
    </row>
    <row r="9" spans="1:14" x14ac:dyDescent="0.25">
      <c r="A9" s="333"/>
      <c r="B9" s="30" t="s">
        <v>131</v>
      </c>
      <c r="C9" s="31">
        <v>3084952.6991999997</v>
      </c>
      <c r="D9" s="34" t="str">
        <f>CONCATENATE("Cost (",'Model Inputs'!$C$37," USD)")</f>
        <v>Cost (2019 USD)</v>
      </c>
      <c r="F9" s="333" t="s">
        <v>192</v>
      </c>
      <c r="G9" s="23" t="s">
        <v>190</v>
      </c>
      <c r="H9" s="29">
        <v>2719734.123146154</v>
      </c>
      <c r="I9" s="33" t="str">
        <f>CONCATENATE("(",'Model Inputs'!$C$37," USD)/yr")</f>
        <v>(2019 USD)/yr</v>
      </c>
    </row>
    <row r="10" spans="1:14" x14ac:dyDescent="0.25">
      <c r="A10" s="333"/>
      <c r="B10" s="30" t="s">
        <v>132</v>
      </c>
      <c r="C10" s="31">
        <v>17335420.065999992</v>
      </c>
      <c r="D10" s="34" t="str">
        <f>CONCATENATE("Cost (",'Model Inputs'!$C$37," USD)")</f>
        <v>Cost (2019 USD)</v>
      </c>
      <c r="F10" s="333"/>
      <c r="G10" s="2" t="s">
        <v>191</v>
      </c>
      <c r="H10" s="32">
        <v>2817882.3451461536</v>
      </c>
      <c r="I10" s="35" t="str">
        <f>CONCATENATE("(",'Model Inputs'!$C$37," USD)/yr")</f>
        <v>(2019 USD)/yr</v>
      </c>
    </row>
    <row r="11" spans="1:14" x14ac:dyDescent="0.25">
      <c r="A11" s="333"/>
      <c r="B11" s="2" t="s">
        <v>177</v>
      </c>
      <c r="C11" s="32">
        <v>186575107.90229994</v>
      </c>
      <c r="D11" s="35" t="str">
        <f>CONCATENATE("Cost (",'Model Inputs'!$C$37," USD)")</f>
        <v>Cost (2019 USD)</v>
      </c>
      <c r="F11" s="38" t="s">
        <v>193</v>
      </c>
      <c r="G11" s="39" t="s">
        <v>183</v>
      </c>
      <c r="H11" s="40">
        <v>44359051.974661544</v>
      </c>
      <c r="I11" s="48" t="str">
        <f>CONCATENATE("(",'Model Inputs'!$C$37," USD)/yr")</f>
        <v>(2019 USD)/yr</v>
      </c>
    </row>
    <row r="12" spans="1:14" x14ac:dyDescent="0.25">
      <c r="A12" s="333" t="s">
        <v>117</v>
      </c>
      <c r="B12" s="23" t="s">
        <v>133</v>
      </c>
      <c r="C12" s="29">
        <v>677107.03579999984</v>
      </c>
      <c r="D12" s="33" t="str">
        <f>CONCATENATE("Cost (",'Model Inputs'!$C$37," USD)")</f>
        <v>Cost (2019 USD)</v>
      </c>
    </row>
    <row r="13" spans="1:14" x14ac:dyDescent="0.25">
      <c r="A13" s="333"/>
      <c r="B13" s="30" t="s">
        <v>134</v>
      </c>
      <c r="C13" s="31">
        <v>1316319.6114000003</v>
      </c>
      <c r="D13" s="34" t="str">
        <f>CONCATENATE("Cost (",'Model Inputs'!$C$37," USD)")</f>
        <v>Cost (2019 USD)</v>
      </c>
    </row>
    <row r="14" spans="1:14" x14ac:dyDescent="0.25">
      <c r="A14" s="333"/>
      <c r="B14" s="30" t="s">
        <v>135</v>
      </c>
      <c r="C14" s="31">
        <v>6638829.3442000002</v>
      </c>
      <c r="D14" s="34" t="str">
        <f>CONCATENATE("Cost (",'Model Inputs'!$C$37," USD)")</f>
        <v>Cost (2019 USD)</v>
      </c>
    </row>
    <row r="15" spans="1:14" x14ac:dyDescent="0.25">
      <c r="A15" s="333"/>
      <c r="B15" s="30" t="s">
        <v>136</v>
      </c>
      <c r="C15" s="31">
        <v>758614.38969999994</v>
      </c>
      <c r="D15" s="34" t="str">
        <f>CONCATENATE("Cost (",'Model Inputs'!$C$37," USD)")</f>
        <v>Cost (2019 USD)</v>
      </c>
    </row>
    <row r="16" spans="1:14" x14ac:dyDescent="0.25">
      <c r="A16" s="333"/>
      <c r="B16" s="30" t="s">
        <v>137</v>
      </c>
      <c r="C16" s="31">
        <v>3520218.3822000003</v>
      </c>
      <c r="D16" s="34" t="str">
        <f>CONCATENATE("Cost (",'Model Inputs'!$C$37," USD)")</f>
        <v>Cost (2019 USD)</v>
      </c>
    </row>
    <row r="17" spans="1:13" x14ac:dyDescent="0.25">
      <c r="A17" s="333"/>
      <c r="B17" s="30" t="s">
        <v>138</v>
      </c>
      <c r="C17" s="31">
        <v>3793070.5776999989</v>
      </c>
      <c r="D17" s="34" t="str">
        <f>CONCATENATE("Cost (",'Model Inputs'!$C$37," USD)")</f>
        <v>Cost (2019 USD)</v>
      </c>
    </row>
    <row r="18" spans="1:13" x14ac:dyDescent="0.25">
      <c r="A18" s="333"/>
      <c r="B18" s="2" t="s">
        <v>139</v>
      </c>
      <c r="C18" s="32">
        <v>16704159.340900002</v>
      </c>
      <c r="D18" s="35" t="str">
        <f>CONCATENATE("Cost (",'Model Inputs'!$C$37," USD)")</f>
        <v>Cost (2019 USD)</v>
      </c>
    </row>
    <row r="19" spans="1:13" x14ac:dyDescent="0.25">
      <c r="A19" s="333" t="s">
        <v>118</v>
      </c>
      <c r="B19" s="23" t="s">
        <v>140</v>
      </c>
      <c r="C19" s="29">
        <v>2800221.7989153843</v>
      </c>
      <c r="D19" s="33" t="str">
        <f>CONCATENATE("Cost (",'Model Inputs'!$C$37," USD)")</f>
        <v>Cost (2019 USD)</v>
      </c>
    </row>
    <row r="20" spans="1:13" x14ac:dyDescent="0.25">
      <c r="A20" s="333"/>
      <c r="B20" s="30" t="s">
        <v>141</v>
      </c>
      <c r="C20" s="31">
        <v>261988.11790000007</v>
      </c>
      <c r="D20" s="34" t="str">
        <f>CONCATENATE("Cost (",'Model Inputs'!$C$37," USD)")</f>
        <v>Cost (2019 USD)</v>
      </c>
      <c r="M20" s="49"/>
    </row>
    <row r="21" spans="1:13" x14ac:dyDescent="0.25">
      <c r="A21" s="333"/>
      <c r="B21" s="30" t="s">
        <v>142</v>
      </c>
      <c r="C21" s="31">
        <v>3509010.7443076922</v>
      </c>
      <c r="D21" s="34" t="str">
        <f>CONCATENATE("Cost (",'Model Inputs'!$C$37," USD)")</f>
        <v>Cost (2019 USD)</v>
      </c>
      <c r="M21" s="49"/>
    </row>
    <row r="22" spans="1:13" x14ac:dyDescent="0.25">
      <c r="A22" s="333"/>
      <c r="B22" s="30" t="s">
        <v>143</v>
      </c>
      <c r="C22" s="31">
        <v>1926271.437523077</v>
      </c>
      <c r="D22" s="34" t="str">
        <f>CONCATENATE("Cost (",'Model Inputs'!$C$37," USD)")</f>
        <v>Cost (2019 USD)</v>
      </c>
      <c r="M22" s="49"/>
    </row>
    <row r="23" spans="1:13" x14ac:dyDescent="0.25">
      <c r="A23" s="333"/>
      <c r="B23" s="30" t="s">
        <v>144</v>
      </c>
      <c r="C23" s="31">
        <v>93325.876961538466</v>
      </c>
      <c r="D23" s="34" t="str">
        <f>CONCATENATE("Cost (",'Model Inputs'!$C$37," USD)")</f>
        <v>Cost (2019 USD)</v>
      </c>
      <c r="M23" s="49"/>
    </row>
    <row r="24" spans="1:13" x14ac:dyDescent="0.25">
      <c r="A24" s="333"/>
      <c r="B24" s="30" t="s">
        <v>145</v>
      </c>
      <c r="C24" s="31">
        <v>125208.69916153846</v>
      </c>
      <c r="D24" s="34" t="str">
        <f>CONCATENATE("Cost (",'Model Inputs'!$C$37," USD)")</f>
        <v>Cost (2019 USD)</v>
      </c>
      <c r="M24" s="49"/>
    </row>
    <row r="25" spans="1:13" x14ac:dyDescent="0.25">
      <c r="A25" s="333"/>
      <c r="B25" s="2" t="s">
        <v>146</v>
      </c>
      <c r="C25" s="32">
        <v>8716026.6747538466</v>
      </c>
      <c r="D25" s="35" t="str">
        <f>CONCATENATE("Cost (",'Model Inputs'!$C$37," USD)")</f>
        <v>Cost (2019 USD)</v>
      </c>
      <c r="M25" s="49"/>
    </row>
    <row r="26" spans="1:13" x14ac:dyDescent="0.25">
      <c r="A26" s="339" t="s">
        <v>119</v>
      </c>
      <c r="B26" s="23" t="s">
        <v>147</v>
      </c>
      <c r="C26" s="29">
        <v>105.45039999999996</v>
      </c>
      <c r="D26" s="33" t="str">
        <f>CONCATENATE("Cost (",'Model Inputs'!$C$37," USD)")</f>
        <v>Cost (2019 USD)</v>
      </c>
      <c r="M26" s="49"/>
    </row>
    <row r="27" spans="1:13" x14ac:dyDescent="0.25">
      <c r="A27" s="339"/>
      <c r="B27" s="30" t="s">
        <v>148</v>
      </c>
      <c r="C27" s="31">
        <v>1368546.5913999998</v>
      </c>
      <c r="D27" s="34" t="str">
        <f>CONCATENATE("Cost (",'Model Inputs'!$C$37," USD)")</f>
        <v>Cost (2019 USD)</v>
      </c>
      <c r="M27" s="49"/>
    </row>
    <row r="28" spans="1:13" x14ac:dyDescent="0.25">
      <c r="A28" s="339"/>
      <c r="B28" s="30" t="s">
        <v>149</v>
      </c>
      <c r="C28" s="31">
        <v>1311813.9683999999</v>
      </c>
      <c r="D28" s="34" t="str">
        <f>CONCATENATE("Cost (",'Model Inputs'!$C$37," USD)")</f>
        <v>Cost (2019 USD)</v>
      </c>
      <c r="M28" s="49"/>
    </row>
    <row r="29" spans="1:13" x14ac:dyDescent="0.25">
      <c r="A29" s="339"/>
      <c r="B29" s="30" t="s">
        <v>150</v>
      </c>
      <c r="C29" s="31">
        <v>838969.26339999971</v>
      </c>
      <c r="D29" s="34" t="str">
        <f>CONCATENATE("Cost (",'Model Inputs'!$C$37," USD)")</f>
        <v>Cost (2019 USD)</v>
      </c>
      <c r="M29" s="49"/>
    </row>
    <row r="30" spans="1:13" x14ac:dyDescent="0.25">
      <c r="A30" s="339"/>
      <c r="B30" s="30" t="s">
        <v>151</v>
      </c>
      <c r="C30" s="31">
        <v>683936.63509999984</v>
      </c>
      <c r="D30" s="34" t="str">
        <f>CONCATENATE("Cost (",'Model Inputs'!$C$37," USD)")</f>
        <v>Cost (2019 USD)</v>
      </c>
      <c r="M30" s="49"/>
    </row>
    <row r="31" spans="1:13" x14ac:dyDescent="0.25">
      <c r="A31" s="339"/>
      <c r="B31" s="30" t="s">
        <v>152</v>
      </c>
      <c r="C31" s="31">
        <v>544730.46260000009</v>
      </c>
      <c r="D31" s="34" t="str">
        <f>CONCATENATE("Cost (",'Model Inputs'!$C$37," USD)")</f>
        <v>Cost (2019 USD)</v>
      </c>
      <c r="M31" s="49"/>
    </row>
    <row r="32" spans="1:13" x14ac:dyDescent="0.25">
      <c r="A32" s="339"/>
      <c r="B32" s="30" t="s">
        <v>153</v>
      </c>
      <c r="C32" s="31">
        <v>464586.85120000009</v>
      </c>
      <c r="D32" s="34" t="str">
        <f>CONCATENATE("Cost (",'Model Inputs'!$C$37," USD)")</f>
        <v>Cost (2019 USD)</v>
      </c>
      <c r="M32" s="49"/>
    </row>
    <row r="33" spans="1:13" x14ac:dyDescent="0.25">
      <c r="A33" s="339"/>
      <c r="B33" s="30" t="s">
        <v>154</v>
      </c>
      <c r="C33" s="31">
        <v>1932747.1125538461</v>
      </c>
      <c r="D33" s="34" t="str">
        <f>CONCATENATE("Cost (",'Model Inputs'!$C$37," USD)")</f>
        <v>Cost (2019 USD)</v>
      </c>
      <c r="M33" s="49"/>
    </row>
    <row r="34" spans="1:13" x14ac:dyDescent="0.25">
      <c r="A34" s="339"/>
      <c r="B34" s="30" t="s">
        <v>111</v>
      </c>
      <c r="C34" s="30">
        <v>25.846153846153847</v>
      </c>
      <c r="D34" s="34" t="s">
        <v>181</v>
      </c>
      <c r="M34" s="49"/>
    </row>
    <row r="35" spans="1:13" x14ac:dyDescent="0.25">
      <c r="A35" s="339"/>
      <c r="B35" s="30" t="s">
        <v>155</v>
      </c>
      <c r="C35" s="31">
        <v>618771.76556923077</v>
      </c>
      <c r="D35" s="34" t="str">
        <f>CONCATENATE("Cost (",'Model Inputs'!$C$37," USD)")</f>
        <v>Cost (2019 USD)</v>
      </c>
      <c r="M35" s="49"/>
    </row>
    <row r="36" spans="1:13" x14ac:dyDescent="0.25">
      <c r="A36" s="339"/>
      <c r="B36" s="2" t="s">
        <v>178</v>
      </c>
      <c r="C36" s="32">
        <v>7764208.1007153848</v>
      </c>
      <c r="D36" s="35" t="str">
        <f>CONCATENATE("Cost (",'Model Inputs'!$C$37," USD)")</f>
        <v>Cost (2019 USD)</v>
      </c>
      <c r="M36" s="49"/>
    </row>
    <row r="37" spans="1:13" x14ac:dyDescent="0.25">
      <c r="A37" s="333" t="s">
        <v>120</v>
      </c>
      <c r="B37" s="23" t="s">
        <v>156</v>
      </c>
      <c r="C37" s="29">
        <v>11750742.827800004</v>
      </c>
      <c r="D37" s="33" t="str">
        <f>CONCATENATE("Cost (",'Model Inputs'!$C$37," USD)")</f>
        <v>Cost (2019 USD)</v>
      </c>
      <c r="M37" s="49"/>
    </row>
    <row r="38" spans="1:13" x14ac:dyDescent="0.25">
      <c r="A38" s="333"/>
      <c r="B38" s="30" t="s">
        <v>157</v>
      </c>
      <c r="C38" s="31">
        <v>9191650.9574923087</v>
      </c>
      <c r="D38" s="34" t="str">
        <f>CONCATENATE("Cost (",'Model Inputs'!$C$37," USD)")</f>
        <v>Cost (2019 USD)</v>
      </c>
      <c r="M38" s="49"/>
    </row>
    <row r="39" spans="1:13" x14ac:dyDescent="0.25">
      <c r="A39" s="333"/>
      <c r="B39" s="30" t="s">
        <v>157</v>
      </c>
      <c r="C39" s="31">
        <v>671767.01496923086</v>
      </c>
      <c r="D39" s="34" t="str">
        <f>CONCATENATE("Cost (",'Model Inputs'!$C$37," USD)")</f>
        <v>Cost (2019 USD)</v>
      </c>
      <c r="M39" s="49"/>
    </row>
    <row r="40" spans="1:13" x14ac:dyDescent="0.25">
      <c r="A40" s="333"/>
      <c r="B40" s="30" t="s">
        <v>158</v>
      </c>
      <c r="C40" s="31">
        <v>15750426.90906154</v>
      </c>
      <c r="D40" s="34" t="str">
        <f>CONCATENATE("Cost (",'Model Inputs'!$C$37," USD)")</f>
        <v>Cost (2019 USD)</v>
      </c>
      <c r="M40" s="49"/>
    </row>
    <row r="41" spans="1:13" x14ac:dyDescent="0.25">
      <c r="A41" s="333"/>
      <c r="B41" s="30" t="s">
        <v>159</v>
      </c>
      <c r="C41" s="31">
        <v>24720.47244615385</v>
      </c>
      <c r="D41" s="34" t="str">
        <f>CONCATENATE("Cost (",'Model Inputs'!$C$37," USD)")</f>
        <v>Cost (2019 USD)</v>
      </c>
      <c r="M41" s="49"/>
    </row>
    <row r="42" spans="1:13" x14ac:dyDescent="0.25">
      <c r="A42" s="333"/>
      <c r="B42" s="30" t="s">
        <v>160</v>
      </c>
      <c r="C42" s="31">
        <v>13642887.97583846</v>
      </c>
      <c r="D42" s="34" t="str">
        <f>CONCATENATE("Cost (",'Model Inputs'!$C$37," USD)")</f>
        <v>Cost (2019 USD)</v>
      </c>
      <c r="M42" s="49"/>
    </row>
    <row r="43" spans="1:13" x14ac:dyDescent="0.25">
      <c r="A43" s="333"/>
      <c r="B43" s="30" t="s">
        <v>161</v>
      </c>
      <c r="C43" s="31">
        <v>2999024.2775153844</v>
      </c>
      <c r="D43" s="34" t="str">
        <f>CONCATENATE("Cost (",'Model Inputs'!$C$37," USD)")</f>
        <v>Cost (2019 USD)</v>
      </c>
      <c r="M43" s="49"/>
    </row>
    <row r="44" spans="1:13" x14ac:dyDescent="0.25">
      <c r="A44" s="333"/>
      <c r="B44" s="2" t="s">
        <v>162</v>
      </c>
      <c r="C44" s="32">
        <v>54031220.435130782</v>
      </c>
      <c r="D44" s="35" t="str">
        <f>CONCATENATE("Cost (",'Model Inputs'!$C$37," USD)")</f>
        <v>Cost (2019 USD)</v>
      </c>
      <c r="M44" s="49"/>
    </row>
    <row r="45" spans="1:13" x14ac:dyDescent="0.25">
      <c r="A45" s="333" t="s">
        <v>121</v>
      </c>
      <c r="B45" s="23" t="s">
        <v>163</v>
      </c>
      <c r="C45" s="29">
        <v>67775.917700000005</v>
      </c>
      <c r="D45" s="33" t="str">
        <f>CONCATENATE("Cost (",'Model Inputs'!$C$37," USD)")</f>
        <v>Cost (2019 USD)</v>
      </c>
      <c r="M45" s="49"/>
    </row>
    <row r="46" spans="1:13" x14ac:dyDescent="0.25">
      <c r="A46" s="333"/>
      <c r="B46" s="30" t="s">
        <v>164</v>
      </c>
      <c r="C46" s="31">
        <v>1934545.6699000001</v>
      </c>
      <c r="D46" s="34" t="str">
        <f>CONCATENATE("Cost (",'Model Inputs'!$C$37," USD)")</f>
        <v>Cost (2019 USD)</v>
      </c>
      <c r="M46" s="49"/>
    </row>
    <row r="47" spans="1:13" x14ac:dyDescent="0.25">
      <c r="A47" s="333"/>
      <c r="B47" s="30" t="s">
        <v>165</v>
      </c>
      <c r="C47" s="31">
        <v>2862465.294261538</v>
      </c>
      <c r="D47" s="34" t="str">
        <f>CONCATENATE("Cost (",'Model Inputs'!$C$37," USD)")</f>
        <v>Cost (2019 USD)</v>
      </c>
      <c r="M47" s="49"/>
    </row>
    <row r="48" spans="1:13" x14ac:dyDescent="0.25">
      <c r="A48" s="333"/>
      <c r="B48" s="30" t="s">
        <v>166</v>
      </c>
      <c r="C48" s="31">
        <v>972957.37636153877</v>
      </c>
      <c r="D48" s="34" t="str">
        <f>CONCATENATE("Cost (",'Model Inputs'!$C$37," USD)")</f>
        <v>Cost (2019 USD)</v>
      </c>
      <c r="K48" s="75"/>
      <c r="M48" s="49"/>
    </row>
    <row r="49" spans="1:13" x14ac:dyDescent="0.25">
      <c r="A49" s="333"/>
      <c r="B49" s="2" t="s">
        <v>167</v>
      </c>
      <c r="C49" s="32">
        <v>5837744.2581615392</v>
      </c>
      <c r="D49" s="35" t="str">
        <f>CONCATENATE("Cost (",'Model Inputs'!$C$37," USD)")</f>
        <v>Cost (2019 USD)</v>
      </c>
      <c r="M49" s="49"/>
    </row>
    <row r="50" spans="1:13" x14ac:dyDescent="0.25">
      <c r="A50" s="339" t="s">
        <v>122</v>
      </c>
      <c r="B50" s="23" t="s">
        <v>168</v>
      </c>
      <c r="C50" s="29">
        <v>4600600.0243153851</v>
      </c>
      <c r="D50" s="33" t="str">
        <f>CONCATENATE("Cost (",'Model Inputs'!$C$37," USD)")</f>
        <v>Cost (2019 USD)</v>
      </c>
    </row>
    <row r="51" spans="1:13" x14ac:dyDescent="0.25">
      <c r="A51" s="339"/>
      <c r="B51" s="30" t="s">
        <v>169</v>
      </c>
      <c r="C51" s="31">
        <v>16521209.839169232</v>
      </c>
      <c r="D51" s="34" t="str">
        <f>CONCATENATE("Cost (",'Model Inputs'!$C$37," USD)")</f>
        <v>Cost (2019 USD)</v>
      </c>
    </row>
    <row r="52" spans="1:13" x14ac:dyDescent="0.25">
      <c r="A52" s="339"/>
      <c r="B52" s="30" t="s">
        <v>170</v>
      </c>
      <c r="C52" s="31">
        <v>2431404.9195692311</v>
      </c>
      <c r="D52" s="34" t="str">
        <f>CONCATENATE("Cost (",'Model Inputs'!$C$37," USD)")</f>
        <v>Cost (2019 USD)</v>
      </c>
    </row>
    <row r="53" spans="1:13" x14ac:dyDescent="0.25">
      <c r="A53" s="339"/>
      <c r="B53" s="2" t="s">
        <v>179</v>
      </c>
      <c r="C53" s="32">
        <v>23553214.783061542</v>
      </c>
      <c r="D53" s="35" t="str">
        <f>CONCATENATE("Cost (",'Model Inputs'!$C$37," USD)")</f>
        <v>Cost (2019 USD)</v>
      </c>
    </row>
    <row r="54" spans="1:13" x14ac:dyDescent="0.25">
      <c r="A54" s="333" t="s">
        <v>123</v>
      </c>
      <c r="B54" s="23" t="s">
        <v>171</v>
      </c>
      <c r="C54" s="29">
        <v>13757472.523576925</v>
      </c>
      <c r="D54" s="33" t="str">
        <f>CONCATENATE("Cost (",'Model Inputs'!$C$37," USD)")</f>
        <v>Cost (2019 USD)</v>
      </c>
    </row>
    <row r="55" spans="1:13" x14ac:dyDescent="0.25">
      <c r="A55" s="333"/>
      <c r="B55" s="30" t="s">
        <v>172</v>
      </c>
      <c r="C55" s="31">
        <v>14773868.859807691</v>
      </c>
      <c r="D55" s="34" t="str">
        <f>CONCATENATE("Cost (",'Model Inputs'!$C$37," USD)")</f>
        <v>Cost (2019 USD)</v>
      </c>
    </row>
    <row r="56" spans="1:13" x14ac:dyDescent="0.25">
      <c r="A56" s="333"/>
      <c r="B56" s="30" t="s">
        <v>173</v>
      </c>
      <c r="C56" s="31">
        <v>31967188.403407689</v>
      </c>
      <c r="D56" s="34" t="str">
        <f>CONCATENATE("Cost (",'Model Inputs'!$C$37," USD)")</f>
        <v>Cost (2019 USD)</v>
      </c>
    </row>
    <row r="57" spans="1:13" x14ac:dyDescent="0.25">
      <c r="A57" s="333"/>
      <c r="B57" s="30" t="s">
        <v>174</v>
      </c>
      <c r="C57" s="31">
        <v>27962846.671192307</v>
      </c>
      <c r="D57" s="34" t="str">
        <f>CONCATENATE("Cost (",'Model Inputs'!$C$37," USD)")</f>
        <v>Cost (2019 USD)</v>
      </c>
    </row>
    <row r="58" spans="1:13" x14ac:dyDescent="0.25">
      <c r="A58" s="333"/>
      <c r="B58" s="30" t="s">
        <v>175</v>
      </c>
      <c r="C58" s="31">
        <v>10911562.782176923</v>
      </c>
      <c r="D58" s="34" t="str">
        <f>CONCATENATE("Cost (",'Model Inputs'!$C$37," USD)")</f>
        <v>Cost (2019 USD)</v>
      </c>
    </row>
    <row r="59" spans="1:13" x14ac:dyDescent="0.25">
      <c r="A59" s="333"/>
      <c r="B59" s="2" t="s">
        <v>180</v>
      </c>
      <c r="C59" s="32">
        <v>99372939.24014616</v>
      </c>
      <c r="D59" s="35" t="str">
        <f>CONCATENATE("Cost (",'Model Inputs'!$C$37," USD)")</f>
        <v>Cost (2019 USD)</v>
      </c>
    </row>
    <row r="60" spans="1:13" x14ac:dyDescent="0.25">
      <c r="A60" s="38" t="s">
        <v>112</v>
      </c>
      <c r="B60" s="39" t="s">
        <v>112</v>
      </c>
      <c r="C60" s="40">
        <v>402554620.73518467</v>
      </c>
      <c r="D60" s="41" t="str">
        <f>CONCATENATE("Cost (",'Model Inputs'!$C$37," USD)")</f>
        <v>Cost (2019 USD)</v>
      </c>
      <c r="E60" s="84"/>
    </row>
    <row r="61" spans="1:13" x14ac:dyDescent="0.25">
      <c r="A61" s="27" t="s">
        <v>124</v>
      </c>
      <c r="B61" s="26" t="s">
        <v>124</v>
      </c>
      <c r="C61" s="37">
        <v>24042700.920000009</v>
      </c>
      <c r="D61" s="36" t="str">
        <f>CONCATENATE("Cost (",'Model Inputs'!$C$37," USD)")</f>
        <v>Cost (2019 USD)</v>
      </c>
    </row>
    <row r="62" spans="1:13" x14ac:dyDescent="0.25">
      <c r="A62" s="28" t="s">
        <v>113</v>
      </c>
      <c r="B62" s="2" t="s">
        <v>113</v>
      </c>
      <c r="C62" s="32">
        <v>20127731.03676923</v>
      </c>
      <c r="D62" s="35" t="str">
        <f>CONCATENATE("Cost (",'Model Inputs'!$C$37," USD)")</f>
        <v>Cost (2019 USD)</v>
      </c>
    </row>
    <row r="63" spans="1:13" x14ac:dyDescent="0.25">
      <c r="A63" s="38" t="s">
        <v>114</v>
      </c>
      <c r="B63" s="42" t="s">
        <v>114</v>
      </c>
      <c r="C63" s="43">
        <v>446725052.69192308</v>
      </c>
      <c r="D63" s="44" t="str">
        <f>CONCATENATE("Cost (",'Model Inputs'!$C$37," USD)")</f>
        <v>Cost (2019 USD)</v>
      </c>
      <c r="H63" s="83"/>
    </row>
    <row r="66" spans="1:14" x14ac:dyDescent="0.25">
      <c r="A66" s="357" t="s">
        <v>364</v>
      </c>
      <c r="B66" s="357"/>
      <c r="C66" s="357"/>
      <c r="D66" s="357"/>
      <c r="F66" s="354" t="s">
        <v>365</v>
      </c>
      <c r="G66" s="354"/>
      <c r="H66" s="354"/>
      <c r="I66" s="354"/>
      <c r="K66" s="90"/>
      <c r="L66" s="90"/>
      <c r="M66" s="90"/>
      <c r="N66" s="90"/>
    </row>
    <row r="67" spans="1:14" x14ac:dyDescent="0.25">
      <c r="A67" s="92" t="s">
        <v>38</v>
      </c>
      <c r="B67" s="93" t="s">
        <v>387</v>
      </c>
      <c r="C67" s="94" t="s">
        <v>1</v>
      </c>
      <c r="D67" s="94" t="s">
        <v>2</v>
      </c>
      <c r="F67" s="106" t="s">
        <v>38</v>
      </c>
      <c r="G67" s="104" t="s">
        <v>200</v>
      </c>
      <c r="H67" s="105" t="s">
        <v>1</v>
      </c>
      <c r="I67" s="105" t="s">
        <v>2</v>
      </c>
      <c r="K67" s="90"/>
      <c r="L67" s="90"/>
      <c r="M67" s="90"/>
      <c r="N67" s="90"/>
    </row>
    <row r="68" spans="1:14" x14ac:dyDescent="0.25">
      <c r="A68" s="327" t="s">
        <v>299</v>
      </c>
      <c r="B68" s="23" t="s">
        <v>366</v>
      </c>
      <c r="C68" s="29">
        <v>1538876.0655284619</v>
      </c>
      <c r="D68" s="33" t="str">
        <f>CONCATENATE("Cost (",'Model Inputs'!$C$37," USD)")</f>
        <v>Cost (2019 USD)</v>
      </c>
      <c r="F68" s="327" t="s">
        <v>392</v>
      </c>
      <c r="G68" s="23" t="s">
        <v>396</v>
      </c>
      <c r="H68" s="29">
        <v>261231.87117846153</v>
      </c>
      <c r="I68" s="33" t="str">
        <f>CONCATENATE("(",'Model Inputs'!$C$37," USD)/yr")</f>
        <v>(2019 USD)/yr</v>
      </c>
      <c r="K68" s="90"/>
      <c r="L68" s="90"/>
      <c r="M68" s="90"/>
      <c r="N68" s="90"/>
    </row>
    <row r="69" spans="1:14" x14ac:dyDescent="0.25">
      <c r="A69" s="328"/>
      <c r="B69" s="90" t="s">
        <v>367</v>
      </c>
      <c r="C69" s="91">
        <v>14484154.049315384</v>
      </c>
      <c r="D69" s="34" t="str">
        <f>CONCATENATE("Cost (",'Model Inputs'!$C$37," USD)")</f>
        <v>Cost (2019 USD)</v>
      </c>
      <c r="F69" s="328"/>
      <c r="G69" s="90" t="s">
        <v>397</v>
      </c>
      <c r="H69" s="91">
        <v>55658.367296461533</v>
      </c>
      <c r="I69" s="34" t="str">
        <f>CONCATENATE("(",'Model Inputs'!$C$37," USD)/yr")</f>
        <v>(2019 USD)/yr</v>
      </c>
      <c r="K69" s="90"/>
      <c r="L69" s="90"/>
      <c r="M69" s="90"/>
      <c r="N69" s="90"/>
    </row>
    <row r="70" spans="1:14" x14ac:dyDescent="0.25">
      <c r="A70" s="329"/>
      <c r="B70" s="2" t="s">
        <v>368</v>
      </c>
      <c r="C70" s="32">
        <v>138494.46637176923</v>
      </c>
      <c r="D70" s="35" t="str">
        <f>CONCATENATE("Cost (",'Model Inputs'!$C$37," USD)")</f>
        <v>Cost (2019 USD)</v>
      </c>
      <c r="F70" s="328"/>
      <c r="G70" s="90" t="s">
        <v>398</v>
      </c>
      <c r="H70" s="91">
        <v>74211.156395307684</v>
      </c>
      <c r="I70" s="34" t="str">
        <f>CONCATENATE("(",'Model Inputs'!$C$37," USD)/yr")</f>
        <v>(2019 USD)/yr</v>
      </c>
      <c r="K70" s="90"/>
      <c r="L70" s="90"/>
      <c r="M70" s="90"/>
      <c r="N70" s="90"/>
    </row>
    <row r="71" spans="1:14" x14ac:dyDescent="0.25">
      <c r="A71" s="327" t="s">
        <v>382</v>
      </c>
      <c r="B71" s="23" t="s">
        <v>369</v>
      </c>
      <c r="C71" s="29">
        <v>15034996.773946155</v>
      </c>
      <c r="D71" s="33" t="str">
        <f>CONCATENATE("Cost (",'Model Inputs'!$C$37," USD)")</f>
        <v>Cost (2019 USD)</v>
      </c>
      <c r="F71" s="328"/>
      <c r="G71" s="90" t="s">
        <v>399</v>
      </c>
      <c r="H71" s="91">
        <v>112352.4696653846</v>
      </c>
      <c r="I71" s="34" t="str">
        <f>CONCATENATE("(",'Model Inputs'!$C$37," USD)/yr")</f>
        <v>(2019 USD)/yr</v>
      </c>
      <c r="K71" s="90"/>
      <c r="L71" s="90"/>
      <c r="M71" s="90"/>
      <c r="N71" s="90"/>
    </row>
    <row r="72" spans="1:14" x14ac:dyDescent="0.25">
      <c r="A72" s="328"/>
      <c r="B72" s="90" t="s">
        <v>370</v>
      </c>
      <c r="C72" s="91">
        <v>16130651.981500002</v>
      </c>
      <c r="D72" s="34" t="str">
        <f>CONCATENATE("Cost (",'Model Inputs'!$C$37," USD)")</f>
        <v>Cost (2019 USD)</v>
      </c>
      <c r="F72" s="328"/>
      <c r="G72" s="90" t="s">
        <v>400</v>
      </c>
      <c r="H72" s="91">
        <v>0</v>
      </c>
      <c r="I72" s="34" t="str">
        <f>CONCATENATE("(",'Model Inputs'!$C$37," USD)/yr")</f>
        <v>(2019 USD)/yr</v>
      </c>
      <c r="K72" s="90"/>
      <c r="L72" s="90"/>
      <c r="M72" s="90"/>
      <c r="N72" s="90"/>
    </row>
    <row r="73" spans="1:14" x14ac:dyDescent="0.25">
      <c r="A73" s="328"/>
      <c r="B73" s="90" t="s">
        <v>371</v>
      </c>
      <c r="C73" s="91">
        <v>276757.21917953843</v>
      </c>
      <c r="D73" s="34" t="str">
        <f>CONCATENATE("Cost (",'Model Inputs'!$C$37," USD)")</f>
        <v>Cost (2019 USD)</v>
      </c>
      <c r="F73" s="328"/>
      <c r="G73" s="90" t="s">
        <v>401</v>
      </c>
      <c r="H73" s="91">
        <v>4017859.4465230773</v>
      </c>
      <c r="I73" s="34" t="str">
        <f>CONCATENATE("(",'Model Inputs'!$C$37," USD)/yr")</f>
        <v>(2019 USD)/yr</v>
      </c>
      <c r="K73" s="90"/>
      <c r="L73" s="90"/>
      <c r="M73" s="90"/>
      <c r="N73" s="90"/>
    </row>
    <row r="74" spans="1:14" x14ac:dyDescent="0.25">
      <c r="A74" s="328"/>
      <c r="B74" s="90" t="s">
        <v>372</v>
      </c>
      <c r="C74" s="91">
        <v>0</v>
      </c>
      <c r="D74" s="34" t="str">
        <f>CONCATENATE("Cost (",'Model Inputs'!$C$37," USD)")</f>
        <v>Cost (2019 USD)</v>
      </c>
      <c r="F74" s="328"/>
      <c r="G74" s="90" t="s">
        <v>339</v>
      </c>
      <c r="H74" s="91">
        <v>741141.84524307703</v>
      </c>
      <c r="I74" s="34" t="str">
        <f>CONCATENATE("(",'Model Inputs'!$C$37," USD)/yr")</f>
        <v>(2019 USD)/yr</v>
      </c>
    </row>
    <row r="75" spans="1:14" x14ac:dyDescent="0.25">
      <c r="A75" s="329"/>
      <c r="B75" s="2" t="s">
        <v>373</v>
      </c>
      <c r="C75" s="32">
        <v>5182794.757016154</v>
      </c>
      <c r="D75" s="35" t="str">
        <f>CONCATENATE("Cost (",'Model Inputs'!$C$37," USD)")</f>
        <v>Cost (2019 USD)</v>
      </c>
      <c r="F75" s="329"/>
      <c r="G75" s="2" t="s">
        <v>346</v>
      </c>
      <c r="H75" s="32">
        <v>3132565.193361538</v>
      </c>
      <c r="I75" s="35" t="str">
        <f>CONCATENATE("(",'Model Inputs'!$C$37," USD)/yr")</f>
        <v>(2019 USD)/yr</v>
      </c>
    </row>
    <row r="76" spans="1:14" x14ac:dyDescent="0.25">
      <c r="A76" s="327" t="s">
        <v>383</v>
      </c>
      <c r="B76" s="23" t="s">
        <v>194</v>
      </c>
      <c r="C76" s="29">
        <v>3189174.3607592308</v>
      </c>
      <c r="D76" s="33" t="str">
        <f>CONCATENATE("Cost (",'Model Inputs'!$C$37," USD)")</f>
        <v>Cost (2019 USD)</v>
      </c>
      <c r="F76" s="110" t="s">
        <v>198</v>
      </c>
      <c r="G76" s="96" t="s">
        <v>198</v>
      </c>
      <c r="H76" s="97">
        <v>8395020.3496692292</v>
      </c>
      <c r="I76" s="98" t="str">
        <f>CONCATENATE("(",'Model Inputs'!$C$37," USD)/yr")</f>
        <v>(2019 USD)/yr</v>
      </c>
    </row>
    <row r="77" spans="1:14" x14ac:dyDescent="0.25">
      <c r="A77" s="328"/>
      <c r="B77" s="90" t="s">
        <v>195</v>
      </c>
      <c r="C77" s="91">
        <v>710707.50629515387</v>
      </c>
      <c r="D77" s="34" t="str">
        <f>CONCATENATE("Cost (",'Model Inputs'!$C$37," USD)")</f>
        <v>Cost (2019 USD)</v>
      </c>
      <c r="F77" s="333" t="s">
        <v>188</v>
      </c>
      <c r="G77" s="23" t="s">
        <v>188</v>
      </c>
      <c r="H77" s="29">
        <v>1027917.7570099999</v>
      </c>
      <c r="I77" s="33" t="str">
        <f>CONCATENATE("(",'Model Inputs'!$C$37," USD)/yr")</f>
        <v>(2019 USD)/yr</v>
      </c>
    </row>
    <row r="78" spans="1:14" x14ac:dyDescent="0.25">
      <c r="A78" s="328"/>
      <c r="B78" s="90" t="s">
        <v>374</v>
      </c>
      <c r="C78" s="91">
        <v>1848571.1827261536</v>
      </c>
      <c r="D78" s="34" t="str">
        <f>CONCATENATE("Cost (",'Model Inputs'!$C$37," USD)")</f>
        <v>Cost (2019 USD)</v>
      </c>
      <c r="F78" s="333"/>
      <c r="G78" s="2" t="s">
        <v>199</v>
      </c>
      <c r="H78" s="32">
        <v>0</v>
      </c>
      <c r="I78" s="35" t="str">
        <f>CONCATENATE("(",'Model Inputs'!$C$37," USD)/yr")</f>
        <v>(2019 USD)/yr</v>
      </c>
    </row>
    <row r="79" spans="1:14" x14ac:dyDescent="0.25">
      <c r="A79" s="328"/>
      <c r="B79" s="90" t="s">
        <v>375</v>
      </c>
      <c r="C79" s="91">
        <v>3856436.3205453851</v>
      </c>
      <c r="D79" s="34" t="str">
        <f>CONCATENATE("Cost (",'Model Inputs'!$C$37," USD)")</f>
        <v>Cost (2019 USD)</v>
      </c>
      <c r="F79" s="336" t="s">
        <v>393</v>
      </c>
      <c r="G79" s="23" t="s">
        <v>388</v>
      </c>
      <c r="H79" s="29">
        <v>6670558.9303100007</v>
      </c>
      <c r="I79" s="33" t="str">
        <f>CONCATENATE("(",'Model Inputs'!$C$37," USD)/yr")</f>
        <v>(2019 USD)/yr</v>
      </c>
    </row>
    <row r="80" spans="1:14" x14ac:dyDescent="0.25">
      <c r="A80" s="328"/>
      <c r="B80" s="90" t="s">
        <v>376</v>
      </c>
      <c r="C80" s="91">
        <v>285652.20537115383</v>
      </c>
      <c r="D80" s="34" t="str">
        <f>CONCATENATE("Cost (",'Model Inputs'!$C$37," USD)")</f>
        <v>Cost (2019 USD)</v>
      </c>
      <c r="F80" s="337"/>
      <c r="G80" s="90" t="s">
        <v>191</v>
      </c>
      <c r="H80" s="91">
        <v>1819243.3446323078</v>
      </c>
      <c r="I80" s="34" t="str">
        <f>CONCATENATE("(",'Model Inputs'!$C$37," USD)/yr")</f>
        <v>(2019 USD)/yr</v>
      </c>
    </row>
    <row r="81" spans="1:9" x14ac:dyDescent="0.25">
      <c r="A81" s="329"/>
      <c r="B81" s="2" t="s">
        <v>377</v>
      </c>
      <c r="C81" s="32">
        <v>379974.80381976918</v>
      </c>
      <c r="D81" s="35" t="str">
        <f>CONCATENATE("Cost (",'Model Inputs'!$C$37," USD)")</f>
        <v>Cost (2019 USD)</v>
      </c>
      <c r="F81" s="337"/>
      <c r="G81" s="90" t="s">
        <v>389</v>
      </c>
      <c r="H81" s="91">
        <v>242565.7792839231</v>
      </c>
      <c r="I81" s="34" t="str">
        <f>CONCATENATE("(",'Model Inputs'!$C$37," USD)/yr")</f>
        <v>(2019 USD)/yr</v>
      </c>
    </row>
    <row r="82" spans="1:9" x14ac:dyDescent="0.25">
      <c r="A82" s="327" t="s">
        <v>384</v>
      </c>
      <c r="B82" s="23" t="s">
        <v>378</v>
      </c>
      <c r="C82" s="29">
        <v>19482797.98103077</v>
      </c>
      <c r="D82" s="33" t="str">
        <f>CONCATENATE("Cost (",'Model Inputs'!$C$37," USD)")</f>
        <v>Cost (2019 USD)</v>
      </c>
      <c r="F82" s="338"/>
      <c r="G82" s="2" t="s">
        <v>390</v>
      </c>
      <c r="H82" s="32">
        <v>976028.58112284623</v>
      </c>
      <c r="I82" s="35" t="str">
        <f>CONCATENATE("(",'Model Inputs'!$C$37," USD)/yr")</f>
        <v>(2019 USD)/yr</v>
      </c>
    </row>
    <row r="83" spans="1:9" x14ac:dyDescent="0.25">
      <c r="A83" s="328"/>
      <c r="B83" s="90" t="s">
        <v>379</v>
      </c>
      <c r="C83" s="91">
        <v>3199403.0173638458</v>
      </c>
      <c r="D83" s="34" t="str">
        <f>CONCATENATE("Cost (",'Model Inputs'!$C$37," USD)")</f>
        <v>Cost (2019 USD)</v>
      </c>
      <c r="F83" s="110" t="s">
        <v>391</v>
      </c>
      <c r="G83" s="96" t="s">
        <v>391</v>
      </c>
      <c r="H83" s="97">
        <v>10736314.392353846</v>
      </c>
      <c r="I83" s="98" t="str">
        <f>CONCATENATE("(",'Model Inputs'!$C$37," USD)/yr")</f>
        <v>(2019 USD)/yr</v>
      </c>
    </row>
    <row r="84" spans="1:9" x14ac:dyDescent="0.25">
      <c r="A84" s="329"/>
      <c r="B84" s="2" t="s">
        <v>380</v>
      </c>
      <c r="C84" s="32">
        <v>8096448.7150215395</v>
      </c>
      <c r="D84" s="35" t="str">
        <f>CONCATENATE("Cost (",'Model Inputs'!$C$37," USD)")</f>
        <v>Cost (2019 USD)</v>
      </c>
      <c r="F84" s="111" t="s">
        <v>394</v>
      </c>
      <c r="G84" s="107" t="s">
        <v>395</v>
      </c>
      <c r="H84" s="108">
        <f>SUM(H76,H83)</f>
        <v>19131334.742023073</v>
      </c>
      <c r="I84" s="109" t="str">
        <f>CONCATENATE("(",'Model Inputs'!$C$37," USD)/yr")</f>
        <v>(2019 USD)/yr</v>
      </c>
    </row>
    <row r="85" spans="1:9" x14ac:dyDescent="0.25">
      <c r="A85" s="27" t="s">
        <v>196</v>
      </c>
      <c r="B85" s="26" t="s">
        <v>196</v>
      </c>
      <c r="C85" s="37">
        <v>93835891.405789226</v>
      </c>
      <c r="D85" s="36" t="str">
        <f>CONCATENATE("Cost (",'Model Inputs'!$C$37," USD)")</f>
        <v>Cost (2019 USD)</v>
      </c>
    </row>
    <row r="86" spans="1:9" x14ac:dyDescent="0.25">
      <c r="A86" s="327" t="s">
        <v>197</v>
      </c>
      <c r="B86" s="23" t="s">
        <v>168</v>
      </c>
      <c r="C86" s="29">
        <v>3753435.6562316152</v>
      </c>
      <c r="D86" s="33" t="str">
        <f>CONCATENATE("Cost (",'Model Inputs'!$C$37," USD)")</f>
        <v>Cost (2019 USD)</v>
      </c>
    </row>
    <row r="87" spans="1:9" x14ac:dyDescent="0.25">
      <c r="A87" s="328"/>
      <c r="B87" s="90" t="s">
        <v>381</v>
      </c>
      <c r="C87" s="91">
        <v>8445230.2265209239</v>
      </c>
      <c r="D87" s="34" t="str">
        <f>CONCATENATE("Cost (",'Model Inputs'!$C$37," USD)")</f>
        <v>Cost (2019 USD)</v>
      </c>
    </row>
    <row r="88" spans="1:9" x14ac:dyDescent="0.25">
      <c r="A88" s="328"/>
      <c r="B88" s="90" t="s">
        <v>170</v>
      </c>
      <c r="C88" s="91">
        <v>4222615.1132605392</v>
      </c>
      <c r="D88" s="34" t="str">
        <f>CONCATENATE("Cost (",'Model Inputs'!$C$37," USD)")</f>
        <v>Cost (2019 USD)</v>
      </c>
    </row>
    <row r="89" spans="1:9" x14ac:dyDescent="0.25">
      <c r="A89" s="329"/>
      <c r="B89" s="2" t="s">
        <v>201</v>
      </c>
      <c r="C89" s="32">
        <v>110257172.40179229</v>
      </c>
      <c r="D89" s="35" t="str">
        <f>CONCATENATE("Cost (",'Model Inputs'!$C$37," USD)")</f>
        <v>Cost (2019 USD)</v>
      </c>
    </row>
    <row r="90" spans="1:9" x14ac:dyDescent="0.25">
      <c r="A90" s="27" t="s">
        <v>386</v>
      </c>
      <c r="B90" s="26" t="s">
        <v>174</v>
      </c>
      <c r="C90" s="37">
        <v>11025717.24017923</v>
      </c>
      <c r="D90" s="36" t="str">
        <f>CONCATENATE("Cost (",'Model Inputs'!$C$37," USD)")</f>
        <v>Cost (2019 USD)</v>
      </c>
    </row>
    <row r="91" spans="1:9" x14ac:dyDescent="0.25">
      <c r="A91" s="95" t="s">
        <v>112</v>
      </c>
      <c r="B91" s="99" t="s">
        <v>112</v>
      </c>
      <c r="C91" s="100">
        <v>121282889.64197691</v>
      </c>
      <c r="D91" s="102" t="str">
        <f>CONCATENATE("Cost (",'Model Inputs'!$C$37," USD)")</f>
        <v>Cost (2019 USD)</v>
      </c>
    </row>
    <row r="92" spans="1:9" x14ac:dyDescent="0.25">
      <c r="A92" s="27" t="s">
        <v>113</v>
      </c>
      <c r="B92" s="26" t="s">
        <v>113</v>
      </c>
      <c r="C92" s="37">
        <v>6064144.4820989985</v>
      </c>
      <c r="D92" s="36" t="str">
        <f>CONCATENATE("Cost (",'Model Inputs'!$C$37," USD)")</f>
        <v>Cost (2019 USD)</v>
      </c>
    </row>
    <row r="93" spans="1:9" x14ac:dyDescent="0.25">
      <c r="A93" s="95" t="s">
        <v>114</v>
      </c>
      <c r="B93" s="99" t="s">
        <v>114</v>
      </c>
      <c r="C93" s="100">
        <v>127347034.12408462</v>
      </c>
      <c r="D93" s="101" t="str">
        <f>CONCATENATE("Cost (",'Model Inputs'!$C$37," USD)")</f>
        <v>Cost (2019 USD)</v>
      </c>
    </row>
    <row r="94" spans="1:9" x14ac:dyDescent="0.25">
      <c r="A94" s="90"/>
      <c r="B94" s="90"/>
      <c r="C94" s="90"/>
      <c r="D94" s="90"/>
    </row>
    <row r="95" spans="1:9" x14ac:dyDescent="0.25">
      <c r="A95" s="90"/>
      <c r="B95" s="90"/>
      <c r="C95" s="90"/>
      <c r="D95" s="90"/>
    </row>
    <row r="96" spans="1:9" x14ac:dyDescent="0.25">
      <c r="A96" s="356" t="s">
        <v>503</v>
      </c>
      <c r="B96" s="356"/>
      <c r="C96" s="356"/>
      <c r="D96" s="90"/>
    </row>
    <row r="97" spans="1:5" x14ac:dyDescent="0.25">
      <c r="A97" s="56" t="s">
        <v>299</v>
      </c>
      <c r="B97" s="103">
        <f>SUM(C68:C70)</f>
        <v>16161524.581215614</v>
      </c>
      <c r="C97" s="71" t="str">
        <f>CONCATENATE("Cost (",'Model Inputs'!$C$37," USD)")</f>
        <v>Cost (2019 USD)</v>
      </c>
      <c r="D97" s="90"/>
      <c r="E97" s="84"/>
    </row>
    <row r="98" spans="1:5" x14ac:dyDescent="0.25">
      <c r="A98" s="56" t="s">
        <v>382</v>
      </c>
      <c r="B98" s="103">
        <f>SUM(C71:C75)</f>
        <v>36625200.731641851</v>
      </c>
      <c r="C98" s="71" t="str">
        <f>CONCATENATE("Cost (",'Model Inputs'!$C$37," USD)")</f>
        <v>Cost (2019 USD)</v>
      </c>
      <c r="D98" s="90"/>
    </row>
    <row r="99" spans="1:5" x14ac:dyDescent="0.25">
      <c r="A99" s="56" t="s">
        <v>383</v>
      </c>
      <c r="B99" s="103">
        <f>SUM(C76:C81)</f>
        <v>10270516.379516847</v>
      </c>
      <c r="C99" s="71" t="str">
        <f>CONCATENATE("Cost (",'Model Inputs'!$C$37," USD)")</f>
        <v>Cost (2019 USD)</v>
      </c>
      <c r="D99" s="90"/>
    </row>
    <row r="100" spans="1:5" x14ac:dyDescent="0.25">
      <c r="A100" s="56" t="s">
        <v>384</v>
      </c>
      <c r="B100" s="103">
        <f>SUM(C82:C84)</f>
        <v>30778649.713416155</v>
      </c>
      <c r="C100" s="71" t="str">
        <f>CONCATENATE("Cost (",'Model Inputs'!$C$37," USD)")</f>
        <v>Cost (2019 USD)</v>
      </c>
      <c r="D100" s="90"/>
    </row>
    <row r="101" spans="1:5" x14ac:dyDescent="0.25">
      <c r="A101" s="56" t="s">
        <v>385</v>
      </c>
      <c r="B101" s="103">
        <f>SUM(C86:C88)</f>
        <v>16421280.996013079</v>
      </c>
      <c r="C101" s="71" t="str">
        <f>CONCATENATE("Cost (",'Model Inputs'!$C$37," USD)")</f>
        <v>Cost (2019 USD)</v>
      </c>
      <c r="D101" s="90"/>
    </row>
    <row r="102" spans="1:5" x14ac:dyDescent="0.25">
      <c r="A102" s="56" t="s">
        <v>174</v>
      </c>
      <c r="B102" s="103">
        <f>C90</f>
        <v>11025717.24017923</v>
      </c>
      <c r="C102" s="71" t="str">
        <f>CONCATENATE("Cost (",'Model Inputs'!$C$37," USD)")</f>
        <v>Cost (2019 USD)</v>
      </c>
      <c r="D102" s="90"/>
    </row>
    <row r="103" spans="1:5" x14ac:dyDescent="0.25">
      <c r="A103" s="90"/>
      <c r="B103" s="90"/>
      <c r="C103" s="90"/>
      <c r="D103" s="90"/>
    </row>
    <row r="104" spans="1:5" x14ac:dyDescent="0.25">
      <c r="A104" s="90"/>
      <c r="B104" s="90"/>
      <c r="C104" s="90"/>
      <c r="D104" s="90"/>
    </row>
    <row r="105" spans="1:5" x14ac:dyDescent="0.25">
      <c r="A105" s="350" t="s">
        <v>475</v>
      </c>
      <c r="B105" s="351"/>
      <c r="C105" s="352"/>
      <c r="D105" s="90"/>
    </row>
    <row r="106" spans="1:5" x14ac:dyDescent="0.25">
      <c r="A106" s="56" t="s">
        <v>458</v>
      </c>
      <c r="B106" s="103">
        <v>1056306.8869726795</v>
      </c>
      <c r="C106" s="71" t="str">
        <f>CONCATENATE("Revenue (",'Model Inputs'!$C$37," USD)")</f>
        <v>Revenue (2019 USD)</v>
      </c>
      <c r="D106" s="90"/>
    </row>
    <row r="107" spans="1:5" x14ac:dyDescent="0.25">
      <c r="A107" s="56" t="s">
        <v>459</v>
      </c>
      <c r="B107" s="103">
        <v>245710.46940657715</v>
      </c>
      <c r="C107" s="71" t="str">
        <f>CONCATENATE("Revenue (",'Model Inputs'!$C$37," USD)")</f>
        <v>Revenue (2019 USD)</v>
      </c>
      <c r="D107" s="90"/>
    </row>
    <row r="108" spans="1:5" x14ac:dyDescent="0.25">
      <c r="A108" s="56" t="s">
        <v>460</v>
      </c>
      <c r="B108" s="103">
        <v>0</v>
      </c>
      <c r="C108" s="71" t="str">
        <f>CONCATENATE("Revenue (",'Model Inputs'!$C$37," USD)")</f>
        <v>Revenue (2019 USD)</v>
      </c>
      <c r="D108" s="90"/>
    </row>
    <row r="109" spans="1:5" x14ac:dyDescent="0.25">
      <c r="A109" s="56" t="s">
        <v>314</v>
      </c>
      <c r="B109" s="103">
        <v>5149745.9655154906</v>
      </c>
      <c r="C109" s="71" t="str">
        <f>CONCATENATE("Revenue (",'Model Inputs'!$C$37," USD)")</f>
        <v>Revenue (2019 USD)</v>
      </c>
      <c r="D109" s="90"/>
    </row>
    <row r="110" spans="1:5" x14ac:dyDescent="0.25">
      <c r="A110" s="56" t="s">
        <v>315</v>
      </c>
      <c r="B110" s="103">
        <v>5108418.6576925451</v>
      </c>
      <c r="C110" s="71" t="str">
        <f>CONCATENATE("Revenue (",'Model Inputs'!$C$37," USD)")</f>
        <v>Revenue (2019 USD)</v>
      </c>
      <c r="D110" s="90"/>
    </row>
    <row r="111" spans="1:5" x14ac:dyDescent="0.25">
      <c r="A111" s="56" t="s">
        <v>109</v>
      </c>
      <c r="B111" s="103">
        <v>6482265.1476042634</v>
      </c>
      <c r="C111" s="71" t="str">
        <f>CONCATENATE("Revenue (",'Model Inputs'!$C$37," USD)")</f>
        <v>Revenue (2019 USD)</v>
      </c>
    </row>
    <row r="112" spans="1:5" x14ac:dyDescent="0.25">
      <c r="A112" s="56" t="str">
        <f>IF('Model Inputs'!C34="Maximum Jet", "Diesel", "Jet Fuel")</f>
        <v>Diesel</v>
      </c>
      <c r="B112" s="103">
        <v>24517923.505229086</v>
      </c>
      <c r="C112" s="71" t="str">
        <f>CONCATENATE("Revenue (",'Model Inputs'!$C$37," USD)")</f>
        <v>Revenue (2019 USD)</v>
      </c>
    </row>
    <row r="113" spans="1:9" x14ac:dyDescent="0.25">
      <c r="A113" s="56" t="s">
        <v>461</v>
      </c>
      <c r="B113" s="103">
        <v>0</v>
      </c>
      <c r="C113" s="71" t="str">
        <f>CONCATENATE("Revenue (",'Model Inputs'!$C$37," USD)")</f>
        <v>Revenue (2019 USD)</v>
      </c>
    </row>
    <row r="117" spans="1:9" x14ac:dyDescent="0.25">
      <c r="A117" s="353" t="s">
        <v>456</v>
      </c>
      <c r="B117" s="353"/>
      <c r="C117" s="353"/>
      <c r="D117" s="353"/>
      <c r="F117" s="353" t="s">
        <v>455</v>
      </c>
      <c r="G117" s="353"/>
      <c r="H117" s="353"/>
      <c r="I117" s="353"/>
    </row>
    <row r="118" spans="1:9" x14ac:dyDescent="0.25">
      <c r="A118" s="169" t="s">
        <v>38</v>
      </c>
      <c r="B118" s="170" t="s">
        <v>387</v>
      </c>
      <c r="C118" s="171" t="s">
        <v>1</v>
      </c>
      <c r="D118" s="171" t="s">
        <v>2</v>
      </c>
      <c r="F118" s="169" t="s">
        <v>38</v>
      </c>
      <c r="G118" s="170" t="s">
        <v>200</v>
      </c>
      <c r="H118" s="171" t="s">
        <v>1</v>
      </c>
      <c r="I118" s="171" t="s">
        <v>2</v>
      </c>
    </row>
    <row r="119" spans="1:9" x14ac:dyDescent="0.25">
      <c r="A119" s="327" t="s">
        <v>462</v>
      </c>
      <c r="B119" s="23" t="s">
        <v>366</v>
      </c>
      <c r="C119" s="29">
        <v>1538876.0655284619</v>
      </c>
      <c r="D119" s="33" t="str">
        <f>CONCATENATE("Cost (",'Model Inputs'!$C$37," USD)")</f>
        <v>Cost (2019 USD)</v>
      </c>
      <c r="F119" s="327" t="s">
        <v>392</v>
      </c>
      <c r="G119" s="23" t="s">
        <v>396</v>
      </c>
      <c r="H119" s="29">
        <v>261231.87117846153</v>
      </c>
      <c r="I119" s="33" t="str">
        <f>CONCATENATE("(",'Model Inputs'!$C$37," USD)/yr")</f>
        <v>(2019 USD)/yr</v>
      </c>
    </row>
    <row r="120" spans="1:9" x14ac:dyDescent="0.25">
      <c r="A120" s="328"/>
      <c r="B120" s="163" t="s">
        <v>367</v>
      </c>
      <c r="C120" s="179">
        <v>14484154.049315384</v>
      </c>
      <c r="D120" s="34" t="str">
        <f>CONCATENATE("Cost (",'Model Inputs'!$C$37," USD)")</f>
        <v>Cost (2019 USD)</v>
      </c>
      <c r="F120" s="328"/>
      <c r="G120" s="163" t="s">
        <v>339</v>
      </c>
      <c r="H120" s="179">
        <v>530204.22430076927</v>
      </c>
      <c r="I120" s="34" t="str">
        <f>CONCATENATE("(",'Model Inputs'!$C$37," USD)/yr")</f>
        <v>(2019 USD)/yr</v>
      </c>
    </row>
    <row r="121" spans="1:9" x14ac:dyDescent="0.25">
      <c r="A121" s="329"/>
      <c r="B121" s="2" t="s">
        <v>368</v>
      </c>
      <c r="C121" s="32">
        <v>138494.46637176923</v>
      </c>
      <c r="D121" s="35" t="str">
        <f>CONCATENATE("Cost (",'Model Inputs'!$C$37," USD)")</f>
        <v>Cost (2019 USD)</v>
      </c>
      <c r="F121" s="329"/>
      <c r="G121" s="2" t="s">
        <v>346</v>
      </c>
      <c r="H121" s="32">
        <v>1513531.8307000003</v>
      </c>
      <c r="I121" s="35" t="str">
        <f>CONCATENATE("(",'Model Inputs'!$C$37," USD)/yr")</f>
        <v>(2019 USD)/yr</v>
      </c>
    </row>
    <row r="122" spans="1:9" x14ac:dyDescent="0.25">
      <c r="A122" s="327" t="s">
        <v>384</v>
      </c>
      <c r="B122" s="23" t="s">
        <v>378</v>
      </c>
      <c r="C122" s="29">
        <v>19482797.98103077</v>
      </c>
      <c r="D122" s="33" t="str">
        <f>CONCATENATE("Cost (",'Model Inputs'!$C$37," USD)")</f>
        <v>Cost (2019 USD)</v>
      </c>
      <c r="F122" s="189" t="s">
        <v>198</v>
      </c>
      <c r="G122" s="187" t="s">
        <v>473</v>
      </c>
      <c r="H122" s="190">
        <v>2304967.9261769233</v>
      </c>
      <c r="I122" s="188" t="str">
        <f>CONCATENATE("(",'Model Inputs'!$C$37," USD)/yr")</f>
        <v>(2019 USD)/yr</v>
      </c>
    </row>
    <row r="123" spans="1:9" x14ac:dyDescent="0.25">
      <c r="A123" s="328"/>
      <c r="B123" s="163" t="s">
        <v>379</v>
      </c>
      <c r="C123" s="179">
        <v>3199403.0173638458</v>
      </c>
      <c r="D123" s="34" t="str">
        <f>CONCATENATE("Cost (",'Model Inputs'!$C$37," USD)")</f>
        <v>Cost (2019 USD)</v>
      </c>
      <c r="F123" s="327" t="s">
        <v>188</v>
      </c>
      <c r="G123" s="23" t="s">
        <v>188</v>
      </c>
      <c r="H123" s="29">
        <v>513958.87849999993</v>
      </c>
      <c r="I123" s="33" t="str">
        <f>CONCATENATE("(",'Model Inputs'!$C$37," USD)/yr")</f>
        <v>(2019 USD)/yr</v>
      </c>
    </row>
    <row r="124" spans="1:9" x14ac:dyDescent="0.25">
      <c r="A124" s="329"/>
      <c r="B124" s="2" t="s">
        <v>380</v>
      </c>
      <c r="C124" s="32">
        <v>8096448.7150215395</v>
      </c>
      <c r="D124" s="35" t="str">
        <f>CONCATENATE("Cost (",'Model Inputs'!$C$37," USD)")</f>
        <v>Cost (2019 USD)</v>
      </c>
      <c r="F124" s="329"/>
      <c r="G124" s="2" t="s">
        <v>199</v>
      </c>
      <c r="H124" s="32">
        <v>0</v>
      </c>
      <c r="I124" s="35" t="str">
        <f>CONCATENATE("(",'Model Inputs'!$C$37," USD)/yr")</f>
        <v>(2019 USD)/yr</v>
      </c>
    </row>
    <row r="125" spans="1:9" x14ac:dyDescent="0.25">
      <c r="A125" s="27" t="s">
        <v>196</v>
      </c>
      <c r="B125" s="26" t="s">
        <v>196</v>
      </c>
      <c r="C125" s="37">
        <v>46940174.294638447</v>
      </c>
      <c r="D125" s="36" t="str">
        <f>CONCATENATE("Cost (",'Model Inputs'!$C$37," USD)")</f>
        <v>Cost (2019 USD)</v>
      </c>
      <c r="F125" s="336" t="s">
        <v>393</v>
      </c>
      <c r="G125" s="23" t="s">
        <v>388</v>
      </c>
      <c r="H125" s="29">
        <v>3336859.6401538458</v>
      </c>
      <c r="I125" s="33" t="str">
        <f>CONCATENATE("(",'Model Inputs'!$C$37," USD)/yr")</f>
        <v>(2019 USD)/yr</v>
      </c>
    </row>
    <row r="126" spans="1:9" x14ac:dyDescent="0.25">
      <c r="A126" s="327" t="s">
        <v>197</v>
      </c>
      <c r="B126" s="23" t="s">
        <v>168</v>
      </c>
      <c r="C126" s="29">
        <v>1877606.9717861537</v>
      </c>
      <c r="D126" s="33" t="str">
        <f>CONCATENATE("Cost (",'Model Inputs'!$C$37," USD)")</f>
        <v>Cost (2019 USD)</v>
      </c>
      <c r="F126" s="337"/>
      <c r="G126" s="163" t="s">
        <v>191</v>
      </c>
      <c r="H126" s="179">
        <v>910052.62913769227</v>
      </c>
      <c r="I126" s="34" t="str">
        <f>CONCATENATE("(",'Model Inputs'!$C$37," USD)/yr")</f>
        <v>(2019 USD)/yr</v>
      </c>
    </row>
    <row r="127" spans="1:9" x14ac:dyDescent="0.25">
      <c r="A127" s="328"/>
      <c r="B127" s="163" t="s">
        <v>381</v>
      </c>
      <c r="C127" s="179">
        <v>4224615.6865169238</v>
      </c>
      <c r="D127" s="34" t="str">
        <f>CONCATENATE("Cost (",'Model Inputs'!$C$37," USD)")</f>
        <v>Cost (2019 USD)</v>
      </c>
      <c r="F127" s="337"/>
      <c r="G127" s="163" t="s">
        <v>389</v>
      </c>
      <c r="H127" s="179">
        <v>121340.35055307693</v>
      </c>
      <c r="I127" s="34" t="str">
        <f>CONCATENATE("(",'Model Inputs'!$C$37," USD)/yr")</f>
        <v>(2019 USD)/yr</v>
      </c>
    </row>
    <row r="128" spans="1:9" x14ac:dyDescent="0.25">
      <c r="A128" s="328"/>
      <c r="B128" s="163" t="s">
        <v>170</v>
      </c>
      <c r="C128" s="179">
        <v>2112307.8432607693</v>
      </c>
      <c r="D128" s="34" t="str">
        <f>CONCATENATE("Cost (",'Model Inputs'!$C$37," USD)")</f>
        <v>Cost (2019 USD)</v>
      </c>
      <c r="F128" s="338"/>
      <c r="G128" s="2" t="s">
        <v>390</v>
      </c>
      <c r="H128" s="32">
        <v>488221.14983461529</v>
      </c>
      <c r="I128" s="35" t="str">
        <f>CONCATENATE("(",'Model Inputs'!$C$37," USD)/yr")</f>
        <v>(2019 USD)/yr</v>
      </c>
    </row>
    <row r="129" spans="1:9" x14ac:dyDescent="0.25">
      <c r="A129" s="329"/>
      <c r="B129" s="2" t="s">
        <v>201</v>
      </c>
      <c r="C129" s="32">
        <v>55154704.796207681</v>
      </c>
      <c r="D129" s="35" t="str">
        <f>CONCATENATE("Cost (",'Model Inputs'!$C$37," USD)")</f>
        <v>Cost (2019 USD)</v>
      </c>
      <c r="F129" s="189" t="s">
        <v>391</v>
      </c>
      <c r="G129" s="187" t="s">
        <v>391</v>
      </c>
      <c r="H129" s="190">
        <v>5370432.6482153842</v>
      </c>
      <c r="I129" s="188" t="str">
        <f>CONCATENATE("(",'Model Inputs'!$C$37," USD)/yr")</f>
        <v>(2019 USD)/yr</v>
      </c>
    </row>
    <row r="130" spans="1:9" x14ac:dyDescent="0.25">
      <c r="A130" s="27" t="s">
        <v>386</v>
      </c>
      <c r="B130" s="26" t="s">
        <v>174</v>
      </c>
      <c r="C130" s="37">
        <v>5515470.4796207696</v>
      </c>
      <c r="D130" s="36" t="str">
        <f>CONCATENATE("Cost (",'Model Inputs'!$C$37," USD)")</f>
        <v>Cost (2019 USD)</v>
      </c>
      <c r="F130" s="183" t="s">
        <v>463</v>
      </c>
      <c r="G130" s="184" t="s">
        <v>464</v>
      </c>
      <c r="H130" s="185">
        <f>SUM(H122,H129)</f>
        <v>7675400.5743923075</v>
      </c>
      <c r="I130" s="186" t="str">
        <f>CONCATENATE("(",'Model Inputs'!$C$37," USD)/yr")</f>
        <v>(2019 USD)/yr</v>
      </c>
    </row>
    <row r="131" spans="1:9" x14ac:dyDescent="0.25">
      <c r="A131" s="178" t="s">
        <v>112</v>
      </c>
      <c r="B131" s="180" t="s">
        <v>112</v>
      </c>
      <c r="C131" s="181">
        <v>60670175.275815375</v>
      </c>
      <c r="D131" s="182" t="str">
        <f>CONCATENATE("Cost (",'Model Inputs'!$C$37," USD)")</f>
        <v>Cost (2019 USD)</v>
      </c>
    </row>
    <row r="132" spans="1:9" x14ac:dyDescent="0.25">
      <c r="A132" s="27" t="s">
        <v>113</v>
      </c>
      <c r="B132" s="26" t="s">
        <v>113</v>
      </c>
      <c r="C132" s="37">
        <v>3033508.7637923085</v>
      </c>
      <c r="D132" s="36" t="str">
        <f>CONCATENATE("Cost (",'Model Inputs'!$C$37," USD)")</f>
        <v>Cost (2019 USD)</v>
      </c>
    </row>
    <row r="133" spans="1:9" x14ac:dyDescent="0.25">
      <c r="A133" s="178" t="s">
        <v>114</v>
      </c>
      <c r="B133" s="180" t="s">
        <v>114</v>
      </c>
      <c r="C133" s="181">
        <v>63703684.039623074</v>
      </c>
      <c r="D133" s="182" t="str">
        <f>CONCATENATE("Cost (",'Model Inputs'!$C$37," USD)")</f>
        <v>Cost (2019 USD)</v>
      </c>
    </row>
    <row r="136" spans="1:9" x14ac:dyDescent="0.25">
      <c r="A136" s="347" t="s">
        <v>476</v>
      </c>
      <c r="B136" s="348"/>
      <c r="C136" s="349"/>
    </row>
    <row r="137" spans="1:9" x14ac:dyDescent="0.25">
      <c r="A137" s="56" t="s">
        <v>477</v>
      </c>
      <c r="B137" s="103">
        <v>0</v>
      </c>
      <c r="C137" s="71" t="str">
        <f>CONCATENATE("Revenue (",'Model Inputs'!$C$37," USD)")</f>
        <v>Revenue (2019 USD)</v>
      </c>
    </row>
    <row r="138" spans="1:9" x14ac:dyDescent="0.25">
      <c r="A138" s="56" t="s">
        <v>458</v>
      </c>
      <c r="B138" s="103">
        <v>1056306.8869726795</v>
      </c>
      <c r="C138" s="71" t="str">
        <f>CONCATENATE("Revenue (",'Model Inputs'!$C$37," USD)")</f>
        <v>Revenue (2019 USD)</v>
      </c>
    </row>
    <row r="139" spans="1:9" x14ac:dyDescent="0.25">
      <c r="A139" s="56" t="s">
        <v>459</v>
      </c>
      <c r="B139" s="103">
        <v>245710.46940657715</v>
      </c>
      <c r="C139" s="71" t="str">
        <f>CONCATENATE("Revenue (",'Model Inputs'!$C$37," USD)")</f>
        <v>Revenue (2019 USD)</v>
      </c>
    </row>
    <row r="140" spans="1:9" x14ac:dyDescent="0.25">
      <c r="A140" s="56" t="s">
        <v>478</v>
      </c>
      <c r="B140" s="103">
        <v>0</v>
      </c>
      <c r="C140" s="71" t="str">
        <f>CONCATENATE("Revenue (",'Model Inputs'!$C$37," USD)")</f>
        <v>Revenue (2019 USD)</v>
      </c>
    </row>
  </sheetData>
  <mergeCells count="34">
    <mergeCell ref="A86:A89"/>
    <mergeCell ref="A96:C96"/>
    <mergeCell ref="A50:A53"/>
    <mergeCell ref="A66:D66"/>
    <mergeCell ref="A68:A70"/>
    <mergeCell ref="A71:A75"/>
    <mergeCell ref="A76:A81"/>
    <mergeCell ref="A12:A18"/>
    <mergeCell ref="A19:A25"/>
    <mergeCell ref="A26:A36"/>
    <mergeCell ref="A37:A44"/>
    <mergeCell ref="A45:A49"/>
    <mergeCell ref="A1:D1"/>
    <mergeCell ref="F1:I1"/>
    <mergeCell ref="F3:F6"/>
    <mergeCell ref="F7:F8"/>
    <mergeCell ref="F9:F10"/>
    <mergeCell ref="A3:A11"/>
    <mergeCell ref="F66:I66"/>
    <mergeCell ref="F77:F78"/>
    <mergeCell ref="F79:F82"/>
    <mergeCell ref="F68:F75"/>
    <mergeCell ref="A54:A59"/>
    <mergeCell ref="A82:A84"/>
    <mergeCell ref="A105:C105"/>
    <mergeCell ref="A117:D117"/>
    <mergeCell ref="F117:I117"/>
    <mergeCell ref="A119:A121"/>
    <mergeCell ref="A122:A124"/>
    <mergeCell ref="A136:C136"/>
    <mergeCell ref="A126:A129"/>
    <mergeCell ref="F119:F121"/>
    <mergeCell ref="F123:F124"/>
    <mergeCell ref="F125:F128"/>
  </mergeCells>
  <pageMargins left="0.7" right="0.7" top="0.75" bottom="0.75" header="0.3" footer="0.3"/>
  <ignoredErrors>
    <ignoredError sqref="B97:B101" formulaRange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08C88-8096-4058-B4B0-B11F28A71A81}">
  <sheetPr codeName="Sheet5"/>
  <dimension ref="B1:AK97"/>
  <sheetViews>
    <sheetView topLeftCell="A27" zoomScale="70" zoomScaleNormal="70" workbookViewId="0">
      <selection activeCell="D43" sqref="D43"/>
    </sheetView>
  </sheetViews>
  <sheetFormatPr defaultRowHeight="15" x14ac:dyDescent="0.25"/>
  <cols>
    <col min="2" max="2" width="42.5703125" bestFit="1" customWidth="1"/>
    <col min="3" max="3" width="33.28515625" bestFit="1" customWidth="1"/>
    <col min="4" max="4" width="19.7109375" bestFit="1" customWidth="1"/>
    <col min="5" max="5" width="17.7109375" bestFit="1" customWidth="1"/>
    <col min="6" max="6" width="24.140625" bestFit="1" customWidth="1"/>
    <col min="7" max="7" width="18.140625" bestFit="1" customWidth="1"/>
    <col min="8" max="8" width="17.7109375" bestFit="1" customWidth="1"/>
    <col min="9" max="11" width="18.140625" bestFit="1" customWidth="1"/>
    <col min="12" max="12" width="17.28515625" bestFit="1" customWidth="1"/>
    <col min="13" max="13" width="17.7109375" bestFit="1" customWidth="1"/>
    <col min="14" max="14" width="18.140625" bestFit="1" customWidth="1"/>
    <col min="15" max="18" width="17.7109375" bestFit="1" customWidth="1"/>
    <col min="19" max="19" width="18.140625" bestFit="1" customWidth="1"/>
    <col min="20" max="20" width="17.7109375" bestFit="1" customWidth="1"/>
    <col min="21" max="21" width="17.28515625" bestFit="1" customWidth="1"/>
    <col min="22" max="22" width="17.7109375" bestFit="1" customWidth="1"/>
    <col min="23" max="23" width="18.140625" bestFit="1" customWidth="1"/>
    <col min="24" max="24" width="16.85546875" bestFit="1" customWidth="1"/>
    <col min="25" max="27" width="17.28515625" bestFit="1" customWidth="1"/>
    <col min="28" max="28" width="16.85546875" bestFit="1" customWidth="1"/>
    <col min="29" max="29" width="17.7109375" bestFit="1" customWidth="1"/>
    <col min="30" max="30" width="17.28515625" bestFit="1" customWidth="1"/>
    <col min="31" max="31" width="16.85546875" bestFit="1" customWidth="1"/>
    <col min="32" max="33" width="17.28515625" bestFit="1" customWidth="1"/>
    <col min="34" max="34" width="17.7109375" bestFit="1" customWidth="1"/>
    <col min="35" max="37" width="16.85546875" bestFit="1" customWidth="1"/>
  </cols>
  <sheetData>
    <row r="1" spans="2:13" ht="15.75" thickBot="1" x14ac:dyDescent="0.3"/>
    <row r="2" spans="2:13" ht="21.75" thickBot="1" x14ac:dyDescent="0.4">
      <c r="B2" s="358" t="s">
        <v>403</v>
      </c>
      <c r="C2" s="359"/>
      <c r="D2" s="360"/>
      <c r="F2" s="310"/>
      <c r="G2" s="310"/>
      <c r="H2" s="310"/>
      <c r="I2" s="310"/>
      <c r="J2" s="310"/>
      <c r="K2" s="310"/>
      <c r="L2" s="310"/>
    </row>
    <row r="3" spans="2:13" x14ac:dyDescent="0.25">
      <c r="B3" s="116" t="s">
        <v>446</v>
      </c>
      <c r="C3" s="117"/>
      <c r="D3" s="118">
        <f>'CAPEX &amp; OPEX'!C60</f>
        <v>402554620.73518467</v>
      </c>
      <c r="E3" s="113"/>
      <c r="F3" s="310"/>
      <c r="G3" s="310"/>
      <c r="H3" s="310"/>
      <c r="I3" s="310"/>
      <c r="J3" s="310"/>
      <c r="K3" s="310"/>
      <c r="L3" s="310"/>
      <c r="M3" s="310"/>
    </row>
    <row r="4" spans="2:13" x14ac:dyDescent="0.25">
      <c r="B4" s="165" t="s">
        <v>124</v>
      </c>
      <c r="C4" s="166"/>
      <c r="D4" s="167">
        <f>'CAPEX &amp; OPEX'!C61</f>
        <v>24042700.920000009</v>
      </c>
      <c r="E4" s="115"/>
      <c r="F4" s="310"/>
      <c r="G4" s="310"/>
      <c r="H4" s="310"/>
      <c r="I4" s="310"/>
      <c r="J4" s="310"/>
      <c r="K4" s="310"/>
      <c r="L4" s="310"/>
      <c r="M4" s="310"/>
    </row>
    <row r="5" spans="2:13" x14ac:dyDescent="0.25">
      <c r="B5" s="116" t="s">
        <v>184</v>
      </c>
      <c r="C5" s="117"/>
      <c r="D5" s="118">
        <f>'CAPEX &amp; OPEX'!H3</f>
        <v>5881059.5333846156</v>
      </c>
      <c r="F5" s="310"/>
      <c r="G5" s="310"/>
      <c r="H5" s="310"/>
      <c r="I5" s="310"/>
      <c r="J5" s="310"/>
      <c r="K5" s="310"/>
      <c r="L5" s="310"/>
      <c r="M5" s="310"/>
    </row>
    <row r="6" spans="2:13" x14ac:dyDescent="0.25">
      <c r="B6" s="164" t="s">
        <v>185</v>
      </c>
      <c r="C6" s="114"/>
      <c r="D6" s="118">
        <f>'CAPEX &amp; OPEX'!H4</f>
        <v>3779325.2049384615</v>
      </c>
      <c r="F6" s="310"/>
      <c r="G6" s="310"/>
      <c r="H6" s="310"/>
      <c r="I6" s="310"/>
      <c r="J6" s="310"/>
      <c r="K6" s="310"/>
      <c r="L6" s="310"/>
      <c r="M6" s="310"/>
    </row>
    <row r="7" spans="2:13" x14ac:dyDescent="0.25">
      <c r="B7" s="116" t="s">
        <v>186</v>
      </c>
      <c r="C7" s="117"/>
      <c r="D7" s="118">
        <f>'CAPEX &amp; OPEX'!H5</f>
        <v>1752081.3093923074</v>
      </c>
      <c r="E7" s="115"/>
      <c r="F7" s="310"/>
      <c r="G7" s="310"/>
      <c r="H7" s="310"/>
      <c r="I7" s="310"/>
      <c r="J7" s="310"/>
      <c r="K7" s="310"/>
      <c r="L7" s="310"/>
      <c r="M7" s="310"/>
    </row>
    <row r="8" spans="2:13" x14ac:dyDescent="0.25">
      <c r="B8" s="164" t="s">
        <v>187</v>
      </c>
      <c r="C8" s="114"/>
      <c r="D8" s="118">
        <f>'CAPEX &amp; OPEX'!H6</f>
        <v>19122643.015769228</v>
      </c>
      <c r="E8" s="115"/>
      <c r="F8" s="310"/>
      <c r="G8" s="310"/>
      <c r="H8" s="310"/>
      <c r="I8" s="310"/>
      <c r="J8" s="310"/>
      <c r="K8" s="310"/>
      <c r="L8" s="310"/>
      <c r="M8" s="310"/>
    </row>
    <row r="9" spans="2:13" x14ac:dyDescent="0.25">
      <c r="B9" s="116" t="s">
        <v>188</v>
      </c>
      <c r="C9" s="117"/>
      <c r="D9" s="118">
        <f>'CAPEX &amp; OPEX'!H7</f>
        <v>4361224.4435999999</v>
      </c>
      <c r="E9" s="115"/>
      <c r="F9" s="310"/>
      <c r="G9" s="310"/>
      <c r="H9" s="310"/>
      <c r="I9" s="310"/>
      <c r="J9" s="310"/>
      <c r="K9" s="310"/>
      <c r="L9" s="310"/>
      <c r="M9" s="310"/>
    </row>
    <row r="10" spans="2:13" x14ac:dyDescent="0.25">
      <c r="B10" s="164" t="s">
        <v>189</v>
      </c>
      <c r="C10" s="114"/>
      <c r="D10" s="118">
        <f>'CAPEX &amp; OPEX'!H8</f>
        <v>3925101.9993000007</v>
      </c>
      <c r="E10" s="115"/>
      <c r="F10" s="310"/>
      <c r="G10" s="310"/>
      <c r="H10" s="310"/>
      <c r="I10" s="310"/>
      <c r="J10" s="310"/>
      <c r="K10" s="310"/>
      <c r="L10" s="310"/>
      <c r="M10" s="310"/>
    </row>
    <row r="11" spans="2:13" x14ac:dyDescent="0.25">
      <c r="B11" s="116" t="s">
        <v>190</v>
      </c>
      <c r="C11" s="117"/>
      <c r="D11" s="118">
        <f>'CAPEX &amp; OPEX'!H9</f>
        <v>2719734.123146154</v>
      </c>
      <c r="E11" s="115"/>
      <c r="F11" s="310"/>
      <c r="G11" s="310"/>
      <c r="H11" s="310"/>
      <c r="I11" s="310"/>
      <c r="J11" s="310"/>
      <c r="K11" s="310"/>
      <c r="L11" s="310"/>
      <c r="M11" s="310"/>
    </row>
    <row r="12" spans="2:13" x14ac:dyDescent="0.25">
      <c r="B12" s="165" t="s">
        <v>191</v>
      </c>
      <c r="C12" s="166"/>
      <c r="D12" s="167">
        <f>'CAPEX &amp; OPEX'!H10</f>
        <v>2817882.3451461536</v>
      </c>
      <c r="F12" s="310"/>
      <c r="G12" s="310"/>
      <c r="H12" s="310"/>
      <c r="I12" s="310"/>
      <c r="J12" s="310"/>
      <c r="K12" s="310"/>
      <c r="L12" s="310"/>
      <c r="M12" s="310"/>
    </row>
    <row r="13" spans="2:13" x14ac:dyDescent="0.25">
      <c r="B13" s="116" t="s">
        <v>113</v>
      </c>
      <c r="C13" s="119"/>
      <c r="D13" s="120">
        <f>'CAPEX &amp; OPEX'!C62</f>
        <v>20127731.03676923</v>
      </c>
      <c r="E13" s="115"/>
      <c r="F13" s="310"/>
      <c r="G13" s="310"/>
      <c r="H13" s="310"/>
      <c r="I13" s="310"/>
      <c r="J13" s="310"/>
      <c r="K13" s="310"/>
      <c r="L13" s="310"/>
      <c r="M13" s="310"/>
    </row>
    <row r="14" spans="2:13" x14ac:dyDescent="0.25">
      <c r="B14" s="361"/>
      <c r="C14" s="362"/>
      <c r="D14" s="363"/>
      <c r="F14" s="310"/>
      <c r="G14" s="310"/>
      <c r="H14" s="310"/>
      <c r="I14" s="310"/>
      <c r="J14" s="310"/>
      <c r="K14" s="310"/>
      <c r="L14" s="310"/>
      <c r="M14" s="310"/>
    </row>
    <row r="15" spans="2:13" x14ac:dyDescent="0.25">
      <c r="B15" s="373" t="s">
        <v>404</v>
      </c>
      <c r="C15" s="374"/>
      <c r="D15" s="375"/>
      <c r="F15" s="310"/>
      <c r="G15" s="310"/>
      <c r="H15" s="310"/>
      <c r="I15" s="310"/>
      <c r="J15" s="310"/>
      <c r="K15" s="310"/>
      <c r="L15" s="310"/>
    </row>
    <row r="16" spans="2:13" x14ac:dyDescent="0.25">
      <c r="B16" s="121" t="s">
        <v>405</v>
      </c>
      <c r="C16" s="122"/>
      <c r="D16" s="123">
        <v>0.4</v>
      </c>
      <c r="F16" s="310"/>
      <c r="G16" s="310"/>
      <c r="H16" s="310"/>
      <c r="I16" s="310"/>
      <c r="J16" s="310"/>
      <c r="K16" s="310"/>
      <c r="L16" s="310"/>
    </row>
    <row r="17" spans="2:13" x14ac:dyDescent="0.25">
      <c r="B17" s="121" t="s">
        <v>406</v>
      </c>
      <c r="C17" s="122"/>
      <c r="D17" s="123">
        <v>0.08</v>
      </c>
      <c r="F17" s="310"/>
      <c r="G17" s="310"/>
      <c r="H17" s="310"/>
      <c r="I17" s="310"/>
      <c r="J17" s="310"/>
      <c r="K17" s="310"/>
      <c r="L17" s="310"/>
      <c r="M17" s="124"/>
    </row>
    <row r="18" spans="2:13" x14ac:dyDescent="0.25">
      <c r="B18" s="121" t="s">
        <v>407</v>
      </c>
      <c r="C18" s="122"/>
      <c r="D18" s="125">
        <v>10</v>
      </c>
      <c r="F18" s="310"/>
      <c r="G18" s="310"/>
      <c r="H18" s="310"/>
      <c r="I18" s="310"/>
      <c r="J18" s="310"/>
      <c r="K18" s="310"/>
      <c r="L18" s="310"/>
    </row>
    <row r="19" spans="2:13" x14ac:dyDescent="0.25">
      <c r="B19" s="121" t="s">
        <v>408</v>
      </c>
      <c r="C19" s="122"/>
      <c r="D19" s="126">
        <f>-PMT(D17,D18,D3*(1-D16))</f>
        <v>35995505.580485806</v>
      </c>
      <c r="F19" s="310"/>
      <c r="G19" s="310"/>
      <c r="H19" s="310"/>
      <c r="I19" s="310"/>
      <c r="J19" s="310"/>
      <c r="K19" s="310"/>
      <c r="L19" s="310"/>
    </row>
    <row r="20" spans="2:13" x14ac:dyDescent="0.25">
      <c r="B20" s="361"/>
      <c r="C20" s="362"/>
      <c r="D20" s="363"/>
      <c r="F20" s="310"/>
      <c r="G20" s="310"/>
      <c r="H20" s="310"/>
      <c r="I20" s="310"/>
      <c r="J20" s="310"/>
      <c r="K20" s="310"/>
      <c r="L20" s="310"/>
    </row>
    <row r="21" spans="2:13" x14ac:dyDescent="0.25">
      <c r="B21" s="364" t="s">
        <v>409</v>
      </c>
      <c r="C21" s="365"/>
      <c r="D21" s="366"/>
      <c r="F21" s="310"/>
      <c r="G21" s="310"/>
      <c r="H21" s="310"/>
      <c r="I21" s="310"/>
      <c r="J21" s="310"/>
      <c r="K21" s="310"/>
      <c r="L21" s="310"/>
    </row>
    <row r="22" spans="2:13" x14ac:dyDescent="0.25">
      <c r="B22" s="127" t="s">
        <v>410</v>
      </c>
      <c r="C22" s="128" t="s">
        <v>411</v>
      </c>
      <c r="D22" s="129">
        <v>7</v>
      </c>
      <c r="F22" s="310"/>
      <c r="G22" s="310"/>
      <c r="H22" s="310"/>
      <c r="I22" s="310"/>
      <c r="J22" s="310"/>
      <c r="K22" s="310"/>
      <c r="L22" s="310"/>
    </row>
    <row r="23" spans="2:13" x14ac:dyDescent="0.25">
      <c r="B23" s="361"/>
      <c r="C23" s="362"/>
      <c r="D23" s="363"/>
      <c r="F23" s="310"/>
      <c r="G23" s="310"/>
      <c r="H23" s="310"/>
      <c r="I23" s="310"/>
      <c r="J23" s="310"/>
      <c r="K23" s="310"/>
      <c r="L23" s="310"/>
    </row>
    <row r="24" spans="2:13" x14ac:dyDescent="0.25">
      <c r="B24" s="367" t="s">
        <v>412</v>
      </c>
      <c r="C24" s="368"/>
      <c r="D24" s="369"/>
      <c r="F24" s="310"/>
      <c r="G24" s="310"/>
      <c r="H24" s="310"/>
      <c r="I24" s="310"/>
      <c r="J24" s="310"/>
      <c r="K24" s="310"/>
      <c r="L24" s="310"/>
    </row>
    <row r="25" spans="2:13" x14ac:dyDescent="0.25">
      <c r="B25" s="288" t="s">
        <v>413</v>
      </c>
      <c r="C25" s="289"/>
      <c r="D25" s="290">
        <v>3</v>
      </c>
      <c r="F25" s="310"/>
      <c r="G25" s="310"/>
      <c r="H25" s="310"/>
      <c r="I25" s="310"/>
      <c r="J25" s="310"/>
      <c r="K25" s="310"/>
      <c r="L25" s="310"/>
    </row>
    <row r="26" spans="2:13" x14ac:dyDescent="0.25">
      <c r="B26" s="288"/>
      <c r="C26" s="289" t="s">
        <v>414</v>
      </c>
      <c r="D26" s="291">
        <v>0.08</v>
      </c>
      <c r="F26" s="310"/>
      <c r="G26" s="310"/>
      <c r="H26" s="310"/>
      <c r="I26" s="310"/>
      <c r="J26" s="310"/>
      <c r="K26" s="310"/>
      <c r="L26" s="310"/>
    </row>
    <row r="27" spans="2:13" x14ac:dyDescent="0.25">
      <c r="B27" s="288"/>
      <c r="C27" s="289" t="s">
        <v>415</v>
      </c>
      <c r="D27" s="291">
        <v>0.6</v>
      </c>
      <c r="F27" s="310"/>
      <c r="G27" s="310"/>
      <c r="H27" s="310"/>
      <c r="I27" s="310"/>
      <c r="J27" s="310"/>
      <c r="K27" s="310"/>
      <c r="L27" s="310"/>
    </row>
    <row r="28" spans="2:13" x14ac:dyDescent="0.25">
      <c r="B28" s="288"/>
      <c r="C28" s="289" t="s">
        <v>416</v>
      </c>
      <c r="D28" s="291">
        <v>0.32</v>
      </c>
      <c r="F28" s="310"/>
      <c r="G28" s="310"/>
      <c r="H28" s="310"/>
      <c r="I28" s="310"/>
      <c r="J28" s="310"/>
      <c r="K28" s="310"/>
      <c r="L28" s="310"/>
    </row>
    <row r="29" spans="2:13" x14ac:dyDescent="0.25">
      <c r="B29" s="361"/>
      <c r="C29" s="362"/>
      <c r="D29" s="363"/>
      <c r="F29" s="310"/>
      <c r="G29" s="310"/>
      <c r="H29" s="310"/>
      <c r="I29" s="310"/>
      <c r="J29" s="310"/>
      <c r="K29" s="310"/>
      <c r="L29" s="310"/>
    </row>
    <row r="30" spans="2:13" x14ac:dyDescent="0.25">
      <c r="B30" s="376" t="s">
        <v>417</v>
      </c>
      <c r="C30" s="377"/>
      <c r="D30" s="378"/>
      <c r="F30" s="310"/>
      <c r="G30" s="310"/>
      <c r="H30" s="310"/>
      <c r="I30" s="310"/>
      <c r="J30" s="310"/>
      <c r="K30" s="310"/>
      <c r="L30" s="310"/>
    </row>
    <row r="31" spans="2:13" x14ac:dyDescent="0.25">
      <c r="B31" s="133" t="s">
        <v>418</v>
      </c>
      <c r="C31" s="134" t="s">
        <v>411</v>
      </c>
      <c r="D31" s="135">
        <v>0.5</v>
      </c>
      <c r="F31" s="310"/>
      <c r="G31" s="310"/>
      <c r="H31" s="310"/>
      <c r="I31" s="310"/>
      <c r="J31" s="310"/>
      <c r="K31" s="310"/>
      <c r="L31" s="310"/>
    </row>
    <row r="32" spans="2:13" x14ac:dyDescent="0.25">
      <c r="B32" s="133" t="s">
        <v>419</v>
      </c>
      <c r="C32" s="134" t="s">
        <v>420</v>
      </c>
      <c r="D32" s="136">
        <v>0.5</v>
      </c>
      <c r="F32" s="310"/>
      <c r="G32" s="310"/>
      <c r="H32" s="310"/>
      <c r="I32" s="310"/>
      <c r="J32" s="310"/>
      <c r="K32" s="310"/>
      <c r="L32" s="310"/>
    </row>
    <row r="33" spans="2:37" x14ac:dyDescent="0.25">
      <c r="B33" s="133" t="s">
        <v>421</v>
      </c>
      <c r="C33" s="134" t="s">
        <v>448</v>
      </c>
      <c r="D33" s="137">
        <f>'Process Model Outputs'!C3</f>
        <v>183500.10974615387</v>
      </c>
      <c r="F33" s="310"/>
      <c r="G33" s="310"/>
      <c r="H33" s="310"/>
      <c r="I33" s="310"/>
      <c r="J33" s="310"/>
      <c r="K33" s="310"/>
      <c r="L33" s="310"/>
    </row>
    <row r="34" spans="2:37" x14ac:dyDescent="0.25">
      <c r="B34" s="361"/>
      <c r="C34" s="362"/>
      <c r="D34" s="363"/>
      <c r="F34" s="310"/>
      <c r="G34" s="310"/>
      <c r="H34" s="310"/>
      <c r="I34" s="310"/>
      <c r="J34" s="310"/>
      <c r="K34" s="310"/>
      <c r="L34" s="310"/>
    </row>
    <row r="35" spans="2:37" x14ac:dyDescent="0.25">
      <c r="B35" s="379" t="s">
        <v>422</v>
      </c>
      <c r="C35" s="380"/>
      <c r="D35" s="381"/>
      <c r="F35" s="310"/>
      <c r="G35" s="310"/>
      <c r="H35" s="310"/>
      <c r="I35" s="310"/>
      <c r="J35" s="310"/>
      <c r="K35" s="310"/>
      <c r="L35" s="310"/>
    </row>
    <row r="36" spans="2:37" x14ac:dyDescent="0.25">
      <c r="B36" s="292" t="s">
        <v>51</v>
      </c>
      <c r="C36" s="293"/>
      <c r="D36" s="294">
        <v>0.1</v>
      </c>
      <c r="F36" s="310"/>
      <c r="G36" s="310"/>
      <c r="H36" s="310"/>
      <c r="I36" s="310"/>
      <c r="J36" s="310"/>
      <c r="K36" s="310"/>
      <c r="L36" s="310"/>
    </row>
    <row r="37" spans="2:37" ht="15.75" thickBot="1" x14ac:dyDescent="0.3">
      <c r="B37" s="295" t="s">
        <v>423</v>
      </c>
      <c r="C37" s="296"/>
      <c r="D37" s="297">
        <v>0.35</v>
      </c>
      <c r="F37" s="310"/>
      <c r="G37" s="310"/>
      <c r="H37" s="310"/>
      <c r="I37" s="310"/>
      <c r="J37" s="310"/>
      <c r="K37" s="310"/>
      <c r="L37" s="310"/>
    </row>
    <row r="38" spans="2:37" ht="15.75" thickBot="1" x14ac:dyDescent="0.3">
      <c r="D38" s="143"/>
      <c r="F38" s="310"/>
      <c r="G38" s="310"/>
      <c r="H38" s="310"/>
      <c r="I38" s="310"/>
      <c r="J38" s="310"/>
      <c r="K38" s="310"/>
      <c r="L38" s="310"/>
    </row>
    <row r="39" spans="2:37" ht="21.75" thickBot="1" x14ac:dyDescent="0.4">
      <c r="B39" s="358" t="s">
        <v>424</v>
      </c>
      <c r="C39" s="359"/>
      <c r="D39" s="360"/>
      <c r="F39" s="310"/>
      <c r="G39" s="310"/>
      <c r="H39" s="310"/>
      <c r="I39" s="310"/>
      <c r="J39" s="310"/>
      <c r="K39" s="310"/>
      <c r="L39" s="310"/>
    </row>
    <row r="40" spans="2:37" x14ac:dyDescent="0.25">
      <c r="B40" s="370"/>
      <c r="C40" s="371"/>
      <c r="D40" s="372"/>
    </row>
    <row r="41" spans="2:37" x14ac:dyDescent="0.25">
      <c r="B41" s="144" t="s">
        <v>449</v>
      </c>
      <c r="C41" t="s">
        <v>450</v>
      </c>
      <c r="D41" s="145">
        <v>669.79266647025429</v>
      </c>
    </row>
    <row r="42" spans="2:37" x14ac:dyDescent="0.25">
      <c r="B42" s="144"/>
      <c r="D42" s="81"/>
    </row>
    <row r="43" spans="2:37" ht="15.75" thickBot="1" x14ac:dyDescent="0.3">
      <c r="B43" s="146" t="s">
        <v>425</v>
      </c>
      <c r="C43" s="147"/>
      <c r="D43" s="148">
        <f>+D82-SUM(E83:G83)</f>
        <v>152494962.59806281</v>
      </c>
    </row>
    <row r="44" spans="2:37" ht="15.75" thickBot="1" x14ac:dyDescent="0.3"/>
    <row r="45" spans="2:37" ht="21.75" thickBot="1" x14ac:dyDescent="0.4">
      <c r="B45" s="358" t="s">
        <v>426</v>
      </c>
      <c r="C45" s="359"/>
      <c r="D45" s="360"/>
    </row>
    <row r="46" spans="2:37" x14ac:dyDescent="0.25">
      <c r="B46" s="149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  <c r="AH46" s="150"/>
      <c r="AI46" s="150"/>
      <c r="AJ46" s="150"/>
      <c r="AK46" s="151"/>
    </row>
    <row r="47" spans="2:37" x14ac:dyDescent="0.25">
      <c r="B47" s="144" t="s">
        <v>427</v>
      </c>
      <c r="C47" s="310"/>
      <c r="D47" s="310"/>
      <c r="E47" s="310">
        <v>-2</v>
      </c>
      <c r="F47" s="310">
        <v>-1</v>
      </c>
      <c r="G47" s="310">
        <v>0</v>
      </c>
      <c r="H47" s="310">
        <v>1</v>
      </c>
      <c r="I47" s="310">
        <v>2</v>
      </c>
      <c r="J47" s="310">
        <v>3</v>
      </c>
      <c r="K47" s="310">
        <v>4</v>
      </c>
      <c r="L47" s="310">
        <v>5</v>
      </c>
      <c r="M47" s="310">
        <v>6</v>
      </c>
      <c r="N47" s="310">
        <v>7</v>
      </c>
      <c r="O47" s="310">
        <v>8</v>
      </c>
      <c r="P47" s="310">
        <v>9</v>
      </c>
      <c r="Q47" s="310">
        <v>10</v>
      </c>
      <c r="R47" s="310">
        <v>11</v>
      </c>
      <c r="S47" s="310">
        <v>12</v>
      </c>
      <c r="T47" s="310">
        <v>13</v>
      </c>
      <c r="U47" s="310">
        <v>14</v>
      </c>
      <c r="V47" s="310">
        <v>15</v>
      </c>
      <c r="W47" s="310">
        <v>16</v>
      </c>
      <c r="X47" s="310">
        <v>17</v>
      </c>
      <c r="Y47" s="310">
        <v>18</v>
      </c>
      <c r="Z47" s="310">
        <v>19</v>
      </c>
      <c r="AA47" s="310">
        <v>20</v>
      </c>
      <c r="AB47" s="310">
        <v>21</v>
      </c>
      <c r="AC47" s="310">
        <v>22</v>
      </c>
      <c r="AD47" s="310">
        <v>23</v>
      </c>
      <c r="AE47" s="310">
        <v>24</v>
      </c>
      <c r="AF47" s="310">
        <v>25</v>
      </c>
      <c r="AG47" s="310">
        <v>26</v>
      </c>
      <c r="AH47" s="310">
        <v>27</v>
      </c>
      <c r="AI47" s="310">
        <v>28</v>
      </c>
      <c r="AJ47" s="310">
        <v>29</v>
      </c>
      <c r="AK47" s="81">
        <v>30</v>
      </c>
    </row>
    <row r="48" spans="2:37" x14ac:dyDescent="0.25">
      <c r="B48" s="144" t="s">
        <v>428</v>
      </c>
      <c r="C48" s="310"/>
      <c r="D48" s="311"/>
      <c r="E48" s="311">
        <f>+D3*D26*$D$16</f>
        <v>12881747.86352591</v>
      </c>
      <c r="F48" s="311">
        <f>+D3*D27*$D$16</f>
        <v>96613108.976444319</v>
      </c>
      <c r="G48" s="311">
        <f>+D3*D28*$D$16</f>
        <v>51526991.454103641</v>
      </c>
      <c r="H48" s="310"/>
      <c r="I48" s="310"/>
      <c r="J48" s="310"/>
      <c r="K48" s="310"/>
      <c r="L48" s="310"/>
      <c r="M48" s="310"/>
      <c r="N48" s="310"/>
      <c r="O48" s="310"/>
      <c r="P48" s="310"/>
      <c r="Q48" s="310"/>
      <c r="R48" s="310"/>
      <c r="S48" s="310"/>
      <c r="T48" s="310"/>
      <c r="U48" s="310"/>
      <c r="V48" s="310"/>
      <c r="W48" s="310"/>
      <c r="X48" s="310"/>
      <c r="Y48" s="310"/>
      <c r="Z48" s="310"/>
      <c r="AA48" s="310"/>
      <c r="AB48" s="310"/>
      <c r="AC48" s="310"/>
      <c r="AD48" s="310"/>
      <c r="AE48" s="310"/>
      <c r="AF48" s="310"/>
      <c r="AG48" s="310"/>
      <c r="AH48" s="310"/>
      <c r="AI48" s="310"/>
      <c r="AJ48" s="310"/>
      <c r="AK48" s="81"/>
    </row>
    <row r="49" spans="2:37" x14ac:dyDescent="0.25">
      <c r="B49" s="144" t="s">
        <v>124</v>
      </c>
      <c r="C49" s="310"/>
      <c r="D49" s="311"/>
      <c r="E49" s="311">
        <f>+D4</f>
        <v>24042700.920000009</v>
      </c>
      <c r="F49" s="311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310"/>
      <c r="Y49" s="310"/>
      <c r="Z49" s="310"/>
      <c r="AA49" s="310"/>
      <c r="AB49" s="310"/>
      <c r="AC49" s="310"/>
      <c r="AD49" s="310"/>
      <c r="AE49" s="310"/>
      <c r="AF49" s="310"/>
      <c r="AG49" s="310"/>
      <c r="AH49" s="310"/>
      <c r="AI49" s="310"/>
      <c r="AJ49" s="310"/>
      <c r="AK49" s="81"/>
    </row>
    <row r="50" spans="2:37" x14ac:dyDescent="0.25">
      <c r="B50" s="144" t="s">
        <v>113</v>
      </c>
      <c r="C50" s="310"/>
      <c r="D50" s="311"/>
      <c r="E50" s="311"/>
      <c r="F50" s="311"/>
      <c r="G50" s="311">
        <f>D13</f>
        <v>20127731.03676923</v>
      </c>
      <c r="H50" s="310"/>
      <c r="I50" s="310"/>
      <c r="J50" s="310"/>
      <c r="K50" s="310"/>
      <c r="L50" s="310"/>
      <c r="M50" s="310"/>
      <c r="N50" s="310"/>
      <c r="O50" s="310"/>
      <c r="P50" s="310"/>
      <c r="Q50" s="310"/>
      <c r="R50" s="310"/>
      <c r="S50" s="310"/>
      <c r="T50" s="310"/>
      <c r="U50" s="310"/>
      <c r="V50" s="310"/>
      <c r="W50" s="310"/>
      <c r="X50" s="310"/>
      <c r="Y50" s="310"/>
      <c r="Z50" s="310"/>
      <c r="AA50" s="310"/>
      <c r="AB50" s="310"/>
      <c r="AC50" s="310"/>
      <c r="AD50" s="310"/>
      <c r="AE50" s="310"/>
      <c r="AF50" s="310"/>
      <c r="AG50" s="310"/>
      <c r="AH50" s="310"/>
      <c r="AI50" s="310"/>
      <c r="AJ50" s="310"/>
      <c r="AK50" s="81"/>
    </row>
    <row r="51" spans="2:37" x14ac:dyDescent="0.25">
      <c r="B51" s="144"/>
      <c r="C51" s="310"/>
      <c r="D51" s="310"/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310"/>
      <c r="Y51" s="310"/>
      <c r="Z51" s="310"/>
      <c r="AA51" s="310"/>
      <c r="AB51" s="310"/>
      <c r="AC51" s="310"/>
      <c r="AD51" s="310"/>
      <c r="AE51" s="310"/>
      <c r="AF51" s="310"/>
      <c r="AG51" s="310"/>
      <c r="AH51" s="310"/>
      <c r="AI51" s="310"/>
      <c r="AJ51" s="310"/>
      <c r="AK51" s="81"/>
    </row>
    <row r="52" spans="2:37" x14ac:dyDescent="0.25">
      <c r="B52" s="144"/>
      <c r="C52" s="310"/>
      <c r="D52" s="310"/>
      <c r="E52" s="310"/>
      <c r="F52" s="310"/>
      <c r="G52" s="310"/>
      <c r="H52" s="312">
        <f>+D19</f>
        <v>35995505.580485806</v>
      </c>
      <c r="I52" s="311">
        <f t="shared" ref="I52:AK52" si="0">IF($D$18&gt;H47,$D$19,0)</f>
        <v>35995505.580485806</v>
      </c>
      <c r="J52" s="311">
        <f t="shared" si="0"/>
        <v>35995505.580485806</v>
      </c>
      <c r="K52" s="311">
        <f t="shared" si="0"/>
        <v>35995505.580485806</v>
      </c>
      <c r="L52" s="311">
        <f t="shared" si="0"/>
        <v>35995505.580485806</v>
      </c>
      <c r="M52" s="311">
        <f t="shared" si="0"/>
        <v>35995505.580485806</v>
      </c>
      <c r="N52" s="311">
        <f t="shared" si="0"/>
        <v>35995505.580485806</v>
      </c>
      <c r="O52" s="311">
        <f t="shared" si="0"/>
        <v>35995505.580485806</v>
      </c>
      <c r="P52" s="311">
        <f t="shared" si="0"/>
        <v>35995505.580485806</v>
      </c>
      <c r="Q52" s="311">
        <f t="shared" si="0"/>
        <v>35995505.580485806</v>
      </c>
      <c r="R52" s="311">
        <f t="shared" si="0"/>
        <v>0</v>
      </c>
      <c r="S52" s="311">
        <f t="shared" si="0"/>
        <v>0</v>
      </c>
      <c r="T52" s="311">
        <f t="shared" si="0"/>
        <v>0</v>
      </c>
      <c r="U52" s="311">
        <f t="shared" si="0"/>
        <v>0</v>
      </c>
      <c r="V52" s="311">
        <f t="shared" si="0"/>
        <v>0</v>
      </c>
      <c r="W52" s="311">
        <f t="shared" si="0"/>
        <v>0</v>
      </c>
      <c r="X52" s="311">
        <f t="shared" si="0"/>
        <v>0</v>
      </c>
      <c r="Y52" s="311">
        <f t="shared" si="0"/>
        <v>0</v>
      </c>
      <c r="Z52" s="311">
        <f t="shared" si="0"/>
        <v>0</v>
      </c>
      <c r="AA52" s="311">
        <f t="shared" si="0"/>
        <v>0</v>
      </c>
      <c r="AB52" s="311">
        <f t="shared" si="0"/>
        <v>0</v>
      </c>
      <c r="AC52" s="311">
        <f t="shared" si="0"/>
        <v>0</v>
      </c>
      <c r="AD52" s="311">
        <f t="shared" si="0"/>
        <v>0</v>
      </c>
      <c r="AE52" s="311">
        <f t="shared" si="0"/>
        <v>0</v>
      </c>
      <c r="AF52" s="311">
        <f t="shared" si="0"/>
        <v>0</v>
      </c>
      <c r="AG52" s="311">
        <f t="shared" si="0"/>
        <v>0</v>
      </c>
      <c r="AH52" s="311">
        <f t="shared" si="0"/>
        <v>0</v>
      </c>
      <c r="AI52" s="311">
        <f t="shared" si="0"/>
        <v>0</v>
      </c>
      <c r="AJ52" s="311">
        <f t="shared" si="0"/>
        <v>0</v>
      </c>
      <c r="AK52" s="152">
        <f t="shared" si="0"/>
        <v>0</v>
      </c>
    </row>
    <row r="53" spans="2:37" x14ac:dyDescent="0.25">
      <c r="B53" s="144" t="s">
        <v>429</v>
      </c>
      <c r="C53" s="310" t="s">
        <v>430</v>
      </c>
      <c r="D53" s="313"/>
      <c r="E53" s="311">
        <f>+E54*$D$17</f>
        <v>1545809.7436231093</v>
      </c>
      <c r="F53" s="311">
        <f>+F54*$D$17</f>
        <v>13139382.820796426</v>
      </c>
      <c r="G53" s="311">
        <f>+G54*$D$17</f>
        <v>19322621.795288865</v>
      </c>
      <c r="H53" s="311">
        <f>D3*(1-D16)*D17</f>
        <v>19322621.795288865</v>
      </c>
      <c r="I53" s="311">
        <f t="shared" ref="I53:AK53" si="1">+H54*$D$17</f>
        <v>17988791.092473108</v>
      </c>
      <c r="J53" s="311">
        <f t="shared" si="1"/>
        <v>16548253.933432091</v>
      </c>
      <c r="K53" s="311">
        <f t="shared" si="1"/>
        <v>14992473.801667795</v>
      </c>
      <c r="L53" s="311">
        <f t="shared" si="1"/>
        <v>13312231.259362355</v>
      </c>
      <c r="M53" s="311">
        <f t="shared" si="1"/>
        <v>11497569.313672479</v>
      </c>
      <c r="N53" s="311">
        <f t="shared" si="1"/>
        <v>9537734.4123274125</v>
      </c>
      <c r="O53" s="311">
        <f t="shared" si="1"/>
        <v>7421112.7188747404</v>
      </c>
      <c r="P53" s="311">
        <f t="shared" si="1"/>
        <v>5135161.2899458548</v>
      </c>
      <c r="Q53" s="311">
        <f t="shared" si="1"/>
        <v>2666333.7467026594</v>
      </c>
      <c r="R53" s="311">
        <f t="shared" si="1"/>
        <v>7.413327693939209E-9</v>
      </c>
      <c r="S53" s="311">
        <f t="shared" si="1"/>
        <v>8.0063939094543457E-9</v>
      </c>
      <c r="T53" s="311">
        <f t="shared" si="1"/>
        <v>8.6469054222106937E-9</v>
      </c>
      <c r="U53" s="311">
        <f t="shared" si="1"/>
        <v>9.3386578559875479E-9</v>
      </c>
      <c r="V53" s="311">
        <f t="shared" si="1"/>
        <v>1.0085750484466552E-8</v>
      </c>
      <c r="W53" s="311">
        <f t="shared" si="1"/>
        <v>1.0892610523223875E-8</v>
      </c>
      <c r="X53" s="311">
        <f t="shared" si="1"/>
        <v>1.1764019365081786E-8</v>
      </c>
      <c r="Y53" s="311">
        <f t="shared" si="1"/>
        <v>1.2705140914288328E-8</v>
      </c>
      <c r="Z53" s="311">
        <f t="shared" si="1"/>
        <v>1.3721552187431394E-8</v>
      </c>
      <c r="AA53" s="311">
        <f t="shared" si="1"/>
        <v>1.4819276362425905E-8</v>
      </c>
      <c r="AB53" s="311">
        <f t="shared" si="1"/>
        <v>1.6004818471419977E-8</v>
      </c>
      <c r="AC53" s="311">
        <f t="shared" si="1"/>
        <v>1.7285203949133575E-8</v>
      </c>
      <c r="AD53" s="311">
        <f t="shared" si="1"/>
        <v>1.8668020265064259E-8</v>
      </c>
      <c r="AE53" s="311">
        <f t="shared" si="1"/>
        <v>2.0161461886269402E-8</v>
      </c>
      <c r="AF53" s="311">
        <f t="shared" si="1"/>
        <v>2.1774378837170954E-8</v>
      </c>
      <c r="AG53" s="311">
        <f t="shared" si="1"/>
        <v>2.3516329144144632E-8</v>
      </c>
      <c r="AH53" s="311">
        <f t="shared" si="1"/>
        <v>2.5397635475676203E-8</v>
      </c>
      <c r="AI53" s="311">
        <f t="shared" si="1"/>
        <v>2.7429446313730297E-8</v>
      </c>
      <c r="AJ53" s="311">
        <f t="shared" si="1"/>
        <v>2.9623802018828723E-8</v>
      </c>
      <c r="AK53" s="152">
        <f t="shared" si="1"/>
        <v>3.1993706180335023E-8</v>
      </c>
    </row>
    <row r="54" spans="2:37" x14ac:dyDescent="0.25">
      <c r="B54" s="144"/>
      <c r="C54" s="310" t="s">
        <v>431</v>
      </c>
      <c r="D54" s="313"/>
      <c r="E54" s="311">
        <f>D3*(1-$D$16)*$D$26</f>
        <v>19322621.795288865</v>
      </c>
      <c r="F54" s="313">
        <f>D3*(1-$D$16)*$D$27+E54</f>
        <v>164242285.25995532</v>
      </c>
      <c r="G54" s="311">
        <f>D3*(1-$D$16)*$D$28+F54</f>
        <v>241532772.44111079</v>
      </c>
      <c r="H54" s="311">
        <f>D3*(1-D16)-H52+H53</f>
        <v>224859888.65591383</v>
      </c>
      <c r="I54" s="311">
        <f t="shared" ref="I54:AK54" si="2">+H54-I52+I53</f>
        <v>206853174.16790113</v>
      </c>
      <c r="J54" s="311">
        <f t="shared" si="2"/>
        <v>187405922.52084744</v>
      </c>
      <c r="K54" s="311">
        <f t="shared" si="2"/>
        <v>166402890.74202943</v>
      </c>
      <c r="L54" s="311">
        <f t="shared" si="2"/>
        <v>143719616.42090598</v>
      </c>
      <c r="M54" s="311">
        <f t="shared" si="2"/>
        <v>119221680.15409265</v>
      </c>
      <c r="N54" s="311">
        <f t="shared" si="2"/>
        <v>92763908.985934258</v>
      </c>
      <c r="O54" s="311">
        <f t="shared" si="2"/>
        <v>64189516.124323189</v>
      </c>
      <c r="P54" s="311">
        <f t="shared" si="2"/>
        <v>33329171.833783239</v>
      </c>
      <c r="Q54" s="311">
        <f t="shared" si="2"/>
        <v>9.2666596174240112E-8</v>
      </c>
      <c r="R54" s="311">
        <f t="shared" si="2"/>
        <v>1.0007992386817932E-7</v>
      </c>
      <c r="S54" s="311">
        <f t="shared" si="2"/>
        <v>1.0808631777763366E-7</v>
      </c>
      <c r="T54" s="311">
        <f t="shared" si="2"/>
        <v>1.1673322319984435E-7</v>
      </c>
      <c r="U54" s="311">
        <f t="shared" si="2"/>
        <v>1.260718810558319E-7</v>
      </c>
      <c r="V54" s="311">
        <f t="shared" si="2"/>
        <v>1.3615763154029845E-7</v>
      </c>
      <c r="W54" s="311">
        <f t="shared" si="2"/>
        <v>1.4705024206352232E-7</v>
      </c>
      <c r="X54" s="311">
        <f t="shared" si="2"/>
        <v>1.588142614286041E-7</v>
      </c>
      <c r="Y54" s="311">
        <f t="shared" si="2"/>
        <v>1.7151940234289243E-7</v>
      </c>
      <c r="Z54" s="311">
        <f t="shared" si="2"/>
        <v>1.8524095453032381E-7</v>
      </c>
      <c r="AA54" s="311">
        <f t="shared" si="2"/>
        <v>2.0006023089274972E-7</v>
      </c>
      <c r="AB54" s="311">
        <f t="shared" si="2"/>
        <v>2.1606504936416968E-7</v>
      </c>
      <c r="AC54" s="311">
        <f t="shared" si="2"/>
        <v>2.3335025331330325E-7</v>
      </c>
      <c r="AD54" s="311">
        <f t="shared" si="2"/>
        <v>2.5201827357836753E-7</v>
      </c>
      <c r="AE54" s="311">
        <f t="shared" si="2"/>
        <v>2.7217973546463694E-7</v>
      </c>
      <c r="AF54" s="311">
        <f t="shared" si="2"/>
        <v>2.939541143018079E-7</v>
      </c>
      <c r="AG54" s="311">
        <f t="shared" si="2"/>
        <v>3.1747044344595254E-7</v>
      </c>
      <c r="AH54" s="311">
        <f t="shared" si="2"/>
        <v>3.4286807892162872E-7</v>
      </c>
      <c r="AI54" s="311">
        <f t="shared" si="2"/>
        <v>3.7029752523535901E-7</v>
      </c>
      <c r="AJ54" s="311">
        <f t="shared" si="2"/>
        <v>3.9992132725418775E-7</v>
      </c>
      <c r="AK54" s="152">
        <f t="shared" si="2"/>
        <v>4.3191503343452277E-7</v>
      </c>
    </row>
    <row r="55" spans="2:37" x14ac:dyDescent="0.25">
      <c r="B55" s="144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81"/>
    </row>
    <row r="56" spans="2:37" x14ac:dyDescent="0.25">
      <c r="B56" s="144"/>
      <c r="C56" s="310"/>
      <c r="D56" s="310"/>
      <c r="E56" s="310"/>
      <c r="F56" s="310"/>
      <c r="G56" s="310"/>
      <c r="H56" s="310"/>
      <c r="I56" s="310"/>
      <c r="J56" s="310"/>
      <c r="K56" s="310"/>
      <c r="L56" s="310"/>
      <c r="M56" s="310"/>
      <c r="N56" s="310"/>
      <c r="O56" s="310"/>
      <c r="P56" s="310"/>
      <c r="Q56" s="310"/>
      <c r="R56" s="310"/>
      <c r="S56" s="310"/>
      <c r="T56" s="310"/>
      <c r="U56" s="310"/>
      <c r="V56" s="310"/>
      <c r="W56" s="310"/>
      <c r="X56" s="310"/>
      <c r="Y56" s="310"/>
      <c r="Z56" s="310"/>
      <c r="AA56" s="310"/>
      <c r="AB56" s="310"/>
      <c r="AC56" s="310"/>
      <c r="AD56" s="310"/>
      <c r="AE56" s="310"/>
      <c r="AF56" s="310"/>
      <c r="AG56" s="310"/>
      <c r="AH56" s="310"/>
      <c r="AI56" s="310"/>
      <c r="AJ56" s="310"/>
      <c r="AK56" s="81"/>
    </row>
    <row r="57" spans="2:37" x14ac:dyDescent="0.25">
      <c r="B57" s="144" t="s">
        <v>432</v>
      </c>
      <c r="C57" s="310" t="s">
        <v>447</v>
      </c>
      <c r="D57" s="310"/>
      <c r="E57" s="310"/>
      <c r="F57" s="310"/>
      <c r="G57" s="310"/>
      <c r="H57" s="311">
        <f>($D$33*$D$41)*(1-D31)+($D$33*$D$41)*D31*D32</f>
        <v>92180270.853345528</v>
      </c>
      <c r="I57" s="311">
        <f>+$D$33*$D$41</f>
        <v>122907027.8044607</v>
      </c>
      <c r="J57" s="311">
        <f t="shared" ref="J57:AK57" si="3">+$D$33*$D$41</f>
        <v>122907027.8044607</v>
      </c>
      <c r="K57" s="311">
        <f t="shared" si="3"/>
        <v>122907027.8044607</v>
      </c>
      <c r="L57" s="311">
        <f t="shared" si="3"/>
        <v>122907027.8044607</v>
      </c>
      <c r="M57" s="311">
        <f t="shared" si="3"/>
        <v>122907027.8044607</v>
      </c>
      <c r="N57" s="311">
        <f t="shared" si="3"/>
        <v>122907027.8044607</v>
      </c>
      <c r="O57" s="311">
        <f t="shared" si="3"/>
        <v>122907027.8044607</v>
      </c>
      <c r="P57" s="311">
        <f t="shared" si="3"/>
        <v>122907027.8044607</v>
      </c>
      <c r="Q57" s="311">
        <f t="shared" si="3"/>
        <v>122907027.8044607</v>
      </c>
      <c r="R57" s="311">
        <f t="shared" si="3"/>
        <v>122907027.8044607</v>
      </c>
      <c r="S57" s="311">
        <f t="shared" si="3"/>
        <v>122907027.8044607</v>
      </c>
      <c r="T57" s="311">
        <f t="shared" si="3"/>
        <v>122907027.8044607</v>
      </c>
      <c r="U57" s="311">
        <f t="shared" si="3"/>
        <v>122907027.8044607</v>
      </c>
      <c r="V57" s="311">
        <f t="shared" si="3"/>
        <v>122907027.8044607</v>
      </c>
      <c r="W57" s="311">
        <f t="shared" si="3"/>
        <v>122907027.8044607</v>
      </c>
      <c r="X57" s="311">
        <f t="shared" si="3"/>
        <v>122907027.8044607</v>
      </c>
      <c r="Y57" s="311">
        <f t="shared" si="3"/>
        <v>122907027.8044607</v>
      </c>
      <c r="Z57" s="311">
        <f t="shared" si="3"/>
        <v>122907027.8044607</v>
      </c>
      <c r="AA57" s="311">
        <f t="shared" si="3"/>
        <v>122907027.8044607</v>
      </c>
      <c r="AB57" s="311">
        <f t="shared" si="3"/>
        <v>122907027.8044607</v>
      </c>
      <c r="AC57" s="311">
        <f t="shared" si="3"/>
        <v>122907027.8044607</v>
      </c>
      <c r="AD57" s="311">
        <f t="shared" si="3"/>
        <v>122907027.8044607</v>
      </c>
      <c r="AE57" s="311">
        <f t="shared" si="3"/>
        <v>122907027.8044607</v>
      </c>
      <c r="AF57" s="311">
        <f t="shared" si="3"/>
        <v>122907027.8044607</v>
      </c>
      <c r="AG57" s="311">
        <f t="shared" si="3"/>
        <v>122907027.8044607</v>
      </c>
      <c r="AH57" s="311">
        <f t="shared" si="3"/>
        <v>122907027.8044607</v>
      </c>
      <c r="AI57" s="311">
        <f t="shared" si="3"/>
        <v>122907027.8044607</v>
      </c>
      <c r="AJ57" s="311">
        <f t="shared" si="3"/>
        <v>122907027.8044607</v>
      </c>
      <c r="AK57" s="152">
        <f t="shared" si="3"/>
        <v>122907027.8044607</v>
      </c>
    </row>
    <row r="58" spans="2:37" x14ac:dyDescent="0.25">
      <c r="B58" s="144" t="s">
        <v>433</v>
      </c>
      <c r="C58" s="310"/>
      <c r="D58" s="310"/>
      <c r="E58" s="310"/>
      <c r="F58" s="310"/>
      <c r="G58" s="310"/>
      <c r="H58" s="314">
        <f t="shared" ref="H58:AK58" si="4">SUM(H57:H57)</f>
        <v>92180270.853345528</v>
      </c>
      <c r="I58" s="314">
        <f t="shared" si="4"/>
        <v>122907027.8044607</v>
      </c>
      <c r="J58" s="314">
        <f t="shared" si="4"/>
        <v>122907027.8044607</v>
      </c>
      <c r="K58" s="314">
        <f t="shared" si="4"/>
        <v>122907027.8044607</v>
      </c>
      <c r="L58" s="314">
        <f t="shared" si="4"/>
        <v>122907027.8044607</v>
      </c>
      <c r="M58" s="314">
        <f t="shared" si="4"/>
        <v>122907027.8044607</v>
      </c>
      <c r="N58" s="314">
        <f t="shared" si="4"/>
        <v>122907027.8044607</v>
      </c>
      <c r="O58" s="314">
        <f t="shared" si="4"/>
        <v>122907027.8044607</v>
      </c>
      <c r="P58" s="314">
        <f t="shared" si="4"/>
        <v>122907027.8044607</v>
      </c>
      <c r="Q58" s="314">
        <f t="shared" si="4"/>
        <v>122907027.8044607</v>
      </c>
      <c r="R58" s="314">
        <f t="shared" si="4"/>
        <v>122907027.8044607</v>
      </c>
      <c r="S58" s="314">
        <f t="shared" si="4"/>
        <v>122907027.8044607</v>
      </c>
      <c r="T58" s="314">
        <f t="shared" si="4"/>
        <v>122907027.8044607</v>
      </c>
      <c r="U58" s="314">
        <f t="shared" si="4"/>
        <v>122907027.8044607</v>
      </c>
      <c r="V58" s="314">
        <f t="shared" si="4"/>
        <v>122907027.8044607</v>
      </c>
      <c r="W58" s="314">
        <f t="shared" si="4"/>
        <v>122907027.8044607</v>
      </c>
      <c r="X58" s="314">
        <f t="shared" si="4"/>
        <v>122907027.8044607</v>
      </c>
      <c r="Y58" s="314">
        <f t="shared" si="4"/>
        <v>122907027.8044607</v>
      </c>
      <c r="Z58" s="314">
        <f t="shared" si="4"/>
        <v>122907027.8044607</v>
      </c>
      <c r="AA58" s="314">
        <f t="shared" si="4"/>
        <v>122907027.8044607</v>
      </c>
      <c r="AB58" s="314">
        <f t="shared" si="4"/>
        <v>122907027.8044607</v>
      </c>
      <c r="AC58" s="314">
        <f t="shared" si="4"/>
        <v>122907027.8044607</v>
      </c>
      <c r="AD58" s="314">
        <f t="shared" si="4"/>
        <v>122907027.8044607</v>
      </c>
      <c r="AE58" s="314">
        <f t="shared" si="4"/>
        <v>122907027.8044607</v>
      </c>
      <c r="AF58" s="314">
        <f t="shared" si="4"/>
        <v>122907027.8044607</v>
      </c>
      <c r="AG58" s="314">
        <f t="shared" si="4"/>
        <v>122907027.8044607</v>
      </c>
      <c r="AH58" s="314">
        <f t="shared" si="4"/>
        <v>122907027.8044607</v>
      </c>
      <c r="AI58" s="314">
        <f t="shared" si="4"/>
        <v>122907027.8044607</v>
      </c>
      <c r="AJ58" s="314">
        <f t="shared" si="4"/>
        <v>122907027.8044607</v>
      </c>
      <c r="AK58" s="152">
        <f t="shared" si="4"/>
        <v>122907027.8044607</v>
      </c>
    </row>
    <row r="59" spans="2:37" x14ac:dyDescent="0.25">
      <c r="B59" s="144"/>
      <c r="C59" s="310"/>
      <c r="D59" s="310"/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310"/>
      <c r="Y59" s="310"/>
      <c r="Z59" s="310"/>
      <c r="AA59" s="310"/>
      <c r="AB59" s="310"/>
      <c r="AC59" s="310"/>
      <c r="AD59" s="310"/>
      <c r="AE59" s="310"/>
      <c r="AF59" s="310"/>
      <c r="AG59" s="310"/>
      <c r="AH59" s="310"/>
      <c r="AI59" s="310"/>
      <c r="AJ59" s="310"/>
      <c r="AK59" s="81"/>
    </row>
    <row r="60" spans="2:37" x14ac:dyDescent="0.25">
      <c r="B60" s="144"/>
      <c r="C60" s="310"/>
      <c r="D60" s="310"/>
      <c r="E60" s="310"/>
      <c r="F60" s="310"/>
      <c r="G60" s="310"/>
      <c r="H60" s="310"/>
      <c r="I60" s="310"/>
      <c r="J60" s="310"/>
      <c r="K60" s="310"/>
      <c r="L60" s="310"/>
      <c r="M60" s="310"/>
      <c r="N60" s="310"/>
      <c r="O60" s="310"/>
      <c r="P60" s="310"/>
      <c r="Q60" s="310"/>
      <c r="R60" s="310"/>
      <c r="S60" s="310"/>
      <c r="T60" s="310"/>
      <c r="U60" s="310"/>
      <c r="V60" s="310"/>
      <c r="W60" s="310"/>
      <c r="X60" s="310"/>
      <c r="Y60" s="310"/>
      <c r="Z60" s="310"/>
      <c r="AA60" s="310"/>
      <c r="AB60" s="310"/>
      <c r="AC60" s="310"/>
      <c r="AD60" s="310"/>
      <c r="AE60" s="310"/>
      <c r="AF60" s="310"/>
      <c r="AG60" s="310"/>
      <c r="AH60" s="310"/>
      <c r="AI60" s="310"/>
      <c r="AJ60" s="310"/>
      <c r="AK60" s="81"/>
    </row>
    <row r="61" spans="2:37" x14ac:dyDescent="0.25">
      <c r="B61" s="144" t="s">
        <v>434</v>
      </c>
      <c r="C61" s="310" t="s">
        <v>184</v>
      </c>
      <c r="D61" s="310"/>
      <c r="E61" s="310"/>
      <c r="F61" s="310"/>
      <c r="G61" s="310"/>
      <c r="H61" s="315">
        <f t="shared" ref="H61:H68" si="5">+D5*(1-$D$31)+D5*$D$31*$D$32</f>
        <v>4410794.6500384621</v>
      </c>
      <c r="I61" s="314">
        <f t="shared" ref="I61:AK68" si="6">+$D5</f>
        <v>5881059.5333846156</v>
      </c>
      <c r="J61" s="314">
        <f t="shared" si="6"/>
        <v>5881059.5333846156</v>
      </c>
      <c r="K61" s="314">
        <f t="shared" si="6"/>
        <v>5881059.5333846156</v>
      </c>
      <c r="L61" s="314">
        <f t="shared" si="6"/>
        <v>5881059.5333846156</v>
      </c>
      <c r="M61" s="314">
        <f t="shared" si="6"/>
        <v>5881059.5333846156</v>
      </c>
      <c r="N61" s="314">
        <f t="shared" si="6"/>
        <v>5881059.5333846156</v>
      </c>
      <c r="O61" s="314">
        <f t="shared" si="6"/>
        <v>5881059.5333846156</v>
      </c>
      <c r="P61" s="314">
        <f t="shared" si="6"/>
        <v>5881059.5333846156</v>
      </c>
      <c r="Q61" s="314">
        <f t="shared" si="6"/>
        <v>5881059.5333846156</v>
      </c>
      <c r="R61" s="314">
        <f t="shared" si="6"/>
        <v>5881059.5333846156</v>
      </c>
      <c r="S61" s="314">
        <f t="shared" si="6"/>
        <v>5881059.5333846156</v>
      </c>
      <c r="T61" s="314">
        <f t="shared" si="6"/>
        <v>5881059.5333846156</v>
      </c>
      <c r="U61" s="314">
        <f t="shared" si="6"/>
        <v>5881059.5333846156</v>
      </c>
      <c r="V61" s="314">
        <f t="shared" si="6"/>
        <v>5881059.5333846156</v>
      </c>
      <c r="W61" s="314">
        <f t="shared" si="6"/>
        <v>5881059.5333846156</v>
      </c>
      <c r="X61" s="314">
        <f t="shared" si="6"/>
        <v>5881059.5333846156</v>
      </c>
      <c r="Y61" s="314">
        <f t="shared" si="6"/>
        <v>5881059.5333846156</v>
      </c>
      <c r="Z61" s="314">
        <f t="shared" si="6"/>
        <v>5881059.5333846156</v>
      </c>
      <c r="AA61" s="314">
        <f t="shared" si="6"/>
        <v>5881059.5333846156</v>
      </c>
      <c r="AB61" s="314">
        <f t="shared" si="6"/>
        <v>5881059.5333846156</v>
      </c>
      <c r="AC61" s="314">
        <f t="shared" si="6"/>
        <v>5881059.5333846156</v>
      </c>
      <c r="AD61" s="314">
        <f t="shared" si="6"/>
        <v>5881059.5333846156</v>
      </c>
      <c r="AE61" s="314">
        <f t="shared" si="6"/>
        <v>5881059.5333846156</v>
      </c>
      <c r="AF61" s="314">
        <f t="shared" si="6"/>
        <v>5881059.5333846156</v>
      </c>
      <c r="AG61" s="314">
        <f t="shared" si="6"/>
        <v>5881059.5333846156</v>
      </c>
      <c r="AH61" s="314">
        <f t="shared" si="6"/>
        <v>5881059.5333846156</v>
      </c>
      <c r="AI61" s="314">
        <f t="shared" si="6"/>
        <v>5881059.5333846156</v>
      </c>
      <c r="AJ61" s="314">
        <f t="shared" si="6"/>
        <v>5881059.5333846156</v>
      </c>
      <c r="AK61" s="153">
        <f t="shared" si="6"/>
        <v>5881059.5333846156</v>
      </c>
    </row>
    <row r="62" spans="2:37" x14ac:dyDescent="0.25">
      <c r="B62" s="144"/>
      <c r="C62" s="310" t="s">
        <v>185</v>
      </c>
      <c r="D62" s="310"/>
      <c r="E62" s="310"/>
      <c r="F62" s="310"/>
      <c r="G62" s="310"/>
      <c r="H62" s="315">
        <f t="shared" si="5"/>
        <v>2834493.903703846</v>
      </c>
      <c r="I62" s="314">
        <f t="shared" si="6"/>
        <v>3779325.2049384615</v>
      </c>
      <c r="J62" s="314">
        <f t="shared" si="6"/>
        <v>3779325.2049384615</v>
      </c>
      <c r="K62" s="314">
        <f t="shared" si="6"/>
        <v>3779325.2049384615</v>
      </c>
      <c r="L62" s="314">
        <f t="shared" si="6"/>
        <v>3779325.2049384615</v>
      </c>
      <c r="M62" s="314">
        <f t="shared" si="6"/>
        <v>3779325.2049384615</v>
      </c>
      <c r="N62" s="314">
        <f t="shared" si="6"/>
        <v>3779325.2049384615</v>
      </c>
      <c r="O62" s="314">
        <f t="shared" si="6"/>
        <v>3779325.2049384615</v>
      </c>
      <c r="P62" s="314">
        <f t="shared" si="6"/>
        <v>3779325.2049384615</v>
      </c>
      <c r="Q62" s="314">
        <f t="shared" si="6"/>
        <v>3779325.2049384615</v>
      </c>
      <c r="R62" s="314">
        <f t="shared" si="6"/>
        <v>3779325.2049384615</v>
      </c>
      <c r="S62" s="314">
        <f t="shared" si="6"/>
        <v>3779325.2049384615</v>
      </c>
      <c r="T62" s="314">
        <f t="shared" si="6"/>
        <v>3779325.2049384615</v>
      </c>
      <c r="U62" s="314">
        <f t="shared" si="6"/>
        <v>3779325.2049384615</v>
      </c>
      <c r="V62" s="314">
        <f t="shared" si="6"/>
        <v>3779325.2049384615</v>
      </c>
      <c r="W62" s="314">
        <f t="shared" si="6"/>
        <v>3779325.2049384615</v>
      </c>
      <c r="X62" s="314">
        <f t="shared" si="6"/>
        <v>3779325.2049384615</v>
      </c>
      <c r="Y62" s="314">
        <f t="shared" si="6"/>
        <v>3779325.2049384615</v>
      </c>
      <c r="Z62" s="314">
        <f t="shared" si="6"/>
        <v>3779325.2049384615</v>
      </c>
      <c r="AA62" s="314">
        <f t="shared" si="6"/>
        <v>3779325.2049384615</v>
      </c>
      <c r="AB62" s="314">
        <f t="shared" si="6"/>
        <v>3779325.2049384615</v>
      </c>
      <c r="AC62" s="314">
        <f t="shared" si="6"/>
        <v>3779325.2049384615</v>
      </c>
      <c r="AD62" s="314">
        <f t="shared" si="6"/>
        <v>3779325.2049384615</v>
      </c>
      <c r="AE62" s="314">
        <f t="shared" si="6"/>
        <v>3779325.2049384615</v>
      </c>
      <c r="AF62" s="314">
        <f t="shared" si="6"/>
        <v>3779325.2049384615</v>
      </c>
      <c r="AG62" s="314">
        <f t="shared" si="6"/>
        <v>3779325.2049384615</v>
      </c>
      <c r="AH62" s="314">
        <f t="shared" si="6"/>
        <v>3779325.2049384615</v>
      </c>
      <c r="AI62" s="314">
        <f t="shared" si="6"/>
        <v>3779325.2049384615</v>
      </c>
      <c r="AJ62" s="314">
        <f t="shared" si="6"/>
        <v>3779325.2049384615</v>
      </c>
      <c r="AK62" s="153">
        <f t="shared" si="6"/>
        <v>3779325.2049384615</v>
      </c>
    </row>
    <row r="63" spans="2:37" x14ac:dyDescent="0.25">
      <c r="B63" s="144"/>
      <c r="C63" s="310" t="s">
        <v>186</v>
      </c>
      <c r="D63" s="310"/>
      <c r="E63" s="310"/>
      <c r="F63" s="310"/>
      <c r="G63" s="310"/>
      <c r="H63" s="315">
        <f t="shared" si="5"/>
        <v>1314060.9820442307</v>
      </c>
      <c r="I63" s="314">
        <f t="shared" si="6"/>
        <v>1752081.3093923074</v>
      </c>
      <c r="J63" s="314">
        <f t="shared" si="6"/>
        <v>1752081.3093923074</v>
      </c>
      <c r="K63" s="314">
        <f t="shared" si="6"/>
        <v>1752081.3093923074</v>
      </c>
      <c r="L63" s="314">
        <f t="shared" si="6"/>
        <v>1752081.3093923074</v>
      </c>
      <c r="M63" s="314">
        <f t="shared" si="6"/>
        <v>1752081.3093923074</v>
      </c>
      <c r="N63" s="314">
        <f t="shared" si="6"/>
        <v>1752081.3093923074</v>
      </c>
      <c r="O63" s="314">
        <f t="shared" si="6"/>
        <v>1752081.3093923074</v>
      </c>
      <c r="P63" s="314">
        <f t="shared" si="6"/>
        <v>1752081.3093923074</v>
      </c>
      <c r="Q63" s="314">
        <f t="shared" si="6"/>
        <v>1752081.3093923074</v>
      </c>
      <c r="R63" s="314">
        <f t="shared" si="6"/>
        <v>1752081.3093923074</v>
      </c>
      <c r="S63" s="314">
        <f t="shared" si="6"/>
        <v>1752081.3093923074</v>
      </c>
      <c r="T63" s="314">
        <f t="shared" si="6"/>
        <v>1752081.3093923074</v>
      </c>
      <c r="U63" s="314">
        <f t="shared" si="6"/>
        <v>1752081.3093923074</v>
      </c>
      <c r="V63" s="314">
        <f t="shared" si="6"/>
        <v>1752081.3093923074</v>
      </c>
      <c r="W63" s="314">
        <f t="shared" si="6"/>
        <v>1752081.3093923074</v>
      </c>
      <c r="X63" s="314">
        <f t="shared" si="6"/>
        <v>1752081.3093923074</v>
      </c>
      <c r="Y63" s="314">
        <f t="shared" si="6"/>
        <v>1752081.3093923074</v>
      </c>
      <c r="Z63" s="314">
        <f t="shared" si="6"/>
        <v>1752081.3093923074</v>
      </c>
      <c r="AA63" s="314">
        <f t="shared" si="6"/>
        <v>1752081.3093923074</v>
      </c>
      <c r="AB63" s="314">
        <f t="shared" si="6"/>
        <v>1752081.3093923074</v>
      </c>
      <c r="AC63" s="314">
        <f t="shared" si="6"/>
        <v>1752081.3093923074</v>
      </c>
      <c r="AD63" s="314">
        <f t="shared" si="6"/>
        <v>1752081.3093923074</v>
      </c>
      <c r="AE63" s="314">
        <f t="shared" si="6"/>
        <v>1752081.3093923074</v>
      </c>
      <c r="AF63" s="314">
        <f t="shared" si="6"/>
        <v>1752081.3093923074</v>
      </c>
      <c r="AG63" s="314">
        <f t="shared" si="6"/>
        <v>1752081.3093923074</v>
      </c>
      <c r="AH63" s="314">
        <f t="shared" si="6"/>
        <v>1752081.3093923074</v>
      </c>
      <c r="AI63" s="314">
        <f t="shared" si="6"/>
        <v>1752081.3093923074</v>
      </c>
      <c r="AJ63" s="314">
        <f t="shared" si="6"/>
        <v>1752081.3093923074</v>
      </c>
      <c r="AK63" s="153">
        <f t="shared" si="6"/>
        <v>1752081.3093923074</v>
      </c>
    </row>
    <row r="64" spans="2:37" x14ac:dyDescent="0.25">
      <c r="B64" s="144"/>
      <c r="C64" s="310" t="s">
        <v>187</v>
      </c>
      <c r="D64" s="310"/>
      <c r="E64" s="310"/>
      <c r="F64" s="310"/>
      <c r="G64" s="310"/>
      <c r="H64" s="315">
        <f t="shared" si="5"/>
        <v>14341982.261826921</v>
      </c>
      <c r="I64" s="314">
        <f t="shared" si="6"/>
        <v>19122643.015769228</v>
      </c>
      <c r="J64" s="314">
        <f t="shared" si="6"/>
        <v>19122643.015769228</v>
      </c>
      <c r="K64" s="314">
        <f t="shared" si="6"/>
        <v>19122643.015769228</v>
      </c>
      <c r="L64" s="314">
        <f t="shared" si="6"/>
        <v>19122643.015769228</v>
      </c>
      <c r="M64" s="314">
        <f t="shared" si="6"/>
        <v>19122643.015769228</v>
      </c>
      <c r="N64" s="314">
        <f t="shared" si="6"/>
        <v>19122643.015769228</v>
      </c>
      <c r="O64" s="314">
        <f t="shared" si="6"/>
        <v>19122643.015769228</v>
      </c>
      <c r="P64" s="314">
        <f t="shared" si="6"/>
        <v>19122643.015769228</v>
      </c>
      <c r="Q64" s="314">
        <f t="shared" si="6"/>
        <v>19122643.015769228</v>
      </c>
      <c r="R64" s="314">
        <f t="shared" si="6"/>
        <v>19122643.015769228</v>
      </c>
      <c r="S64" s="314">
        <f t="shared" si="6"/>
        <v>19122643.015769228</v>
      </c>
      <c r="T64" s="314">
        <f t="shared" si="6"/>
        <v>19122643.015769228</v>
      </c>
      <c r="U64" s="314">
        <f t="shared" si="6"/>
        <v>19122643.015769228</v>
      </c>
      <c r="V64" s="314">
        <f t="shared" si="6"/>
        <v>19122643.015769228</v>
      </c>
      <c r="W64" s="314">
        <f t="shared" si="6"/>
        <v>19122643.015769228</v>
      </c>
      <c r="X64" s="314">
        <f t="shared" si="6"/>
        <v>19122643.015769228</v>
      </c>
      <c r="Y64" s="314">
        <f t="shared" si="6"/>
        <v>19122643.015769228</v>
      </c>
      <c r="Z64" s="314">
        <f t="shared" si="6"/>
        <v>19122643.015769228</v>
      </c>
      <c r="AA64" s="314">
        <f t="shared" si="6"/>
        <v>19122643.015769228</v>
      </c>
      <c r="AB64" s="314">
        <f t="shared" si="6"/>
        <v>19122643.015769228</v>
      </c>
      <c r="AC64" s="314">
        <f t="shared" si="6"/>
        <v>19122643.015769228</v>
      </c>
      <c r="AD64" s="314">
        <f t="shared" si="6"/>
        <v>19122643.015769228</v>
      </c>
      <c r="AE64" s="314">
        <f t="shared" si="6"/>
        <v>19122643.015769228</v>
      </c>
      <c r="AF64" s="314">
        <f t="shared" si="6"/>
        <v>19122643.015769228</v>
      </c>
      <c r="AG64" s="314">
        <f t="shared" si="6"/>
        <v>19122643.015769228</v>
      </c>
      <c r="AH64" s="314">
        <f t="shared" si="6"/>
        <v>19122643.015769228</v>
      </c>
      <c r="AI64" s="314">
        <f t="shared" si="6"/>
        <v>19122643.015769228</v>
      </c>
      <c r="AJ64" s="314">
        <f t="shared" si="6"/>
        <v>19122643.015769228</v>
      </c>
      <c r="AK64" s="153">
        <f t="shared" si="6"/>
        <v>19122643.015769228</v>
      </c>
    </row>
    <row r="65" spans="2:37" x14ac:dyDescent="0.25">
      <c r="B65" s="144"/>
      <c r="C65" s="310" t="s">
        <v>188</v>
      </c>
      <c r="D65" s="310"/>
      <c r="E65" s="310"/>
      <c r="F65" s="310"/>
      <c r="G65" s="310"/>
      <c r="H65" s="315">
        <f t="shared" si="5"/>
        <v>3270918.3327000001</v>
      </c>
      <c r="I65" s="314">
        <f t="shared" si="6"/>
        <v>4361224.4435999999</v>
      </c>
      <c r="J65" s="314">
        <f t="shared" si="6"/>
        <v>4361224.4435999999</v>
      </c>
      <c r="K65" s="314">
        <f t="shared" si="6"/>
        <v>4361224.4435999999</v>
      </c>
      <c r="L65" s="314">
        <f t="shared" si="6"/>
        <v>4361224.4435999999</v>
      </c>
      <c r="M65" s="314">
        <f t="shared" si="6"/>
        <v>4361224.4435999999</v>
      </c>
      <c r="N65" s="314">
        <f t="shared" si="6"/>
        <v>4361224.4435999999</v>
      </c>
      <c r="O65" s="314">
        <f t="shared" si="6"/>
        <v>4361224.4435999999</v>
      </c>
      <c r="P65" s="314">
        <f t="shared" si="6"/>
        <v>4361224.4435999999</v>
      </c>
      <c r="Q65" s="314">
        <f t="shared" si="6"/>
        <v>4361224.4435999999</v>
      </c>
      <c r="R65" s="314">
        <f t="shared" si="6"/>
        <v>4361224.4435999999</v>
      </c>
      <c r="S65" s="314">
        <f t="shared" si="6"/>
        <v>4361224.4435999999</v>
      </c>
      <c r="T65" s="314">
        <f t="shared" si="6"/>
        <v>4361224.4435999999</v>
      </c>
      <c r="U65" s="314">
        <f t="shared" si="6"/>
        <v>4361224.4435999999</v>
      </c>
      <c r="V65" s="314">
        <f t="shared" si="6"/>
        <v>4361224.4435999999</v>
      </c>
      <c r="W65" s="314">
        <f t="shared" si="6"/>
        <v>4361224.4435999999</v>
      </c>
      <c r="X65" s="314">
        <f t="shared" si="6"/>
        <v>4361224.4435999999</v>
      </c>
      <c r="Y65" s="314">
        <f t="shared" si="6"/>
        <v>4361224.4435999999</v>
      </c>
      <c r="Z65" s="314">
        <f t="shared" si="6"/>
        <v>4361224.4435999999</v>
      </c>
      <c r="AA65" s="314">
        <f t="shared" si="6"/>
        <v>4361224.4435999999</v>
      </c>
      <c r="AB65" s="314">
        <f t="shared" si="6"/>
        <v>4361224.4435999999</v>
      </c>
      <c r="AC65" s="314">
        <f t="shared" si="6"/>
        <v>4361224.4435999999</v>
      </c>
      <c r="AD65" s="314">
        <f t="shared" si="6"/>
        <v>4361224.4435999999</v>
      </c>
      <c r="AE65" s="314">
        <f t="shared" si="6"/>
        <v>4361224.4435999999</v>
      </c>
      <c r="AF65" s="314">
        <f t="shared" si="6"/>
        <v>4361224.4435999999</v>
      </c>
      <c r="AG65" s="314">
        <f t="shared" si="6"/>
        <v>4361224.4435999999</v>
      </c>
      <c r="AH65" s="314">
        <f t="shared" si="6"/>
        <v>4361224.4435999999</v>
      </c>
      <c r="AI65" s="314">
        <f t="shared" si="6"/>
        <v>4361224.4435999999</v>
      </c>
      <c r="AJ65" s="314">
        <f t="shared" si="6"/>
        <v>4361224.4435999999</v>
      </c>
      <c r="AK65" s="153">
        <f t="shared" si="6"/>
        <v>4361224.4435999999</v>
      </c>
    </row>
    <row r="66" spans="2:37" x14ac:dyDescent="0.25">
      <c r="B66" s="144"/>
      <c r="C66" s="310" t="s">
        <v>189</v>
      </c>
      <c r="D66" s="310"/>
      <c r="E66" s="310"/>
      <c r="F66" s="310"/>
      <c r="G66" s="310"/>
      <c r="H66" s="315">
        <f t="shared" si="5"/>
        <v>2943826.4994750004</v>
      </c>
      <c r="I66" s="314">
        <f t="shared" si="6"/>
        <v>3925101.9993000007</v>
      </c>
      <c r="J66" s="314">
        <f t="shared" si="6"/>
        <v>3925101.9993000007</v>
      </c>
      <c r="K66" s="314">
        <f t="shared" si="6"/>
        <v>3925101.9993000007</v>
      </c>
      <c r="L66" s="314">
        <f t="shared" si="6"/>
        <v>3925101.9993000007</v>
      </c>
      <c r="M66" s="314">
        <f t="shared" si="6"/>
        <v>3925101.9993000007</v>
      </c>
      <c r="N66" s="314">
        <f t="shared" si="6"/>
        <v>3925101.9993000007</v>
      </c>
      <c r="O66" s="314">
        <f t="shared" si="6"/>
        <v>3925101.9993000007</v>
      </c>
      <c r="P66" s="314">
        <f t="shared" si="6"/>
        <v>3925101.9993000007</v>
      </c>
      <c r="Q66" s="314">
        <f t="shared" si="6"/>
        <v>3925101.9993000007</v>
      </c>
      <c r="R66" s="314">
        <f t="shared" si="6"/>
        <v>3925101.9993000007</v>
      </c>
      <c r="S66" s="314">
        <f t="shared" si="6"/>
        <v>3925101.9993000007</v>
      </c>
      <c r="T66" s="314">
        <f t="shared" si="6"/>
        <v>3925101.9993000007</v>
      </c>
      <c r="U66" s="314">
        <f t="shared" si="6"/>
        <v>3925101.9993000007</v>
      </c>
      <c r="V66" s="314">
        <f t="shared" si="6"/>
        <v>3925101.9993000007</v>
      </c>
      <c r="W66" s="314">
        <f t="shared" si="6"/>
        <v>3925101.9993000007</v>
      </c>
      <c r="X66" s="314">
        <f t="shared" si="6"/>
        <v>3925101.9993000007</v>
      </c>
      <c r="Y66" s="314">
        <f t="shared" si="6"/>
        <v>3925101.9993000007</v>
      </c>
      <c r="Z66" s="314">
        <f t="shared" si="6"/>
        <v>3925101.9993000007</v>
      </c>
      <c r="AA66" s="314">
        <f t="shared" si="6"/>
        <v>3925101.9993000007</v>
      </c>
      <c r="AB66" s="314">
        <f t="shared" si="6"/>
        <v>3925101.9993000007</v>
      </c>
      <c r="AC66" s="314">
        <f t="shared" si="6"/>
        <v>3925101.9993000007</v>
      </c>
      <c r="AD66" s="314">
        <f t="shared" si="6"/>
        <v>3925101.9993000007</v>
      </c>
      <c r="AE66" s="314">
        <f t="shared" si="6"/>
        <v>3925101.9993000007</v>
      </c>
      <c r="AF66" s="314">
        <f t="shared" si="6"/>
        <v>3925101.9993000007</v>
      </c>
      <c r="AG66" s="314">
        <f t="shared" si="6"/>
        <v>3925101.9993000007</v>
      </c>
      <c r="AH66" s="314">
        <f t="shared" si="6"/>
        <v>3925101.9993000007</v>
      </c>
      <c r="AI66" s="314">
        <f t="shared" si="6"/>
        <v>3925101.9993000007</v>
      </c>
      <c r="AJ66" s="314">
        <f t="shared" si="6"/>
        <v>3925101.9993000007</v>
      </c>
      <c r="AK66" s="153">
        <f t="shared" si="6"/>
        <v>3925101.9993000007</v>
      </c>
    </row>
    <row r="67" spans="2:37" x14ac:dyDescent="0.25">
      <c r="B67" s="144"/>
      <c r="C67" s="310" t="s">
        <v>190</v>
      </c>
      <c r="D67" s="310"/>
      <c r="E67" s="310"/>
      <c r="F67" s="310"/>
      <c r="G67" s="310"/>
      <c r="H67" s="315">
        <f t="shared" si="5"/>
        <v>2039800.5923596155</v>
      </c>
      <c r="I67" s="314">
        <f t="shared" si="6"/>
        <v>2719734.123146154</v>
      </c>
      <c r="J67" s="314">
        <f t="shared" si="6"/>
        <v>2719734.123146154</v>
      </c>
      <c r="K67" s="314">
        <f t="shared" si="6"/>
        <v>2719734.123146154</v>
      </c>
      <c r="L67" s="314">
        <f t="shared" si="6"/>
        <v>2719734.123146154</v>
      </c>
      <c r="M67" s="314">
        <f t="shared" si="6"/>
        <v>2719734.123146154</v>
      </c>
      <c r="N67" s="314">
        <f t="shared" si="6"/>
        <v>2719734.123146154</v>
      </c>
      <c r="O67" s="314">
        <f t="shared" si="6"/>
        <v>2719734.123146154</v>
      </c>
      <c r="P67" s="314">
        <f t="shared" si="6"/>
        <v>2719734.123146154</v>
      </c>
      <c r="Q67" s="314">
        <f t="shared" si="6"/>
        <v>2719734.123146154</v>
      </c>
      <c r="R67" s="314">
        <f t="shared" si="6"/>
        <v>2719734.123146154</v>
      </c>
      <c r="S67" s="314">
        <f t="shared" si="6"/>
        <v>2719734.123146154</v>
      </c>
      <c r="T67" s="314">
        <f t="shared" si="6"/>
        <v>2719734.123146154</v>
      </c>
      <c r="U67" s="314">
        <f t="shared" si="6"/>
        <v>2719734.123146154</v>
      </c>
      <c r="V67" s="314">
        <f t="shared" si="6"/>
        <v>2719734.123146154</v>
      </c>
      <c r="W67" s="314">
        <f t="shared" si="6"/>
        <v>2719734.123146154</v>
      </c>
      <c r="X67" s="314">
        <f t="shared" si="6"/>
        <v>2719734.123146154</v>
      </c>
      <c r="Y67" s="314">
        <f t="shared" si="6"/>
        <v>2719734.123146154</v>
      </c>
      <c r="Z67" s="314">
        <f t="shared" si="6"/>
        <v>2719734.123146154</v>
      </c>
      <c r="AA67" s="314">
        <f t="shared" si="6"/>
        <v>2719734.123146154</v>
      </c>
      <c r="AB67" s="314">
        <f t="shared" si="6"/>
        <v>2719734.123146154</v>
      </c>
      <c r="AC67" s="314">
        <f t="shared" si="6"/>
        <v>2719734.123146154</v>
      </c>
      <c r="AD67" s="314">
        <f t="shared" si="6"/>
        <v>2719734.123146154</v>
      </c>
      <c r="AE67" s="314">
        <f t="shared" si="6"/>
        <v>2719734.123146154</v>
      </c>
      <c r="AF67" s="314">
        <f t="shared" si="6"/>
        <v>2719734.123146154</v>
      </c>
      <c r="AG67" s="314">
        <f t="shared" si="6"/>
        <v>2719734.123146154</v>
      </c>
      <c r="AH67" s="314">
        <f t="shared" si="6"/>
        <v>2719734.123146154</v>
      </c>
      <c r="AI67" s="314">
        <f t="shared" si="6"/>
        <v>2719734.123146154</v>
      </c>
      <c r="AJ67" s="314">
        <f t="shared" si="6"/>
        <v>2719734.123146154</v>
      </c>
      <c r="AK67" s="153">
        <f t="shared" si="6"/>
        <v>2719734.123146154</v>
      </c>
    </row>
    <row r="68" spans="2:37" x14ac:dyDescent="0.25">
      <c r="B68" s="144"/>
      <c r="C68" s="310" t="s">
        <v>191</v>
      </c>
      <c r="D68" s="310"/>
      <c r="E68" s="310"/>
      <c r="F68" s="310"/>
      <c r="G68" s="310"/>
      <c r="H68" s="315">
        <f t="shared" si="5"/>
        <v>2113411.7588596153</v>
      </c>
      <c r="I68" s="314">
        <f t="shared" si="6"/>
        <v>2817882.3451461536</v>
      </c>
      <c r="J68" s="314">
        <f t="shared" si="6"/>
        <v>2817882.3451461536</v>
      </c>
      <c r="K68" s="314">
        <f t="shared" si="6"/>
        <v>2817882.3451461536</v>
      </c>
      <c r="L68" s="314">
        <f t="shared" si="6"/>
        <v>2817882.3451461536</v>
      </c>
      <c r="M68" s="314">
        <f t="shared" si="6"/>
        <v>2817882.3451461536</v>
      </c>
      <c r="N68" s="314">
        <f t="shared" si="6"/>
        <v>2817882.3451461536</v>
      </c>
      <c r="O68" s="314">
        <f t="shared" si="6"/>
        <v>2817882.3451461536</v>
      </c>
      <c r="P68" s="314">
        <f t="shared" si="6"/>
        <v>2817882.3451461536</v>
      </c>
      <c r="Q68" s="314">
        <f t="shared" si="6"/>
        <v>2817882.3451461536</v>
      </c>
      <c r="R68" s="314">
        <f t="shared" si="6"/>
        <v>2817882.3451461536</v>
      </c>
      <c r="S68" s="314">
        <f t="shared" si="6"/>
        <v>2817882.3451461536</v>
      </c>
      <c r="T68" s="314">
        <f t="shared" si="6"/>
        <v>2817882.3451461536</v>
      </c>
      <c r="U68" s="314">
        <f t="shared" si="6"/>
        <v>2817882.3451461536</v>
      </c>
      <c r="V68" s="314">
        <f t="shared" si="6"/>
        <v>2817882.3451461536</v>
      </c>
      <c r="W68" s="314">
        <f t="shared" si="6"/>
        <v>2817882.3451461536</v>
      </c>
      <c r="X68" s="314">
        <f t="shared" si="6"/>
        <v>2817882.3451461536</v>
      </c>
      <c r="Y68" s="314">
        <f t="shared" si="6"/>
        <v>2817882.3451461536</v>
      </c>
      <c r="Z68" s="314">
        <f t="shared" si="6"/>
        <v>2817882.3451461536</v>
      </c>
      <c r="AA68" s="314">
        <f t="shared" si="6"/>
        <v>2817882.3451461536</v>
      </c>
      <c r="AB68" s="314">
        <f t="shared" si="6"/>
        <v>2817882.3451461536</v>
      </c>
      <c r="AC68" s="314">
        <f t="shared" si="6"/>
        <v>2817882.3451461536</v>
      </c>
      <c r="AD68" s="314">
        <f t="shared" si="6"/>
        <v>2817882.3451461536</v>
      </c>
      <c r="AE68" s="314">
        <f t="shared" si="6"/>
        <v>2817882.3451461536</v>
      </c>
      <c r="AF68" s="314">
        <f t="shared" si="6"/>
        <v>2817882.3451461536</v>
      </c>
      <c r="AG68" s="314">
        <f t="shared" si="6"/>
        <v>2817882.3451461536</v>
      </c>
      <c r="AH68" s="314">
        <f t="shared" si="6"/>
        <v>2817882.3451461536</v>
      </c>
      <c r="AI68" s="314">
        <f t="shared" si="6"/>
        <v>2817882.3451461536</v>
      </c>
      <c r="AJ68" s="314">
        <f t="shared" si="6"/>
        <v>2817882.3451461536</v>
      </c>
      <c r="AK68" s="153">
        <f t="shared" si="6"/>
        <v>2817882.3451461536</v>
      </c>
    </row>
    <row r="69" spans="2:37" x14ac:dyDescent="0.25">
      <c r="B69" s="144" t="s">
        <v>451</v>
      </c>
      <c r="C69" s="310" t="s">
        <v>435</v>
      </c>
      <c r="D69" s="310"/>
      <c r="E69" s="310"/>
      <c r="F69" s="310"/>
      <c r="G69" s="310"/>
      <c r="H69" s="311">
        <f>SUM(H61:H68)</f>
        <v>33269288.981007691</v>
      </c>
      <c r="I69" s="311">
        <f t="shared" ref="I69:AK69" si="7">SUM(I61:I68)</f>
        <v>44359051.974676929</v>
      </c>
      <c r="J69" s="311">
        <f t="shared" si="7"/>
        <v>44359051.974676929</v>
      </c>
      <c r="K69" s="311">
        <f t="shared" si="7"/>
        <v>44359051.974676929</v>
      </c>
      <c r="L69" s="311">
        <f t="shared" si="7"/>
        <v>44359051.974676929</v>
      </c>
      <c r="M69" s="311">
        <f t="shared" si="7"/>
        <v>44359051.974676929</v>
      </c>
      <c r="N69" s="311">
        <f t="shared" si="7"/>
        <v>44359051.974676929</v>
      </c>
      <c r="O69" s="311">
        <f t="shared" si="7"/>
        <v>44359051.974676929</v>
      </c>
      <c r="P69" s="311">
        <f t="shared" si="7"/>
        <v>44359051.974676929</v>
      </c>
      <c r="Q69" s="311">
        <f t="shared" si="7"/>
        <v>44359051.974676929</v>
      </c>
      <c r="R69" s="311">
        <f t="shared" si="7"/>
        <v>44359051.974676929</v>
      </c>
      <c r="S69" s="311">
        <f t="shared" si="7"/>
        <v>44359051.974676929</v>
      </c>
      <c r="T69" s="311">
        <f t="shared" si="7"/>
        <v>44359051.974676929</v>
      </c>
      <c r="U69" s="311">
        <f t="shared" si="7"/>
        <v>44359051.974676929</v>
      </c>
      <c r="V69" s="311">
        <f t="shared" si="7"/>
        <v>44359051.974676929</v>
      </c>
      <c r="W69" s="311">
        <f t="shared" si="7"/>
        <v>44359051.974676929</v>
      </c>
      <c r="X69" s="311">
        <f t="shared" si="7"/>
        <v>44359051.974676929</v>
      </c>
      <c r="Y69" s="311">
        <f t="shared" si="7"/>
        <v>44359051.974676929</v>
      </c>
      <c r="Z69" s="311">
        <f t="shared" si="7"/>
        <v>44359051.974676929</v>
      </c>
      <c r="AA69" s="311">
        <f t="shared" si="7"/>
        <v>44359051.974676929</v>
      </c>
      <c r="AB69" s="311">
        <f t="shared" si="7"/>
        <v>44359051.974676929</v>
      </c>
      <c r="AC69" s="311">
        <f t="shared" si="7"/>
        <v>44359051.974676929</v>
      </c>
      <c r="AD69" s="311">
        <f t="shared" si="7"/>
        <v>44359051.974676929</v>
      </c>
      <c r="AE69" s="311">
        <f t="shared" si="7"/>
        <v>44359051.974676929</v>
      </c>
      <c r="AF69" s="311">
        <f t="shared" si="7"/>
        <v>44359051.974676929</v>
      </c>
      <c r="AG69" s="311">
        <f t="shared" si="7"/>
        <v>44359051.974676929</v>
      </c>
      <c r="AH69" s="311">
        <f t="shared" si="7"/>
        <v>44359051.974676929</v>
      </c>
      <c r="AI69" s="311">
        <f t="shared" si="7"/>
        <v>44359051.974676929</v>
      </c>
      <c r="AJ69" s="311">
        <f t="shared" si="7"/>
        <v>44359051.974676929</v>
      </c>
      <c r="AK69" s="152">
        <f t="shared" si="7"/>
        <v>44359051.974676929</v>
      </c>
    </row>
    <row r="70" spans="2:37" x14ac:dyDescent="0.25">
      <c r="B70" s="144"/>
      <c r="C70" s="310"/>
      <c r="D70" s="310"/>
      <c r="E70" s="310"/>
      <c r="F70" s="310"/>
      <c r="G70" s="310"/>
      <c r="H70" s="310"/>
      <c r="I70" s="310"/>
      <c r="J70" s="310"/>
      <c r="K70" s="310"/>
      <c r="L70" s="310"/>
      <c r="M70" s="310"/>
      <c r="N70" s="310"/>
      <c r="O70" s="310"/>
      <c r="P70" s="310"/>
      <c r="Q70" s="310"/>
      <c r="R70" s="310"/>
      <c r="S70" s="310"/>
      <c r="T70" s="310"/>
      <c r="U70" s="310"/>
      <c r="V70" s="310"/>
      <c r="W70" s="310"/>
      <c r="X70" s="310"/>
      <c r="Y70" s="310"/>
      <c r="Z70" s="310"/>
      <c r="AA70" s="310"/>
      <c r="AB70" s="310"/>
      <c r="AC70" s="310"/>
      <c r="AD70" s="310"/>
      <c r="AE70" s="310"/>
      <c r="AF70" s="310"/>
      <c r="AG70" s="310"/>
      <c r="AH70" s="310"/>
      <c r="AI70" s="310"/>
      <c r="AJ70" s="310"/>
      <c r="AK70" s="81"/>
    </row>
    <row r="71" spans="2:37" x14ac:dyDescent="0.25">
      <c r="B71" s="144"/>
      <c r="C71" s="310"/>
      <c r="D71" s="310"/>
      <c r="E71" s="310"/>
      <c r="F71" s="310"/>
      <c r="G71" s="310"/>
      <c r="H71" s="310"/>
      <c r="I71" s="310"/>
      <c r="J71" s="310"/>
      <c r="K71" s="310"/>
      <c r="L71" s="310"/>
      <c r="M71" s="310"/>
      <c r="N71" s="310"/>
      <c r="O71" s="310"/>
      <c r="P71" s="310"/>
      <c r="Q71" s="310"/>
      <c r="R71" s="310"/>
      <c r="S71" s="310"/>
      <c r="T71" s="310"/>
      <c r="U71" s="310"/>
      <c r="V71" s="310"/>
      <c r="W71" s="310"/>
      <c r="X71" s="310"/>
      <c r="Y71" s="310"/>
      <c r="Z71" s="310"/>
      <c r="AA71" s="310"/>
      <c r="AB71" s="310"/>
      <c r="AC71" s="310"/>
      <c r="AD71" s="310"/>
      <c r="AE71" s="310"/>
      <c r="AF71" s="310"/>
      <c r="AG71" s="310"/>
      <c r="AH71" s="310"/>
      <c r="AI71" s="310"/>
      <c r="AJ71" s="310"/>
      <c r="AK71" s="81"/>
    </row>
    <row r="72" spans="2:37" x14ac:dyDescent="0.25">
      <c r="B72" s="144" t="s">
        <v>409</v>
      </c>
      <c r="C72" s="310"/>
      <c r="D72" s="310"/>
      <c r="E72" s="310"/>
      <c r="F72" s="310"/>
      <c r="G72" s="310"/>
      <c r="H72" s="316">
        <v>0.1429</v>
      </c>
      <c r="I72" s="317">
        <v>0.24490000000000001</v>
      </c>
      <c r="J72" s="317">
        <v>0.1749</v>
      </c>
      <c r="K72" s="317">
        <v>0.1249</v>
      </c>
      <c r="L72" s="317">
        <v>8.9300000000000004E-2</v>
      </c>
      <c r="M72" s="317">
        <v>8.9200000000000002E-2</v>
      </c>
      <c r="N72" s="317">
        <v>8.9300000000000004E-2</v>
      </c>
      <c r="O72" s="317">
        <v>4.4600000000000001E-2</v>
      </c>
      <c r="P72" s="318">
        <v>0</v>
      </c>
      <c r="Q72" s="318">
        <v>0</v>
      </c>
      <c r="R72" s="318">
        <v>0</v>
      </c>
      <c r="S72" s="318">
        <v>0</v>
      </c>
      <c r="T72" s="318">
        <v>0</v>
      </c>
      <c r="U72" s="318">
        <v>0</v>
      </c>
      <c r="V72" s="318">
        <v>0</v>
      </c>
      <c r="W72" s="318">
        <v>0</v>
      </c>
      <c r="X72" s="318">
        <v>0</v>
      </c>
      <c r="Y72" s="318">
        <v>0</v>
      </c>
      <c r="Z72" s="318">
        <v>0</v>
      </c>
      <c r="AA72" s="318">
        <v>0</v>
      </c>
      <c r="AB72" s="318">
        <v>0</v>
      </c>
      <c r="AC72" s="318">
        <v>0</v>
      </c>
      <c r="AD72" s="318">
        <v>0</v>
      </c>
      <c r="AE72" s="318">
        <v>0</v>
      </c>
      <c r="AF72" s="318">
        <v>0</v>
      </c>
      <c r="AG72" s="318">
        <v>0</v>
      </c>
      <c r="AH72" s="318">
        <v>0</v>
      </c>
      <c r="AI72" s="318">
        <v>0</v>
      </c>
      <c r="AJ72" s="318">
        <v>0</v>
      </c>
      <c r="AK72" s="154">
        <v>0</v>
      </c>
    </row>
    <row r="73" spans="2:37" x14ac:dyDescent="0.25">
      <c r="B73" s="144"/>
      <c r="C73" s="310"/>
      <c r="D73" s="310"/>
      <c r="E73" s="310"/>
      <c r="F73" s="310"/>
      <c r="G73" s="310"/>
      <c r="H73" s="319">
        <f t="shared" ref="H73:AK73" si="8">+H$72*$D$3</f>
        <v>57525055.303057887</v>
      </c>
      <c r="I73" s="319">
        <f t="shared" si="8"/>
        <v>98585626.618046731</v>
      </c>
      <c r="J73" s="319">
        <f t="shared" si="8"/>
        <v>70406803.166583791</v>
      </c>
      <c r="K73" s="319">
        <f t="shared" si="8"/>
        <v>50279072.129824564</v>
      </c>
      <c r="L73" s="319">
        <f t="shared" si="8"/>
        <v>35948127.63165199</v>
      </c>
      <c r="M73" s="319">
        <f t="shared" si="8"/>
        <v>35907872.16957847</v>
      </c>
      <c r="N73" s="319">
        <f t="shared" si="8"/>
        <v>35948127.63165199</v>
      </c>
      <c r="O73" s="319">
        <f t="shared" si="8"/>
        <v>17953936.084789235</v>
      </c>
      <c r="P73" s="319">
        <f t="shared" si="8"/>
        <v>0</v>
      </c>
      <c r="Q73" s="319">
        <f t="shared" si="8"/>
        <v>0</v>
      </c>
      <c r="R73" s="319">
        <f t="shared" si="8"/>
        <v>0</v>
      </c>
      <c r="S73" s="319">
        <f t="shared" si="8"/>
        <v>0</v>
      </c>
      <c r="T73" s="319">
        <f t="shared" si="8"/>
        <v>0</v>
      </c>
      <c r="U73" s="319">
        <f t="shared" si="8"/>
        <v>0</v>
      </c>
      <c r="V73" s="319">
        <f t="shared" si="8"/>
        <v>0</v>
      </c>
      <c r="W73" s="319">
        <f t="shared" si="8"/>
        <v>0</v>
      </c>
      <c r="X73" s="319">
        <f t="shared" si="8"/>
        <v>0</v>
      </c>
      <c r="Y73" s="319">
        <f t="shared" si="8"/>
        <v>0</v>
      </c>
      <c r="Z73" s="319">
        <f t="shared" si="8"/>
        <v>0</v>
      </c>
      <c r="AA73" s="319">
        <f t="shared" si="8"/>
        <v>0</v>
      </c>
      <c r="AB73" s="319">
        <f t="shared" si="8"/>
        <v>0</v>
      </c>
      <c r="AC73" s="319">
        <f t="shared" si="8"/>
        <v>0</v>
      </c>
      <c r="AD73" s="319">
        <f t="shared" si="8"/>
        <v>0</v>
      </c>
      <c r="AE73" s="319">
        <f t="shared" si="8"/>
        <v>0</v>
      </c>
      <c r="AF73" s="319">
        <f t="shared" si="8"/>
        <v>0</v>
      </c>
      <c r="AG73" s="319">
        <f t="shared" si="8"/>
        <v>0</v>
      </c>
      <c r="AH73" s="319">
        <f t="shared" si="8"/>
        <v>0</v>
      </c>
      <c r="AI73" s="319">
        <f t="shared" si="8"/>
        <v>0</v>
      </c>
      <c r="AJ73" s="319">
        <f t="shared" si="8"/>
        <v>0</v>
      </c>
      <c r="AK73" s="155">
        <f t="shared" si="8"/>
        <v>0</v>
      </c>
    </row>
    <row r="74" spans="2:37" x14ac:dyDescent="0.25">
      <c r="B74" s="144"/>
      <c r="C74" s="310"/>
      <c r="D74" s="310"/>
      <c r="E74" s="310"/>
      <c r="F74" s="310"/>
      <c r="G74" s="310"/>
      <c r="H74" s="320"/>
      <c r="I74" s="320"/>
      <c r="J74" s="320"/>
      <c r="K74" s="320"/>
      <c r="L74" s="320"/>
      <c r="M74" s="320"/>
      <c r="N74" s="320"/>
      <c r="O74" s="320"/>
      <c r="P74" s="320"/>
      <c r="Q74" s="320"/>
      <c r="R74" s="320"/>
      <c r="S74" s="320"/>
      <c r="T74" s="320"/>
      <c r="U74" s="320"/>
      <c r="V74" s="320"/>
      <c r="W74" s="320"/>
      <c r="X74" s="320"/>
      <c r="Y74" s="320"/>
      <c r="Z74" s="320"/>
      <c r="AA74" s="320"/>
      <c r="AB74" s="320"/>
      <c r="AC74" s="320"/>
      <c r="AD74" s="320"/>
      <c r="AE74" s="320"/>
      <c r="AF74" s="320"/>
      <c r="AG74" s="320"/>
      <c r="AH74" s="320"/>
      <c r="AI74" s="320"/>
      <c r="AJ74" s="320"/>
      <c r="AK74" s="156"/>
    </row>
    <row r="75" spans="2:37" x14ac:dyDescent="0.25">
      <c r="B75" s="144" t="s">
        <v>436</v>
      </c>
      <c r="C75" s="310"/>
      <c r="D75" s="310"/>
      <c r="E75" s="310"/>
      <c r="F75" s="310"/>
      <c r="G75" s="310"/>
      <c r="H75" s="321">
        <f>+H58-H52-H69-H73</f>
        <v>-34609579.011205852</v>
      </c>
      <c r="I75" s="321">
        <f t="shared" ref="I75:AK75" si="9">+I58-I52-I69-I73</f>
        <v>-56033156.368748762</v>
      </c>
      <c r="J75" s="321">
        <f t="shared" si="9"/>
        <v>-27854332.917285822</v>
      </c>
      <c r="K75" s="321">
        <f t="shared" si="9"/>
        <v>-7726601.8805265948</v>
      </c>
      <c r="L75" s="321">
        <f t="shared" si="9"/>
        <v>6604342.6176459789</v>
      </c>
      <c r="M75" s="321">
        <f t="shared" si="9"/>
        <v>6644598.0797194988</v>
      </c>
      <c r="N75" s="321">
        <f t="shared" si="9"/>
        <v>6604342.6176459789</v>
      </c>
      <c r="O75" s="321">
        <f t="shared" si="9"/>
        <v>24598534.164508734</v>
      </c>
      <c r="P75" s="321">
        <f t="shared" si="9"/>
        <v>42552470.249297969</v>
      </c>
      <c r="Q75" s="321">
        <f t="shared" si="9"/>
        <v>42552470.249297969</v>
      </c>
      <c r="R75" s="321">
        <f t="shared" si="9"/>
        <v>78547975.829783767</v>
      </c>
      <c r="S75" s="321">
        <f t="shared" si="9"/>
        <v>78547975.829783767</v>
      </c>
      <c r="T75" s="321">
        <f t="shared" si="9"/>
        <v>78547975.829783767</v>
      </c>
      <c r="U75" s="321">
        <f t="shared" si="9"/>
        <v>78547975.829783767</v>
      </c>
      <c r="V75" s="321">
        <f t="shared" si="9"/>
        <v>78547975.829783767</v>
      </c>
      <c r="W75" s="321">
        <f t="shared" si="9"/>
        <v>78547975.829783767</v>
      </c>
      <c r="X75" s="321">
        <f t="shared" si="9"/>
        <v>78547975.829783767</v>
      </c>
      <c r="Y75" s="321">
        <f t="shared" si="9"/>
        <v>78547975.829783767</v>
      </c>
      <c r="Z75" s="321">
        <f t="shared" si="9"/>
        <v>78547975.829783767</v>
      </c>
      <c r="AA75" s="321">
        <f t="shared" si="9"/>
        <v>78547975.829783767</v>
      </c>
      <c r="AB75" s="321">
        <f t="shared" si="9"/>
        <v>78547975.829783767</v>
      </c>
      <c r="AC75" s="321">
        <f t="shared" si="9"/>
        <v>78547975.829783767</v>
      </c>
      <c r="AD75" s="321">
        <f t="shared" si="9"/>
        <v>78547975.829783767</v>
      </c>
      <c r="AE75" s="321">
        <f t="shared" si="9"/>
        <v>78547975.829783767</v>
      </c>
      <c r="AF75" s="321">
        <f t="shared" si="9"/>
        <v>78547975.829783767</v>
      </c>
      <c r="AG75" s="321">
        <f t="shared" si="9"/>
        <v>78547975.829783767</v>
      </c>
      <c r="AH75" s="321">
        <f t="shared" si="9"/>
        <v>78547975.829783767</v>
      </c>
      <c r="AI75" s="321">
        <f t="shared" si="9"/>
        <v>78547975.829783767</v>
      </c>
      <c r="AJ75" s="321">
        <f t="shared" si="9"/>
        <v>78547975.829783767</v>
      </c>
      <c r="AK75" s="321">
        <f t="shared" si="9"/>
        <v>78547975.829783767</v>
      </c>
    </row>
    <row r="76" spans="2:37" x14ac:dyDescent="0.25">
      <c r="B76" s="144" t="s">
        <v>437</v>
      </c>
      <c r="C76" s="310"/>
      <c r="D76" s="310"/>
      <c r="E76" s="310"/>
      <c r="F76" s="310"/>
      <c r="G76" s="310"/>
      <c r="H76" s="319">
        <v>0</v>
      </c>
      <c r="I76" s="320">
        <f t="shared" ref="I76:AK76" si="10">IF(H77&lt;0,H77,0)</f>
        <v>-34609579.011205852</v>
      </c>
      <c r="J76" s="320">
        <f t="shared" si="10"/>
        <v>-90642735.379954606</v>
      </c>
      <c r="K76" s="320">
        <f t="shared" si="10"/>
        <v>-118497068.29724044</v>
      </c>
      <c r="L76" s="320">
        <f t="shared" si="10"/>
        <v>-126223670.17776704</v>
      </c>
      <c r="M76" s="320">
        <f t="shared" si="10"/>
        <v>-119619327.56012106</v>
      </c>
      <c r="N76" s="320">
        <f t="shared" si="10"/>
        <v>-112974729.48040156</v>
      </c>
      <c r="O76" s="320">
        <f t="shared" si="10"/>
        <v>-106370386.86275558</v>
      </c>
      <c r="P76" s="320">
        <f t="shared" si="10"/>
        <v>-81771852.698246852</v>
      </c>
      <c r="Q76" s="320">
        <f t="shared" si="10"/>
        <v>-39219382.448948883</v>
      </c>
      <c r="R76" s="320">
        <f t="shared" si="10"/>
        <v>0</v>
      </c>
      <c r="S76" s="320">
        <f t="shared" si="10"/>
        <v>0</v>
      </c>
      <c r="T76" s="320">
        <f t="shared" si="10"/>
        <v>0</v>
      </c>
      <c r="U76" s="320">
        <f t="shared" si="10"/>
        <v>0</v>
      </c>
      <c r="V76" s="320">
        <f t="shared" si="10"/>
        <v>0</v>
      </c>
      <c r="W76" s="320">
        <f t="shared" si="10"/>
        <v>0</v>
      </c>
      <c r="X76" s="320">
        <f t="shared" si="10"/>
        <v>0</v>
      </c>
      <c r="Y76" s="320">
        <f t="shared" si="10"/>
        <v>0</v>
      </c>
      <c r="Z76" s="320">
        <f t="shared" si="10"/>
        <v>0</v>
      </c>
      <c r="AA76" s="320">
        <f t="shared" si="10"/>
        <v>0</v>
      </c>
      <c r="AB76" s="320">
        <f t="shared" si="10"/>
        <v>0</v>
      </c>
      <c r="AC76" s="320">
        <f t="shared" si="10"/>
        <v>0</v>
      </c>
      <c r="AD76" s="320">
        <f t="shared" si="10"/>
        <v>0</v>
      </c>
      <c r="AE76" s="320">
        <f t="shared" si="10"/>
        <v>0</v>
      </c>
      <c r="AF76" s="320">
        <f t="shared" si="10"/>
        <v>0</v>
      </c>
      <c r="AG76" s="320">
        <f t="shared" si="10"/>
        <v>0</v>
      </c>
      <c r="AH76" s="320">
        <f t="shared" si="10"/>
        <v>0</v>
      </c>
      <c r="AI76" s="320">
        <f t="shared" si="10"/>
        <v>0</v>
      </c>
      <c r="AJ76" s="320">
        <f t="shared" si="10"/>
        <v>0</v>
      </c>
      <c r="AK76" s="156">
        <f t="shared" si="10"/>
        <v>0</v>
      </c>
    </row>
    <row r="77" spans="2:37" x14ac:dyDescent="0.25">
      <c r="B77" s="144" t="s">
        <v>438</v>
      </c>
      <c r="C77" s="310"/>
      <c r="D77" s="310"/>
      <c r="E77" s="310"/>
      <c r="F77" s="310"/>
      <c r="G77" s="310"/>
      <c r="H77" s="319">
        <f>+H76+H75</f>
        <v>-34609579.011205852</v>
      </c>
      <c r="I77" s="319">
        <f t="shared" ref="I77:AK77" si="11">+I76+I75</f>
        <v>-90642735.379954606</v>
      </c>
      <c r="J77" s="319">
        <f t="shared" si="11"/>
        <v>-118497068.29724044</v>
      </c>
      <c r="K77" s="319">
        <f t="shared" si="11"/>
        <v>-126223670.17776704</v>
      </c>
      <c r="L77" s="319">
        <f t="shared" si="11"/>
        <v>-119619327.56012106</v>
      </c>
      <c r="M77" s="319">
        <f t="shared" si="11"/>
        <v>-112974729.48040156</v>
      </c>
      <c r="N77" s="319">
        <f t="shared" si="11"/>
        <v>-106370386.86275558</v>
      </c>
      <c r="O77" s="319">
        <f t="shared" si="11"/>
        <v>-81771852.698246852</v>
      </c>
      <c r="P77" s="319">
        <f t="shared" si="11"/>
        <v>-39219382.448948883</v>
      </c>
      <c r="Q77" s="319">
        <f t="shared" si="11"/>
        <v>3333087.8003490865</v>
      </c>
      <c r="R77" s="319">
        <f t="shared" si="11"/>
        <v>78547975.829783767</v>
      </c>
      <c r="S77" s="319">
        <f t="shared" si="11"/>
        <v>78547975.829783767</v>
      </c>
      <c r="T77" s="319">
        <f t="shared" si="11"/>
        <v>78547975.829783767</v>
      </c>
      <c r="U77" s="319">
        <f t="shared" si="11"/>
        <v>78547975.829783767</v>
      </c>
      <c r="V77" s="319">
        <f t="shared" si="11"/>
        <v>78547975.829783767</v>
      </c>
      <c r="W77" s="319">
        <f t="shared" si="11"/>
        <v>78547975.829783767</v>
      </c>
      <c r="X77" s="319">
        <f t="shared" si="11"/>
        <v>78547975.829783767</v>
      </c>
      <c r="Y77" s="319">
        <f t="shared" si="11"/>
        <v>78547975.829783767</v>
      </c>
      <c r="Z77" s="319">
        <f t="shared" si="11"/>
        <v>78547975.829783767</v>
      </c>
      <c r="AA77" s="319">
        <f t="shared" si="11"/>
        <v>78547975.829783767</v>
      </c>
      <c r="AB77" s="319">
        <f t="shared" si="11"/>
        <v>78547975.829783767</v>
      </c>
      <c r="AC77" s="319">
        <f t="shared" si="11"/>
        <v>78547975.829783767</v>
      </c>
      <c r="AD77" s="319">
        <f t="shared" si="11"/>
        <v>78547975.829783767</v>
      </c>
      <c r="AE77" s="319">
        <f t="shared" si="11"/>
        <v>78547975.829783767</v>
      </c>
      <c r="AF77" s="319">
        <f t="shared" si="11"/>
        <v>78547975.829783767</v>
      </c>
      <c r="AG77" s="319">
        <f t="shared" si="11"/>
        <v>78547975.829783767</v>
      </c>
      <c r="AH77" s="319">
        <f t="shared" si="11"/>
        <v>78547975.829783767</v>
      </c>
      <c r="AI77" s="319">
        <f t="shared" si="11"/>
        <v>78547975.829783767</v>
      </c>
      <c r="AJ77" s="319">
        <f t="shared" si="11"/>
        <v>78547975.829783767</v>
      </c>
      <c r="AK77" s="155">
        <f t="shared" si="11"/>
        <v>78547975.829783767</v>
      </c>
    </row>
    <row r="78" spans="2:37" x14ac:dyDescent="0.25">
      <c r="B78" s="144" t="s">
        <v>439</v>
      </c>
      <c r="C78" s="310"/>
      <c r="D78" s="310"/>
      <c r="E78" s="310"/>
      <c r="F78" s="310"/>
      <c r="G78" s="310"/>
      <c r="H78" s="310">
        <f t="shared" ref="H78:AK78" si="12">IF(H77*($D$37)&lt;0,0,H77*$D$37)</f>
        <v>0</v>
      </c>
      <c r="I78" s="310">
        <f t="shared" si="12"/>
        <v>0</v>
      </c>
      <c r="J78" s="310">
        <f t="shared" si="12"/>
        <v>0</v>
      </c>
      <c r="K78" s="310">
        <f t="shared" si="12"/>
        <v>0</v>
      </c>
      <c r="L78" s="310">
        <f t="shared" si="12"/>
        <v>0</v>
      </c>
      <c r="M78" s="310">
        <f t="shared" si="12"/>
        <v>0</v>
      </c>
      <c r="N78" s="310">
        <f t="shared" si="12"/>
        <v>0</v>
      </c>
      <c r="O78" s="310">
        <f t="shared" si="12"/>
        <v>0</v>
      </c>
      <c r="P78" s="315">
        <f t="shared" si="12"/>
        <v>0</v>
      </c>
      <c r="Q78" s="315">
        <f t="shared" si="12"/>
        <v>1166580.7301221802</v>
      </c>
      <c r="R78" s="315">
        <f t="shared" si="12"/>
        <v>27491791.540424317</v>
      </c>
      <c r="S78" s="315">
        <f t="shared" si="12"/>
        <v>27491791.540424317</v>
      </c>
      <c r="T78" s="315">
        <f t="shared" si="12"/>
        <v>27491791.540424317</v>
      </c>
      <c r="U78" s="315">
        <f t="shared" si="12"/>
        <v>27491791.540424317</v>
      </c>
      <c r="V78" s="315">
        <f t="shared" si="12"/>
        <v>27491791.540424317</v>
      </c>
      <c r="W78" s="315">
        <f t="shared" si="12"/>
        <v>27491791.540424317</v>
      </c>
      <c r="X78" s="315">
        <f t="shared" si="12"/>
        <v>27491791.540424317</v>
      </c>
      <c r="Y78" s="315">
        <f t="shared" si="12"/>
        <v>27491791.540424317</v>
      </c>
      <c r="Z78" s="315">
        <f t="shared" si="12"/>
        <v>27491791.540424317</v>
      </c>
      <c r="AA78" s="315">
        <f t="shared" si="12"/>
        <v>27491791.540424317</v>
      </c>
      <c r="AB78" s="315">
        <f t="shared" si="12"/>
        <v>27491791.540424317</v>
      </c>
      <c r="AC78" s="315">
        <f t="shared" si="12"/>
        <v>27491791.540424317</v>
      </c>
      <c r="AD78" s="315">
        <f t="shared" si="12"/>
        <v>27491791.540424317</v>
      </c>
      <c r="AE78" s="315">
        <f t="shared" si="12"/>
        <v>27491791.540424317</v>
      </c>
      <c r="AF78" s="315">
        <f t="shared" si="12"/>
        <v>27491791.540424317</v>
      </c>
      <c r="AG78" s="315">
        <f t="shared" si="12"/>
        <v>27491791.540424317</v>
      </c>
      <c r="AH78" s="315">
        <f t="shared" si="12"/>
        <v>27491791.540424317</v>
      </c>
      <c r="AI78" s="315">
        <f t="shared" si="12"/>
        <v>27491791.540424317</v>
      </c>
      <c r="AJ78" s="315">
        <f t="shared" si="12"/>
        <v>27491791.540424317</v>
      </c>
      <c r="AK78" s="158">
        <f t="shared" si="12"/>
        <v>27491791.540424317</v>
      </c>
    </row>
    <row r="79" spans="2:37" x14ac:dyDescent="0.25">
      <c r="B79" s="144"/>
      <c r="C79" s="310"/>
      <c r="D79" s="310"/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310"/>
      <c r="Y79" s="310"/>
      <c r="Z79" s="310"/>
      <c r="AA79" s="310"/>
      <c r="AB79" s="310"/>
      <c r="AC79" s="310"/>
      <c r="AD79" s="310"/>
      <c r="AE79" s="310"/>
      <c r="AF79" s="310"/>
      <c r="AG79" s="310"/>
      <c r="AH79" s="310"/>
      <c r="AI79" s="310"/>
      <c r="AJ79" s="310"/>
      <c r="AK79" s="81"/>
    </row>
    <row r="80" spans="2:37" x14ac:dyDescent="0.25">
      <c r="B80" s="144" t="s">
        <v>440</v>
      </c>
      <c r="C80" s="310"/>
      <c r="D80" s="310"/>
      <c r="E80" s="310"/>
      <c r="F80" s="310"/>
      <c r="G80" s="310"/>
      <c r="H80" s="311">
        <f t="shared" ref="H80:AK80" si="13">+H58-H52-H69-H78</f>
        <v>22915476.291852031</v>
      </c>
      <c r="I80" s="311">
        <f t="shared" si="13"/>
        <v>42552470.249297969</v>
      </c>
      <c r="J80" s="311">
        <f t="shared" si="13"/>
        <v>42552470.249297969</v>
      </c>
      <c r="K80" s="311">
        <f t="shared" si="13"/>
        <v>42552470.249297969</v>
      </c>
      <c r="L80" s="311">
        <f t="shared" si="13"/>
        <v>42552470.249297969</v>
      </c>
      <c r="M80" s="311">
        <f t="shared" si="13"/>
        <v>42552470.249297969</v>
      </c>
      <c r="N80" s="311">
        <f t="shared" si="13"/>
        <v>42552470.249297969</v>
      </c>
      <c r="O80" s="311">
        <f t="shared" si="13"/>
        <v>42552470.249297969</v>
      </c>
      <c r="P80" s="311">
        <f t="shared" si="13"/>
        <v>42552470.249297969</v>
      </c>
      <c r="Q80" s="311">
        <f t="shared" si="13"/>
        <v>41385889.51917579</v>
      </c>
      <c r="R80" s="311">
        <f t="shared" si="13"/>
        <v>51056184.28935945</v>
      </c>
      <c r="S80" s="311">
        <f t="shared" si="13"/>
        <v>51056184.28935945</v>
      </c>
      <c r="T80" s="311">
        <f t="shared" si="13"/>
        <v>51056184.28935945</v>
      </c>
      <c r="U80" s="311">
        <f t="shared" si="13"/>
        <v>51056184.28935945</v>
      </c>
      <c r="V80" s="311">
        <f t="shared" si="13"/>
        <v>51056184.28935945</v>
      </c>
      <c r="W80" s="311">
        <f t="shared" si="13"/>
        <v>51056184.28935945</v>
      </c>
      <c r="X80" s="311">
        <f t="shared" si="13"/>
        <v>51056184.28935945</v>
      </c>
      <c r="Y80" s="311">
        <f t="shared" si="13"/>
        <v>51056184.28935945</v>
      </c>
      <c r="Z80" s="311">
        <f t="shared" si="13"/>
        <v>51056184.28935945</v>
      </c>
      <c r="AA80" s="311">
        <f t="shared" si="13"/>
        <v>51056184.28935945</v>
      </c>
      <c r="AB80" s="311">
        <f t="shared" si="13"/>
        <v>51056184.28935945</v>
      </c>
      <c r="AC80" s="311">
        <f t="shared" si="13"/>
        <v>51056184.28935945</v>
      </c>
      <c r="AD80" s="311">
        <f t="shared" si="13"/>
        <v>51056184.28935945</v>
      </c>
      <c r="AE80" s="311">
        <f t="shared" si="13"/>
        <v>51056184.28935945</v>
      </c>
      <c r="AF80" s="311">
        <f t="shared" si="13"/>
        <v>51056184.28935945</v>
      </c>
      <c r="AG80" s="311">
        <f t="shared" si="13"/>
        <v>51056184.28935945</v>
      </c>
      <c r="AH80" s="311">
        <f t="shared" si="13"/>
        <v>51056184.28935945</v>
      </c>
      <c r="AI80" s="311">
        <f t="shared" si="13"/>
        <v>51056184.28935945</v>
      </c>
      <c r="AJ80" s="311">
        <f t="shared" si="13"/>
        <v>51056184.28935945</v>
      </c>
      <c r="AK80" s="152">
        <f t="shared" si="13"/>
        <v>51056184.28935945</v>
      </c>
    </row>
    <row r="81" spans="2:37" x14ac:dyDescent="0.25">
      <c r="B81" s="144" t="s">
        <v>441</v>
      </c>
      <c r="C81" s="310"/>
      <c r="D81" s="310"/>
      <c r="E81" s="310">
        <f t="shared" ref="E81:AK81" si="14">1/(1+$D$36)^E47</f>
        <v>1.2100000000000002</v>
      </c>
      <c r="F81" s="310">
        <f t="shared" si="14"/>
        <v>1.1000000000000001</v>
      </c>
      <c r="G81" s="310">
        <f t="shared" si="14"/>
        <v>1</v>
      </c>
      <c r="H81" s="310">
        <f t="shared" si="14"/>
        <v>0.90909090909090906</v>
      </c>
      <c r="I81" s="310">
        <f t="shared" si="14"/>
        <v>0.82644628099173545</v>
      </c>
      <c r="J81" s="310">
        <f t="shared" si="14"/>
        <v>0.75131480090157754</v>
      </c>
      <c r="K81" s="310">
        <f t="shared" si="14"/>
        <v>0.68301345536507052</v>
      </c>
      <c r="L81" s="310">
        <f t="shared" si="14"/>
        <v>0.62092132305915493</v>
      </c>
      <c r="M81" s="310">
        <f t="shared" si="14"/>
        <v>0.56447393005377722</v>
      </c>
      <c r="N81" s="310">
        <f t="shared" si="14"/>
        <v>0.51315811823070645</v>
      </c>
      <c r="O81" s="310">
        <f t="shared" si="14"/>
        <v>0.46650738020973315</v>
      </c>
      <c r="P81" s="310">
        <f t="shared" si="14"/>
        <v>0.42409761837248466</v>
      </c>
      <c r="Q81" s="310">
        <f t="shared" si="14"/>
        <v>0.38554328942953148</v>
      </c>
      <c r="R81" s="310">
        <f t="shared" si="14"/>
        <v>0.3504938994813922</v>
      </c>
      <c r="S81" s="310">
        <f t="shared" si="14"/>
        <v>0.31863081771035656</v>
      </c>
      <c r="T81" s="310">
        <f t="shared" si="14"/>
        <v>0.28966437973668779</v>
      </c>
      <c r="U81" s="310">
        <f t="shared" si="14"/>
        <v>0.26333125430607973</v>
      </c>
      <c r="V81" s="310">
        <f t="shared" si="14"/>
        <v>0.23939204936916339</v>
      </c>
      <c r="W81" s="310">
        <f t="shared" si="14"/>
        <v>0.21762913579014853</v>
      </c>
      <c r="X81" s="310">
        <f t="shared" si="14"/>
        <v>0.19784466890013502</v>
      </c>
      <c r="Y81" s="310">
        <f t="shared" si="14"/>
        <v>0.17985878990921364</v>
      </c>
      <c r="Z81" s="310">
        <f t="shared" si="14"/>
        <v>0.16350799082655781</v>
      </c>
      <c r="AA81" s="310">
        <f t="shared" si="14"/>
        <v>0.14864362802414349</v>
      </c>
      <c r="AB81" s="310">
        <f t="shared" si="14"/>
        <v>0.13513057093103953</v>
      </c>
      <c r="AC81" s="310">
        <f t="shared" si="14"/>
        <v>0.12284597357367227</v>
      </c>
      <c r="AD81" s="310">
        <f t="shared" si="14"/>
        <v>0.11167815779424752</v>
      </c>
      <c r="AE81" s="310">
        <f t="shared" si="14"/>
        <v>0.10152559799477048</v>
      </c>
      <c r="AF81" s="310">
        <f t="shared" si="14"/>
        <v>9.2295998177064048E-2</v>
      </c>
      <c r="AG81" s="310">
        <f t="shared" si="14"/>
        <v>8.3905452888240042E-2</v>
      </c>
      <c r="AH81" s="310">
        <f t="shared" si="14"/>
        <v>7.6277684443854576E-2</v>
      </c>
      <c r="AI81" s="310">
        <f t="shared" si="14"/>
        <v>6.9343349494413245E-2</v>
      </c>
      <c r="AJ81" s="310">
        <f t="shared" si="14"/>
        <v>6.3039408631284766E-2</v>
      </c>
      <c r="AK81" s="81">
        <f t="shared" si="14"/>
        <v>5.7308553301167964E-2</v>
      </c>
    </row>
    <row r="82" spans="2:37" x14ac:dyDescent="0.25">
      <c r="B82" s="144" t="s">
        <v>442</v>
      </c>
      <c r="C82" s="310"/>
      <c r="D82" s="314">
        <f>SUM(H82:AK82)</f>
        <v>410749060.67903972</v>
      </c>
      <c r="E82" s="310"/>
      <c r="F82" s="310"/>
      <c r="G82" s="310"/>
      <c r="H82" s="311">
        <f>+H81*H80</f>
        <v>20832251.174410935</v>
      </c>
      <c r="I82" s="311">
        <f t="shared" ref="I82:AK82" si="15">+I81*I80</f>
        <v>35167330.784543775</v>
      </c>
      <c r="J82" s="311">
        <f t="shared" si="15"/>
        <v>31970300.713221606</v>
      </c>
      <c r="K82" s="311">
        <f t="shared" si="15"/>
        <v>29063909.739292368</v>
      </c>
      <c r="L82" s="311">
        <f t="shared" si="15"/>
        <v>26421736.126629423</v>
      </c>
      <c r="M82" s="311">
        <f t="shared" si="15"/>
        <v>24019760.115117658</v>
      </c>
      <c r="N82" s="311">
        <f t="shared" si="15"/>
        <v>21836145.559197865</v>
      </c>
      <c r="O82" s="311">
        <f t="shared" si="15"/>
        <v>19851041.417452607</v>
      </c>
      <c r="P82" s="311">
        <f t="shared" si="15"/>
        <v>18046401.288593277</v>
      </c>
      <c r="Q82" s="311">
        <f t="shared" si="15"/>
        <v>15956051.981190205</v>
      </c>
      <c r="R82" s="311">
        <f t="shared" si="15"/>
        <v>17894881.124218188</v>
      </c>
      <c r="S82" s="311">
        <f t="shared" si="15"/>
        <v>16268073.749289261</v>
      </c>
      <c r="T82" s="311">
        <f t="shared" si="15"/>
        <v>14789157.95389933</v>
      </c>
      <c r="U82" s="311">
        <f t="shared" si="15"/>
        <v>13444689.048999386</v>
      </c>
      <c r="V82" s="311">
        <f t="shared" si="15"/>
        <v>12222444.589999441</v>
      </c>
      <c r="W82" s="311">
        <f t="shared" si="15"/>
        <v>11111313.263635855</v>
      </c>
      <c r="X82" s="311">
        <f t="shared" si="15"/>
        <v>10101193.876032596</v>
      </c>
      <c r="Y82" s="311">
        <f t="shared" si="15"/>
        <v>9182903.5236659963</v>
      </c>
      <c r="Z82" s="311">
        <f t="shared" si="15"/>
        <v>8348094.1124236304</v>
      </c>
      <c r="AA82" s="311">
        <f t="shared" si="15"/>
        <v>7589176.4658396654</v>
      </c>
      <c r="AB82" s="311">
        <f t="shared" si="15"/>
        <v>6899251.3325815136</v>
      </c>
      <c r="AC82" s="311">
        <f t="shared" si="15"/>
        <v>6272046.6659831926</v>
      </c>
      <c r="AD82" s="311">
        <f t="shared" si="15"/>
        <v>5701860.6054392653</v>
      </c>
      <c r="AE82" s="311">
        <f t="shared" si="15"/>
        <v>5183509.6413084241</v>
      </c>
      <c r="AF82" s="311">
        <f t="shared" si="15"/>
        <v>4712281.4920985661</v>
      </c>
      <c r="AG82" s="311">
        <f t="shared" si="15"/>
        <v>4283892.265544151</v>
      </c>
      <c r="AH82" s="311">
        <f t="shared" si="15"/>
        <v>3894447.5141310459</v>
      </c>
      <c r="AI82" s="311">
        <f t="shared" si="15"/>
        <v>3540406.831028223</v>
      </c>
      <c r="AJ82" s="311">
        <f t="shared" si="15"/>
        <v>3218551.6645711116</v>
      </c>
      <c r="AK82" s="152">
        <f t="shared" si="15"/>
        <v>2925956.0587010104</v>
      </c>
    </row>
    <row r="83" spans="2:37" x14ac:dyDescent="0.25">
      <c r="B83" s="144" t="s">
        <v>443</v>
      </c>
      <c r="C83" s="310"/>
      <c r="D83" s="310"/>
      <c r="E83" s="311">
        <f>+SUM(E48,E53,E49)*E81</f>
        <v>46549012.817850329</v>
      </c>
      <c r="F83" s="311">
        <f>+(F48+F53)*F81</f>
        <v>120727740.97696483</v>
      </c>
      <c r="G83" s="311">
        <f>+(G48+G53+G50)*G81</f>
        <v>90977344.286161736</v>
      </c>
      <c r="H83" s="310"/>
      <c r="I83" s="310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10"/>
      <c r="X83" s="310"/>
      <c r="Y83" s="310"/>
      <c r="Z83" s="310"/>
      <c r="AA83" s="310"/>
      <c r="AB83" s="310"/>
      <c r="AC83" s="310"/>
      <c r="AD83" s="310"/>
      <c r="AE83" s="310"/>
      <c r="AF83" s="310"/>
      <c r="AG83" s="310"/>
      <c r="AH83" s="310"/>
      <c r="AI83" s="310"/>
      <c r="AJ83" s="310"/>
      <c r="AK83" s="81"/>
    </row>
    <row r="84" spans="2:37" x14ac:dyDescent="0.25">
      <c r="B84" s="144"/>
      <c r="C84" s="310"/>
      <c r="D84" s="310"/>
      <c r="E84" s="310"/>
      <c r="F84" s="310"/>
      <c r="G84" s="310"/>
      <c r="H84" s="310"/>
      <c r="I84" s="310"/>
      <c r="J84" s="310"/>
      <c r="K84" s="310"/>
      <c r="L84" s="310"/>
      <c r="M84" s="310"/>
      <c r="N84" s="310"/>
      <c r="O84" s="310"/>
      <c r="P84" s="310"/>
      <c r="Q84" s="310"/>
      <c r="R84" s="310"/>
      <c r="S84" s="310"/>
      <c r="T84" s="310"/>
      <c r="U84" s="310"/>
      <c r="V84" s="310"/>
      <c r="W84" s="310"/>
      <c r="X84" s="310"/>
      <c r="Y84" s="310"/>
      <c r="Z84" s="310"/>
      <c r="AA84" s="310"/>
      <c r="AB84" s="310"/>
      <c r="AC84" s="310"/>
      <c r="AD84" s="310"/>
      <c r="AE84" s="310"/>
      <c r="AF84" s="310"/>
      <c r="AG84" s="310"/>
      <c r="AH84" s="310"/>
      <c r="AI84" s="310"/>
      <c r="AJ84" s="310"/>
      <c r="AK84" s="81"/>
    </row>
    <row r="85" spans="2:37" x14ac:dyDescent="0.25">
      <c r="B85" s="144"/>
      <c r="C85" s="310"/>
      <c r="D85" s="310"/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310"/>
      <c r="Y85" s="310"/>
      <c r="Z85" s="310"/>
      <c r="AA85" s="310"/>
      <c r="AB85" s="310"/>
      <c r="AC85" s="310"/>
      <c r="AD85" s="310"/>
      <c r="AE85" s="310"/>
      <c r="AF85" s="310"/>
      <c r="AG85" s="310"/>
      <c r="AH85" s="310"/>
      <c r="AI85" s="310"/>
      <c r="AJ85" s="310"/>
      <c r="AK85" s="81"/>
    </row>
    <row r="86" spans="2:37" x14ac:dyDescent="0.25">
      <c r="B86" s="144" t="s">
        <v>444</v>
      </c>
      <c r="C86" s="310"/>
      <c r="D86" s="314">
        <f>SUM(H86:AK86)</f>
        <v>90687376.791747883</v>
      </c>
      <c r="E86" s="310"/>
      <c r="F86" s="310"/>
      <c r="G86" s="310"/>
      <c r="H86" s="311">
        <f>+H81*H78</f>
        <v>0</v>
      </c>
      <c r="I86" s="311">
        <f t="shared" ref="I86:AK86" si="16">+I81*I78</f>
        <v>0</v>
      </c>
      <c r="J86" s="311">
        <f t="shared" si="16"/>
        <v>0</v>
      </c>
      <c r="K86" s="311">
        <f t="shared" si="16"/>
        <v>0</v>
      </c>
      <c r="L86" s="311">
        <f t="shared" si="16"/>
        <v>0</v>
      </c>
      <c r="M86" s="311">
        <f t="shared" si="16"/>
        <v>0</v>
      </c>
      <c r="N86" s="311">
        <f t="shared" si="16"/>
        <v>0</v>
      </c>
      <c r="O86" s="311">
        <f t="shared" si="16"/>
        <v>0</v>
      </c>
      <c r="P86" s="311">
        <f t="shared" si="16"/>
        <v>0</v>
      </c>
      <c r="Q86" s="311">
        <f t="shared" si="16"/>
        <v>449767.37207640987</v>
      </c>
      <c r="R86" s="311">
        <f t="shared" si="16"/>
        <v>9635705.2207328696</v>
      </c>
      <c r="S86" s="311">
        <f t="shared" si="16"/>
        <v>8759732.0188480634</v>
      </c>
      <c r="T86" s="311">
        <f t="shared" si="16"/>
        <v>7963392.7444073306</v>
      </c>
      <c r="U86" s="311">
        <f t="shared" si="16"/>
        <v>7239447.9494612077</v>
      </c>
      <c r="V86" s="311">
        <f t="shared" si="16"/>
        <v>6581316.3176920069</v>
      </c>
      <c r="W86" s="311">
        <f t="shared" si="16"/>
        <v>5983014.8342654603</v>
      </c>
      <c r="X86" s="311">
        <f t="shared" si="16"/>
        <v>5439104.3947867816</v>
      </c>
      <c r="Y86" s="311">
        <f t="shared" si="16"/>
        <v>4944640.3588970741</v>
      </c>
      <c r="Z86" s="311">
        <f t="shared" si="16"/>
        <v>4495127.5989973387</v>
      </c>
      <c r="AA86" s="311">
        <f t="shared" si="16"/>
        <v>4086479.6354521271</v>
      </c>
      <c r="AB86" s="311">
        <f t="shared" si="16"/>
        <v>3714981.4867746606</v>
      </c>
      <c r="AC86" s="311">
        <f t="shared" si="16"/>
        <v>3377255.8970678728</v>
      </c>
      <c r="AD86" s="311">
        <f t="shared" si="16"/>
        <v>3070232.6336980658</v>
      </c>
      <c r="AE86" s="311">
        <f t="shared" si="16"/>
        <v>2791120.5760891512</v>
      </c>
      <c r="AF86" s="311">
        <f t="shared" si="16"/>
        <v>2537382.3418992278</v>
      </c>
      <c r="AG86" s="311">
        <f t="shared" si="16"/>
        <v>2306711.2199083888</v>
      </c>
      <c r="AH86" s="311">
        <f t="shared" si="16"/>
        <v>2097010.1999167167</v>
      </c>
      <c r="AI86" s="311">
        <f t="shared" si="16"/>
        <v>1906372.9090151968</v>
      </c>
      <c r="AJ86" s="311">
        <f t="shared" si="16"/>
        <v>1733066.2809229062</v>
      </c>
      <c r="AK86" s="152">
        <f t="shared" si="16"/>
        <v>1575514.8008390055</v>
      </c>
    </row>
    <row r="87" spans="2:37" x14ac:dyDescent="0.25">
      <c r="B87" s="144" t="s">
        <v>453</v>
      </c>
      <c r="C87" s="310"/>
      <c r="D87" s="314">
        <f t="shared" ref="D87:D95" si="17">SUM(H87:AK87)</f>
        <v>1130700623.0943005</v>
      </c>
      <c r="E87" s="310"/>
      <c r="F87" s="310"/>
      <c r="G87" s="310"/>
      <c r="H87" s="313">
        <f t="shared" ref="H87:AK87" si="18">+H81*H57</f>
        <v>83800246.230314121</v>
      </c>
      <c r="I87" s="313">
        <f t="shared" si="18"/>
        <v>101576056.03674437</v>
      </c>
      <c r="J87" s="313">
        <f t="shared" si="18"/>
        <v>92341869.124313042</v>
      </c>
      <c r="K87" s="313">
        <f t="shared" si="18"/>
        <v>83947153.749375507</v>
      </c>
      <c r="L87" s="313">
        <f t="shared" si="18"/>
        <v>76315594.317614079</v>
      </c>
      <c r="M87" s="313">
        <f t="shared" si="18"/>
        <v>69377813.016012803</v>
      </c>
      <c r="N87" s="313">
        <f t="shared" si="18"/>
        <v>63070739.105466172</v>
      </c>
      <c r="O87" s="313">
        <f t="shared" si="18"/>
        <v>57337035.550423793</v>
      </c>
      <c r="P87" s="313">
        <f t="shared" si="18"/>
        <v>52124577.773112535</v>
      </c>
      <c r="Q87" s="313">
        <f t="shared" si="18"/>
        <v>47385979.793738663</v>
      </c>
      <c r="R87" s="313">
        <f t="shared" si="18"/>
        <v>43078163.448853329</v>
      </c>
      <c r="S87" s="313">
        <f t="shared" si="18"/>
        <v>39161966.771684848</v>
      </c>
      <c r="T87" s="313">
        <f t="shared" si="18"/>
        <v>35601787.974258952</v>
      </c>
      <c r="U87" s="313">
        <f t="shared" si="18"/>
        <v>32365261.794780854</v>
      </c>
      <c r="V87" s="313">
        <f t="shared" si="18"/>
        <v>29422965.267982595</v>
      </c>
      <c r="W87" s="313">
        <f t="shared" si="18"/>
        <v>26748150.243620541</v>
      </c>
      <c r="X87" s="313">
        <f t="shared" si="18"/>
        <v>24316500.221473217</v>
      </c>
      <c r="Y87" s="313">
        <f t="shared" si="18"/>
        <v>22105909.292248376</v>
      </c>
      <c r="Z87" s="313">
        <f t="shared" si="18"/>
        <v>20096281.174771246</v>
      </c>
      <c r="AA87" s="313">
        <f t="shared" si="18"/>
        <v>18269346.52251932</v>
      </c>
      <c r="AB87" s="313">
        <f t="shared" si="18"/>
        <v>16608496.838653924</v>
      </c>
      <c r="AC87" s="313">
        <f t="shared" si="18"/>
        <v>15098633.489685383</v>
      </c>
      <c r="AD87" s="313">
        <f t="shared" si="18"/>
        <v>13726030.445168529</v>
      </c>
      <c r="AE87" s="313">
        <f t="shared" si="18"/>
        <v>12478209.495607756</v>
      </c>
      <c r="AF87" s="313">
        <f t="shared" si="18"/>
        <v>11343826.814188866</v>
      </c>
      <c r="AG87" s="313">
        <f t="shared" si="18"/>
        <v>10312569.831080787</v>
      </c>
      <c r="AH87" s="313">
        <f t="shared" si="18"/>
        <v>9375063.4828007147</v>
      </c>
      <c r="AI87" s="313">
        <f t="shared" si="18"/>
        <v>8522784.9843642842</v>
      </c>
      <c r="AJ87" s="313">
        <f t="shared" si="18"/>
        <v>7747986.3494220767</v>
      </c>
      <c r="AK87" s="159">
        <f t="shared" si="18"/>
        <v>7043623.954020069</v>
      </c>
    </row>
    <row r="88" spans="2:37" x14ac:dyDescent="0.25">
      <c r="B88" s="144" t="str">
        <f>CONCATENATE("NPV ", B5)</f>
        <v>NPV Electricity</v>
      </c>
      <c r="C88" s="310"/>
      <c r="D88" s="314">
        <f t="shared" si="17"/>
        <v>54103640.757077374</v>
      </c>
      <c r="E88" s="310"/>
      <c r="F88" s="310"/>
      <c r="G88" s="310"/>
      <c r="H88" s="313">
        <f t="shared" ref="H88:AK95" si="19">H61*H$81</f>
        <v>4009813.3182167835</v>
      </c>
      <c r="I88" s="313">
        <f t="shared" si="19"/>
        <v>4860379.7796567064</v>
      </c>
      <c r="J88" s="313">
        <f t="shared" si="19"/>
        <v>4418527.072415187</v>
      </c>
      <c r="K88" s="313">
        <f t="shared" si="19"/>
        <v>4016842.7931047156</v>
      </c>
      <c r="L88" s="313">
        <f t="shared" si="19"/>
        <v>3651675.2664588317</v>
      </c>
      <c r="M88" s="313">
        <f t="shared" si="19"/>
        <v>3319704.7876898469</v>
      </c>
      <c r="N88" s="313">
        <f t="shared" si="19"/>
        <v>3017913.4433544059</v>
      </c>
      <c r="O88" s="313">
        <f t="shared" si="19"/>
        <v>2743557.6757767326</v>
      </c>
      <c r="P88" s="313">
        <f t="shared" si="19"/>
        <v>2494143.3416152112</v>
      </c>
      <c r="Q88" s="313">
        <f t="shared" si="19"/>
        <v>2267403.0378320101</v>
      </c>
      <c r="R88" s="313">
        <f t="shared" si="19"/>
        <v>2061275.4889381907</v>
      </c>
      <c r="S88" s="313">
        <f t="shared" si="19"/>
        <v>1873886.8081256282</v>
      </c>
      <c r="T88" s="313">
        <f t="shared" si="19"/>
        <v>1703533.4619323893</v>
      </c>
      <c r="U88" s="313">
        <f t="shared" si="19"/>
        <v>1548666.7835748987</v>
      </c>
      <c r="V88" s="313">
        <f t="shared" si="19"/>
        <v>1407878.894158999</v>
      </c>
      <c r="W88" s="313">
        <f t="shared" si="19"/>
        <v>1279889.9037809081</v>
      </c>
      <c r="X88" s="313">
        <f t="shared" si="19"/>
        <v>1163536.2761644619</v>
      </c>
      <c r="Y88" s="313">
        <f t="shared" si="19"/>
        <v>1057760.2510586015</v>
      </c>
      <c r="Z88" s="313">
        <f t="shared" si="19"/>
        <v>961600.22823509213</v>
      </c>
      <c r="AA88" s="313">
        <f t="shared" si="19"/>
        <v>874182.02566826565</v>
      </c>
      <c r="AB88" s="313">
        <f t="shared" si="19"/>
        <v>794710.93242569605</v>
      </c>
      <c r="AC88" s="313">
        <f t="shared" si="19"/>
        <v>722464.48402335984</v>
      </c>
      <c r="AD88" s="313">
        <f t="shared" si="19"/>
        <v>656785.89456669078</v>
      </c>
      <c r="AE88" s="313">
        <f t="shared" si="19"/>
        <v>597078.08596971899</v>
      </c>
      <c r="AF88" s="313">
        <f t="shared" si="19"/>
        <v>542798.25997247163</v>
      </c>
      <c r="AG88" s="313">
        <f t="shared" si="19"/>
        <v>493452.96361133782</v>
      </c>
      <c r="AH88" s="313">
        <f t="shared" si="19"/>
        <v>448593.60328303435</v>
      </c>
      <c r="AI88" s="313">
        <f t="shared" si="19"/>
        <v>407812.36662094027</v>
      </c>
      <c r="AJ88" s="313">
        <f t="shared" si="19"/>
        <v>370738.51510994567</v>
      </c>
      <c r="AK88" s="159">
        <f t="shared" si="19"/>
        <v>337035.01373631426</v>
      </c>
    </row>
    <row r="89" spans="2:37" x14ac:dyDescent="0.25">
      <c r="B89" s="144" t="str">
        <f t="shared" ref="B89:B94" si="20">CONCATENATE("NPV ", B6)</f>
        <v>NPV Ammonia</v>
      </c>
      <c r="C89" s="310"/>
      <c r="D89" s="314">
        <f t="shared" si="17"/>
        <v>34768437.903311022</v>
      </c>
      <c r="E89" s="310"/>
      <c r="F89" s="310"/>
      <c r="G89" s="310"/>
      <c r="H89" s="313">
        <f t="shared" si="19"/>
        <v>2576812.6397307692</v>
      </c>
      <c r="I89" s="313">
        <f t="shared" si="19"/>
        <v>3123409.2602797197</v>
      </c>
      <c r="J89" s="313">
        <f t="shared" si="19"/>
        <v>2839462.963890654</v>
      </c>
      <c r="K89" s="313">
        <f t="shared" si="19"/>
        <v>2581329.9671733221</v>
      </c>
      <c r="L89" s="313">
        <f t="shared" si="19"/>
        <v>2346663.6065212013</v>
      </c>
      <c r="M89" s="313">
        <f t="shared" si="19"/>
        <v>2133330.5513829105</v>
      </c>
      <c r="N89" s="313">
        <f t="shared" si="19"/>
        <v>1939391.4103480999</v>
      </c>
      <c r="O89" s="313">
        <f t="shared" si="19"/>
        <v>1763083.1003164544</v>
      </c>
      <c r="P89" s="313">
        <f t="shared" si="19"/>
        <v>1602802.8184695041</v>
      </c>
      <c r="Q89" s="313">
        <f t="shared" si="19"/>
        <v>1457093.4713359126</v>
      </c>
      <c r="R89" s="313">
        <f t="shared" si="19"/>
        <v>1324630.4284871931</v>
      </c>
      <c r="S89" s="313">
        <f t="shared" si="19"/>
        <v>1204209.480442903</v>
      </c>
      <c r="T89" s="313">
        <f t="shared" si="19"/>
        <v>1094735.89131173</v>
      </c>
      <c r="U89" s="313">
        <f t="shared" si="19"/>
        <v>995214.44664702693</v>
      </c>
      <c r="V89" s="313">
        <f t="shared" si="19"/>
        <v>904740.40604275174</v>
      </c>
      <c r="W89" s="313">
        <f t="shared" si="19"/>
        <v>822491.27822068334</v>
      </c>
      <c r="X89" s="313">
        <f t="shared" si="19"/>
        <v>747719.34383698483</v>
      </c>
      <c r="Y89" s="313">
        <f t="shared" si="19"/>
        <v>679744.8580336225</v>
      </c>
      <c r="Z89" s="313">
        <f t="shared" si="19"/>
        <v>617949.87093965674</v>
      </c>
      <c r="AA89" s="313">
        <f t="shared" si="19"/>
        <v>561772.60994514253</v>
      </c>
      <c r="AB89" s="313">
        <f t="shared" si="19"/>
        <v>510702.37267740228</v>
      </c>
      <c r="AC89" s="313">
        <f t="shared" si="19"/>
        <v>464274.88425218378</v>
      </c>
      <c r="AD89" s="313">
        <f t="shared" si="19"/>
        <v>422068.07659289433</v>
      </c>
      <c r="AE89" s="313">
        <f t="shared" si="19"/>
        <v>383698.25144808582</v>
      </c>
      <c r="AF89" s="313">
        <f t="shared" si="19"/>
        <v>348816.59222553245</v>
      </c>
      <c r="AG89" s="313">
        <f t="shared" si="19"/>
        <v>317105.99293230224</v>
      </c>
      <c r="AH89" s="313">
        <f t="shared" si="19"/>
        <v>288278.17539300199</v>
      </c>
      <c r="AI89" s="313">
        <f t="shared" si="19"/>
        <v>262071.0685390927</v>
      </c>
      <c r="AJ89" s="313">
        <f t="shared" si="19"/>
        <v>238246.42594462971</v>
      </c>
      <c r="AK89" s="159">
        <f t="shared" si="19"/>
        <v>216587.65994966336</v>
      </c>
    </row>
    <row r="90" spans="2:37" x14ac:dyDescent="0.25">
      <c r="B90" s="144" t="str">
        <f t="shared" si="20"/>
        <v>NPV DAP</v>
      </c>
      <c r="C90" s="310"/>
      <c r="D90" s="314">
        <f t="shared" si="17"/>
        <v>16118520.345261011</v>
      </c>
      <c r="E90" s="310"/>
      <c r="F90" s="310"/>
      <c r="G90" s="310"/>
      <c r="H90" s="313">
        <f t="shared" si="19"/>
        <v>1194600.8927674824</v>
      </c>
      <c r="I90" s="313">
        <f t="shared" si="19"/>
        <v>1448001.0821424027</v>
      </c>
      <c r="J90" s="313">
        <f t="shared" si="19"/>
        <v>1316364.6201294567</v>
      </c>
      <c r="K90" s="313">
        <f t="shared" si="19"/>
        <v>1196695.1092085971</v>
      </c>
      <c r="L90" s="313">
        <f t="shared" si="19"/>
        <v>1087904.6447350881</v>
      </c>
      <c r="M90" s="313">
        <f t="shared" si="19"/>
        <v>989004.2224864437</v>
      </c>
      <c r="N90" s="313">
        <f t="shared" si="19"/>
        <v>899094.74771494861</v>
      </c>
      <c r="O90" s="313">
        <f t="shared" si="19"/>
        <v>817358.86155904422</v>
      </c>
      <c r="P90" s="313">
        <f t="shared" si="19"/>
        <v>743053.51050822204</v>
      </c>
      <c r="Q90" s="313">
        <f t="shared" si="19"/>
        <v>675503.19137111085</v>
      </c>
      <c r="R90" s="313">
        <f t="shared" si="19"/>
        <v>614093.8103373734</v>
      </c>
      <c r="S90" s="313">
        <f t="shared" si="19"/>
        <v>558267.10030670313</v>
      </c>
      <c r="T90" s="313">
        <f t="shared" si="19"/>
        <v>507515.54573336651</v>
      </c>
      <c r="U90" s="313">
        <f t="shared" si="19"/>
        <v>461377.76884851488</v>
      </c>
      <c r="V90" s="313">
        <f t="shared" si="19"/>
        <v>419434.33531683171</v>
      </c>
      <c r="W90" s="313">
        <f t="shared" si="19"/>
        <v>381303.94119711971</v>
      </c>
      <c r="X90" s="313">
        <f t="shared" si="19"/>
        <v>346639.94654283609</v>
      </c>
      <c r="Y90" s="313">
        <f t="shared" si="19"/>
        <v>315127.22412985098</v>
      </c>
      <c r="Z90" s="313">
        <f t="shared" si="19"/>
        <v>286479.2946635008</v>
      </c>
      <c r="AA90" s="313">
        <f t="shared" si="19"/>
        <v>260435.72242136442</v>
      </c>
      <c r="AB90" s="313">
        <f t="shared" si="19"/>
        <v>236759.74765578582</v>
      </c>
      <c r="AC90" s="313">
        <f t="shared" si="19"/>
        <v>215236.13423253252</v>
      </c>
      <c r="AD90" s="313">
        <f t="shared" si="19"/>
        <v>195669.21293866591</v>
      </c>
      <c r="AE90" s="313">
        <f t="shared" si="19"/>
        <v>177881.1026715145</v>
      </c>
      <c r="AF90" s="313">
        <f t="shared" si="19"/>
        <v>161710.0933377404</v>
      </c>
      <c r="AG90" s="313">
        <f t="shared" si="19"/>
        <v>147009.17576158218</v>
      </c>
      <c r="AH90" s="313">
        <f t="shared" si="19"/>
        <v>133644.70523780197</v>
      </c>
      <c r="AI90" s="313">
        <f t="shared" si="19"/>
        <v>121495.18657981996</v>
      </c>
      <c r="AJ90" s="313">
        <f t="shared" si="19"/>
        <v>110450.16961801813</v>
      </c>
      <c r="AK90" s="159">
        <f t="shared" si="19"/>
        <v>100409.24510728921</v>
      </c>
    </row>
    <row r="91" spans="2:37" x14ac:dyDescent="0.25">
      <c r="B91" s="144" t="str">
        <f t="shared" si="20"/>
        <v>NPV Cultivation CO2</v>
      </c>
      <c r="C91" s="310"/>
      <c r="D91" s="314">
        <f t="shared" si="17"/>
        <v>175921464.86155123</v>
      </c>
      <c r="E91" s="310"/>
      <c r="F91" s="310"/>
      <c r="G91" s="310"/>
      <c r="H91" s="313">
        <f t="shared" si="19"/>
        <v>13038165.692569928</v>
      </c>
      <c r="I91" s="313">
        <f t="shared" si="19"/>
        <v>15803837.203115063</v>
      </c>
      <c r="J91" s="313">
        <f t="shared" si="19"/>
        <v>14367124.730104599</v>
      </c>
      <c r="K91" s="313">
        <f t="shared" si="19"/>
        <v>13061022.481913274</v>
      </c>
      <c r="L91" s="313">
        <f t="shared" si="19"/>
        <v>11873656.801739337</v>
      </c>
      <c r="M91" s="313">
        <f t="shared" si="19"/>
        <v>10794233.456126671</v>
      </c>
      <c r="N91" s="313">
        <f t="shared" si="19"/>
        <v>9812939.5055696983</v>
      </c>
      <c r="O91" s="313">
        <f t="shared" si="19"/>
        <v>8920854.0959724542</v>
      </c>
      <c r="P91" s="313">
        <f t="shared" si="19"/>
        <v>8109867.3599749571</v>
      </c>
      <c r="Q91" s="313">
        <f t="shared" si="19"/>
        <v>7372606.6908863243</v>
      </c>
      <c r="R91" s="313">
        <f t="shared" si="19"/>
        <v>6702369.7189875664</v>
      </c>
      <c r="S91" s="313">
        <f t="shared" si="19"/>
        <v>6093063.3808977883</v>
      </c>
      <c r="T91" s="313">
        <f t="shared" si="19"/>
        <v>5539148.5280888984</v>
      </c>
      <c r="U91" s="313">
        <f t="shared" si="19"/>
        <v>5035589.5709899059</v>
      </c>
      <c r="V91" s="313">
        <f t="shared" si="19"/>
        <v>4577808.7008999148</v>
      </c>
      <c r="W91" s="313">
        <f t="shared" si="19"/>
        <v>4161644.273545377</v>
      </c>
      <c r="X91" s="313">
        <f t="shared" si="19"/>
        <v>3783312.9759503426</v>
      </c>
      <c r="Y91" s="313">
        <f t="shared" si="19"/>
        <v>3439375.4326821291</v>
      </c>
      <c r="Z91" s="313">
        <f t="shared" si="19"/>
        <v>3126704.9388019349</v>
      </c>
      <c r="AA91" s="313">
        <f t="shared" si="19"/>
        <v>2842459.0352744865</v>
      </c>
      <c r="AB91" s="313">
        <f t="shared" si="19"/>
        <v>2584053.6684313514</v>
      </c>
      <c r="AC91" s="313">
        <f t="shared" si="19"/>
        <v>2349139.6985739553</v>
      </c>
      <c r="AD91" s="313">
        <f t="shared" si="19"/>
        <v>2135581.5441581411</v>
      </c>
      <c r="AE91" s="313">
        <f t="shared" si="19"/>
        <v>1941437.7674164921</v>
      </c>
      <c r="AF91" s="313">
        <f t="shared" si="19"/>
        <v>1764943.4249240833</v>
      </c>
      <c r="AG91" s="313">
        <f t="shared" si="19"/>
        <v>1604494.0226582575</v>
      </c>
      <c r="AH91" s="313">
        <f t="shared" si="19"/>
        <v>1458630.9296893249</v>
      </c>
      <c r="AI91" s="313">
        <f t="shared" si="19"/>
        <v>1326028.117899386</v>
      </c>
      <c r="AJ91" s="313">
        <f t="shared" si="19"/>
        <v>1205480.1071812601</v>
      </c>
      <c r="AK91" s="159">
        <f t="shared" si="19"/>
        <v>1095891.006528418</v>
      </c>
    </row>
    <row r="92" spans="2:37" x14ac:dyDescent="0.25">
      <c r="B92" s="144" t="str">
        <f t="shared" si="20"/>
        <v>NPV Labor</v>
      </c>
      <c r="C92" s="310"/>
      <c r="D92" s="314">
        <f t="shared" si="17"/>
        <v>40121702.427610449</v>
      </c>
      <c r="E92" s="310"/>
      <c r="F92" s="310"/>
      <c r="G92" s="310"/>
      <c r="H92" s="313">
        <f t="shared" si="19"/>
        <v>2973562.1206363635</v>
      </c>
      <c r="I92" s="313">
        <f t="shared" si="19"/>
        <v>3604317.7219834705</v>
      </c>
      <c r="J92" s="313">
        <f t="shared" si="19"/>
        <v>3276652.4745304273</v>
      </c>
      <c r="K92" s="313">
        <f t="shared" si="19"/>
        <v>2978774.9768458433</v>
      </c>
      <c r="L92" s="313">
        <f t="shared" si="19"/>
        <v>2707977.2516780389</v>
      </c>
      <c r="M92" s="313">
        <f t="shared" si="19"/>
        <v>2461797.5015254896</v>
      </c>
      <c r="N92" s="313">
        <f t="shared" si="19"/>
        <v>2237997.7286595358</v>
      </c>
      <c r="O92" s="313">
        <f t="shared" si="19"/>
        <v>2034543.3896904869</v>
      </c>
      <c r="P92" s="313">
        <f t="shared" si="19"/>
        <v>1849584.8997186245</v>
      </c>
      <c r="Q92" s="313">
        <f t="shared" si="19"/>
        <v>1681440.8179260222</v>
      </c>
      <c r="R92" s="313">
        <f t="shared" si="19"/>
        <v>1528582.5617509291</v>
      </c>
      <c r="S92" s="313">
        <f t="shared" si="19"/>
        <v>1389620.5106826627</v>
      </c>
      <c r="T92" s="313">
        <f t="shared" si="19"/>
        <v>1263291.3733478752</v>
      </c>
      <c r="U92" s="313">
        <f t="shared" si="19"/>
        <v>1148446.7030435225</v>
      </c>
      <c r="V92" s="313">
        <f t="shared" si="19"/>
        <v>1044042.4573122934</v>
      </c>
      <c r="W92" s="313">
        <f t="shared" si="19"/>
        <v>949129.50664753933</v>
      </c>
      <c r="X92" s="313">
        <f t="shared" si="19"/>
        <v>862845.00604321761</v>
      </c>
      <c r="Y92" s="313">
        <f t="shared" si="19"/>
        <v>784404.55094837956</v>
      </c>
      <c r="Z92" s="313">
        <f t="shared" si="19"/>
        <v>713095.04631670844</v>
      </c>
      <c r="AA92" s="313">
        <f t="shared" si="19"/>
        <v>648268.22392428061</v>
      </c>
      <c r="AB92" s="313">
        <f t="shared" si="19"/>
        <v>589334.74902207323</v>
      </c>
      <c r="AC92" s="313">
        <f t="shared" si="19"/>
        <v>535758.86274733918</v>
      </c>
      <c r="AD92" s="313">
        <f t="shared" si="19"/>
        <v>487053.5115884901</v>
      </c>
      <c r="AE92" s="313">
        <f t="shared" si="19"/>
        <v>442775.91962590016</v>
      </c>
      <c r="AF92" s="313">
        <f t="shared" si="19"/>
        <v>402523.56329627277</v>
      </c>
      <c r="AG92" s="313">
        <f t="shared" si="19"/>
        <v>365930.51208752068</v>
      </c>
      <c r="AH92" s="313">
        <f t="shared" si="19"/>
        <v>332664.10189774603</v>
      </c>
      <c r="AI92" s="313">
        <f t="shared" si="19"/>
        <v>302421.91081613273</v>
      </c>
      <c r="AJ92" s="313">
        <f t="shared" si="19"/>
        <v>274929.00983284792</v>
      </c>
      <c r="AK92" s="159">
        <f t="shared" si="19"/>
        <v>249935.4634844072</v>
      </c>
    </row>
    <row r="93" spans="2:37" x14ac:dyDescent="0.25">
      <c r="B93" s="144" t="str">
        <f t="shared" si="20"/>
        <v>NPV Labor Burdens</v>
      </c>
      <c r="C93" s="310"/>
      <c r="D93" s="314">
        <f t="shared" si="17"/>
        <v>36109532.185401388</v>
      </c>
      <c r="E93" s="310"/>
      <c r="F93" s="310"/>
      <c r="G93" s="310"/>
      <c r="H93" s="313">
        <f t="shared" si="19"/>
        <v>2676205.9086136366</v>
      </c>
      <c r="I93" s="313">
        <f t="shared" si="19"/>
        <v>3243885.9498347109</v>
      </c>
      <c r="J93" s="313">
        <f t="shared" si="19"/>
        <v>2948987.2271224642</v>
      </c>
      <c r="K93" s="313">
        <f t="shared" si="19"/>
        <v>2680897.4792022402</v>
      </c>
      <c r="L93" s="313">
        <f t="shared" si="19"/>
        <v>2437179.5265474906</v>
      </c>
      <c r="M93" s="313">
        <f t="shared" si="19"/>
        <v>2215617.7514068098</v>
      </c>
      <c r="N93" s="313">
        <f t="shared" si="19"/>
        <v>2014197.9558243721</v>
      </c>
      <c r="O93" s="313">
        <f t="shared" si="19"/>
        <v>1831089.0507494293</v>
      </c>
      <c r="P93" s="313">
        <f t="shared" si="19"/>
        <v>1664626.4097722082</v>
      </c>
      <c r="Q93" s="313">
        <f t="shared" si="19"/>
        <v>1513296.7361565528</v>
      </c>
      <c r="R93" s="313">
        <f t="shared" si="19"/>
        <v>1375724.3055968659</v>
      </c>
      <c r="S93" s="313">
        <f t="shared" si="19"/>
        <v>1250658.4596335145</v>
      </c>
      <c r="T93" s="313">
        <f t="shared" si="19"/>
        <v>1136962.2360304678</v>
      </c>
      <c r="U93" s="313">
        <f t="shared" si="19"/>
        <v>1033602.0327549705</v>
      </c>
      <c r="V93" s="313">
        <f t="shared" si="19"/>
        <v>939638.21159542771</v>
      </c>
      <c r="W93" s="313">
        <f t="shared" si="19"/>
        <v>854216.55599584337</v>
      </c>
      <c r="X93" s="313">
        <f t="shared" si="19"/>
        <v>776560.50545076665</v>
      </c>
      <c r="Y93" s="313">
        <f t="shared" si="19"/>
        <v>705964.09586433321</v>
      </c>
      <c r="Z93" s="313">
        <f t="shared" si="19"/>
        <v>641785.54169484822</v>
      </c>
      <c r="AA93" s="313">
        <f t="shared" si="19"/>
        <v>583441.40154077124</v>
      </c>
      <c r="AB93" s="313">
        <f t="shared" si="19"/>
        <v>530401.27412797383</v>
      </c>
      <c r="AC93" s="313">
        <f t="shared" si="19"/>
        <v>482182.97647997609</v>
      </c>
      <c r="AD93" s="313">
        <f t="shared" si="19"/>
        <v>438348.16043634189</v>
      </c>
      <c r="AE93" s="313">
        <f t="shared" si="19"/>
        <v>398498.32766940177</v>
      </c>
      <c r="AF93" s="313">
        <f t="shared" si="19"/>
        <v>362271.20697218331</v>
      </c>
      <c r="AG93" s="313">
        <f t="shared" si="19"/>
        <v>329337.46088380303</v>
      </c>
      <c r="AH93" s="313">
        <f t="shared" si="19"/>
        <v>299397.69171254814</v>
      </c>
      <c r="AI93" s="313">
        <f t="shared" si="19"/>
        <v>272179.71973868011</v>
      </c>
      <c r="AJ93" s="313">
        <f t="shared" si="19"/>
        <v>247436.10885334556</v>
      </c>
      <c r="AK93" s="159">
        <f t="shared" si="19"/>
        <v>224941.91713940504</v>
      </c>
    </row>
    <row r="94" spans="2:37" x14ac:dyDescent="0.25">
      <c r="B94" s="144" t="str">
        <f t="shared" si="20"/>
        <v>NPV Maintenance</v>
      </c>
      <c r="C94" s="310"/>
      <c r="D94" s="314">
        <f t="shared" si="17"/>
        <v>25020579.560224131</v>
      </c>
      <c r="E94" s="310"/>
      <c r="F94" s="310"/>
      <c r="G94" s="310"/>
      <c r="H94" s="313">
        <f t="shared" si="19"/>
        <v>1854364.1748723777</v>
      </c>
      <c r="I94" s="313">
        <f t="shared" si="19"/>
        <v>2247714.1513604578</v>
      </c>
      <c r="J94" s="313">
        <f t="shared" si="19"/>
        <v>2043376.5012367791</v>
      </c>
      <c r="K94" s="313">
        <f t="shared" si="19"/>
        <v>1857615.0011243448</v>
      </c>
      <c r="L94" s="313">
        <f t="shared" si="19"/>
        <v>1688740.9101130406</v>
      </c>
      <c r="M94" s="313">
        <f t="shared" si="19"/>
        <v>1535219.0091936733</v>
      </c>
      <c r="N94" s="313">
        <f t="shared" si="19"/>
        <v>1395653.6447215208</v>
      </c>
      <c r="O94" s="313">
        <f t="shared" si="19"/>
        <v>1268776.040655928</v>
      </c>
      <c r="P94" s="313">
        <f t="shared" si="19"/>
        <v>1153432.7642326618</v>
      </c>
      <c r="Q94" s="313">
        <f t="shared" si="19"/>
        <v>1048575.2402115107</v>
      </c>
      <c r="R94" s="313">
        <f t="shared" si="19"/>
        <v>953250.2183741004</v>
      </c>
      <c r="S94" s="313">
        <f t="shared" si="19"/>
        <v>866591.1076128186</v>
      </c>
      <c r="T94" s="313">
        <f t="shared" si="19"/>
        <v>787810.09782983514</v>
      </c>
      <c r="U94" s="313">
        <f t="shared" si="19"/>
        <v>716190.9980271227</v>
      </c>
      <c r="V94" s="313">
        <f t="shared" si="19"/>
        <v>651082.72547920235</v>
      </c>
      <c r="W94" s="313">
        <f t="shared" si="19"/>
        <v>591893.38679927494</v>
      </c>
      <c r="X94" s="313">
        <f t="shared" si="19"/>
        <v>538084.89709024993</v>
      </c>
      <c r="Y94" s="313">
        <f t="shared" si="19"/>
        <v>489168.08826386346</v>
      </c>
      <c r="Z94" s="313">
        <f t="shared" si="19"/>
        <v>444698.26205805759</v>
      </c>
      <c r="AA94" s="313">
        <f t="shared" si="19"/>
        <v>404271.14732550696</v>
      </c>
      <c r="AB94" s="313">
        <f t="shared" si="19"/>
        <v>367519.22484136996</v>
      </c>
      <c r="AC94" s="313">
        <f t="shared" si="19"/>
        <v>334108.38621942716</v>
      </c>
      <c r="AD94" s="313">
        <f t="shared" si="19"/>
        <v>303734.89656311559</v>
      </c>
      <c r="AE94" s="313">
        <f t="shared" si="19"/>
        <v>276122.63323919603</v>
      </c>
      <c r="AF94" s="313">
        <f t="shared" si="19"/>
        <v>251020.57567199631</v>
      </c>
      <c r="AG94" s="313">
        <f t="shared" si="19"/>
        <v>228200.52333817846</v>
      </c>
      <c r="AH94" s="313">
        <f t="shared" si="19"/>
        <v>207455.02121652587</v>
      </c>
      <c r="AI94" s="313">
        <f t="shared" si="19"/>
        <v>188595.47383320529</v>
      </c>
      <c r="AJ94" s="313">
        <f t="shared" si="19"/>
        <v>171450.43075745937</v>
      </c>
      <c r="AK94" s="159">
        <f t="shared" si="19"/>
        <v>155864.02796132668</v>
      </c>
    </row>
    <row r="95" spans="2:37" x14ac:dyDescent="0.25">
      <c r="B95" s="144" t="str">
        <f>CONCATENATE("NPV ", B12)</f>
        <v>NPV Property Tax and Insurance</v>
      </c>
      <c r="C95" s="310"/>
      <c r="D95" s="314">
        <f t="shared" si="17"/>
        <v>25923508.040014189</v>
      </c>
      <c r="E95" s="310"/>
      <c r="F95" s="310"/>
      <c r="G95" s="310"/>
      <c r="H95" s="313">
        <f t="shared" si="19"/>
        <v>1921283.4171451048</v>
      </c>
      <c r="I95" s="313">
        <f t="shared" si="19"/>
        <v>2328828.3844183087</v>
      </c>
      <c r="J95" s="313">
        <f t="shared" si="19"/>
        <v>2117116.7131075528</v>
      </c>
      <c r="K95" s="313">
        <f t="shared" si="19"/>
        <v>1924651.5573705025</v>
      </c>
      <c r="L95" s="313">
        <f t="shared" si="19"/>
        <v>1749683.2339731839</v>
      </c>
      <c r="M95" s="313">
        <f t="shared" si="19"/>
        <v>1590621.1217938035</v>
      </c>
      <c r="N95" s="313">
        <f t="shared" si="19"/>
        <v>1446019.2016307302</v>
      </c>
      <c r="O95" s="313">
        <f t="shared" si="19"/>
        <v>1314562.9105733912</v>
      </c>
      <c r="P95" s="313">
        <f t="shared" si="19"/>
        <v>1195057.1914303557</v>
      </c>
      <c r="Q95" s="313">
        <f t="shared" si="19"/>
        <v>1086415.6285730505</v>
      </c>
      <c r="R95" s="313">
        <f t="shared" si="19"/>
        <v>987650.57143004565</v>
      </c>
      <c r="S95" s="313">
        <f t="shared" si="19"/>
        <v>897864.15584549611</v>
      </c>
      <c r="T95" s="313">
        <f t="shared" si="19"/>
        <v>816240.14167772373</v>
      </c>
      <c r="U95" s="313">
        <f t="shared" si="19"/>
        <v>742036.49243429408</v>
      </c>
      <c r="V95" s="313">
        <f t="shared" si="19"/>
        <v>674578.62948572193</v>
      </c>
      <c r="W95" s="313">
        <f t="shared" si="19"/>
        <v>613253.29953247448</v>
      </c>
      <c r="X95" s="313">
        <f t="shared" si="19"/>
        <v>557502.99957497674</v>
      </c>
      <c r="Y95" s="313">
        <f t="shared" si="19"/>
        <v>506820.90870452428</v>
      </c>
      <c r="Z95" s="313">
        <f t="shared" si="19"/>
        <v>460746.2806404765</v>
      </c>
      <c r="AA95" s="313">
        <f t="shared" si="19"/>
        <v>418860.25512770598</v>
      </c>
      <c r="AB95" s="313">
        <f t="shared" si="19"/>
        <v>380782.05011609633</v>
      </c>
      <c r="AC95" s="313">
        <f t="shared" si="19"/>
        <v>346165.50010554201</v>
      </c>
      <c r="AD95" s="313">
        <f t="shared" si="19"/>
        <v>314695.90918685636</v>
      </c>
      <c r="AE95" s="313">
        <f t="shared" si="19"/>
        <v>286087.19016986946</v>
      </c>
      <c r="AF95" s="313">
        <f t="shared" si="19"/>
        <v>260079.26379079037</v>
      </c>
      <c r="AG95" s="313">
        <f t="shared" si="19"/>
        <v>236435.69435526396</v>
      </c>
      <c r="AH95" s="313">
        <f t="shared" si="19"/>
        <v>214941.54032296722</v>
      </c>
      <c r="AI95" s="313">
        <f t="shared" si="19"/>
        <v>195401.40029360654</v>
      </c>
      <c r="AJ95" s="313">
        <f t="shared" si="19"/>
        <v>177637.63663055139</v>
      </c>
      <c r="AK95" s="159">
        <f t="shared" si="19"/>
        <v>161488.76057322853</v>
      </c>
    </row>
    <row r="96" spans="2:37" x14ac:dyDescent="0.25">
      <c r="B96" s="144" t="s">
        <v>452</v>
      </c>
      <c r="C96" s="310"/>
      <c r="D96" s="314">
        <f>SUM(E96:G96)</f>
        <v>173388326.24305877</v>
      </c>
      <c r="E96" s="315">
        <f>E48*E81</f>
        <v>15586914.914866354</v>
      </c>
      <c r="F96" s="315">
        <f>F48*F81</f>
        <v>106274419.87408876</v>
      </c>
      <c r="G96" s="315">
        <f>G48*G81</f>
        <v>51526991.454103641</v>
      </c>
      <c r="H96" s="310"/>
      <c r="I96" s="310"/>
      <c r="J96" s="310"/>
      <c r="K96" s="310"/>
      <c r="L96" s="310"/>
      <c r="M96" s="310"/>
      <c r="N96" s="310"/>
      <c r="O96" s="310"/>
      <c r="P96" s="310"/>
      <c r="Q96" s="310"/>
      <c r="R96" s="310"/>
      <c r="S96" s="310"/>
      <c r="T96" s="310"/>
      <c r="U96" s="310"/>
      <c r="V96" s="310"/>
      <c r="W96" s="310"/>
      <c r="X96" s="310"/>
      <c r="Y96" s="310"/>
      <c r="Z96" s="310"/>
      <c r="AA96" s="310"/>
      <c r="AB96" s="310"/>
      <c r="AC96" s="310"/>
      <c r="AD96" s="310"/>
      <c r="AE96" s="310"/>
      <c r="AF96" s="310"/>
      <c r="AG96" s="310"/>
      <c r="AH96" s="310"/>
      <c r="AI96" s="310"/>
      <c r="AJ96" s="310"/>
      <c r="AK96" s="81"/>
    </row>
    <row r="97" spans="2:37" ht="15.75" thickBot="1" x14ac:dyDescent="0.3">
      <c r="B97" s="146" t="s">
        <v>445</v>
      </c>
      <c r="C97" s="147"/>
      <c r="D97" s="160">
        <f>E97</f>
        <v>29091668.113200016</v>
      </c>
      <c r="E97" s="161">
        <f>E49*E81</f>
        <v>29091668.113200016</v>
      </c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62"/>
    </row>
  </sheetData>
  <mergeCells count="14">
    <mergeCell ref="B45:D45"/>
    <mergeCell ref="B39:D39"/>
    <mergeCell ref="B40:D40"/>
    <mergeCell ref="B14:D14"/>
    <mergeCell ref="B15:D15"/>
    <mergeCell ref="B29:D29"/>
    <mergeCell ref="B30:D30"/>
    <mergeCell ref="B34:D34"/>
    <mergeCell ref="B35:D35"/>
    <mergeCell ref="B2:D2"/>
    <mergeCell ref="B20:D20"/>
    <mergeCell ref="B21:D21"/>
    <mergeCell ref="B23:D23"/>
    <mergeCell ref="B24:D24"/>
  </mergeCells>
  <phoneticPr fontId="1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olve_MBSP">
                <anchor moveWithCells="1" sizeWithCells="1">
                  <from>
                    <xdr:col>4</xdr:col>
                    <xdr:colOff>200025</xdr:colOff>
                    <xdr:row>39</xdr:row>
                    <xdr:rowOff>142875</xdr:rowOff>
                  </from>
                  <to>
                    <xdr:col>5</xdr:col>
                    <xdr:colOff>771525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olve_MBSP">
                <anchor moveWithCells="1" sizeWithCells="1">
                  <from>
                    <xdr:col>4</xdr:col>
                    <xdr:colOff>200025</xdr:colOff>
                    <xdr:row>39</xdr:row>
                    <xdr:rowOff>142875</xdr:rowOff>
                  </from>
                  <to>
                    <xdr:col>5</xdr:col>
                    <xdr:colOff>771525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olve_MBSP">
                <anchor moveWithCells="1" sizeWithCells="1">
                  <from>
                    <xdr:col>4</xdr:col>
                    <xdr:colOff>200025</xdr:colOff>
                    <xdr:row>39</xdr:row>
                    <xdr:rowOff>142875</xdr:rowOff>
                  </from>
                  <to>
                    <xdr:col>5</xdr:col>
                    <xdr:colOff>771525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D1C6A-DDB7-4701-A917-CC3A768F6261}">
  <sheetPr codeName="Sheet6"/>
  <dimension ref="B1:AK139"/>
  <sheetViews>
    <sheetView topLeftCell="A12" zoomScale="66" zoomScaleNormal="66" workbookViewId="0">
      <selection activeCell="D57" sqref="D57"/>
    </sheetView>
  </sheetViews>
  <sheetFormatPr defaultRowHeight="15" x14ac:dyDescent="0.25"/>
  <cols>
    <col min="2" max="2" width="42.5703125" bestFit="1" customWidth="1"/>
    <col min="3" max="3" width="33.28515625" bestFit="1" customWidth="1"/>
    <col min="4" max="4" width="19.7109375" bestFit="1" customWidth="1"/>
    <col min="5" max="5" width="17.28515625" bestFit="1" customWidth="1"/>
    <col min="6" max="6" width="31.140625" bestFit="1" customWidth="1"/>
    <col min="7" max="7" width="19.140625" bestFit="1" customWidth="1"/>
    <col min="8" max="9" width="21.7109375" bestFit="1" customWidth="1"/>
    <col min="10" max="10" width="21.42578125" bestFit="1" customWidth="1"/>
    <col min="11" max="11" width="20.7109375" bestFit="1" customWidth="1"/>
    <col min="12" max="12" width="21.7109375" bestFit="1" customWidth="1"/>
    <col min="13" max="13" width="20.7109375" bestFit="1" customWidth="1"/>
    <col min="14" max="15" width="21.42578125" bestFit="1" customWidth="1"/>
    <col min="16" max="16" width="20.7109375" bestFit="1" customWidth="1"/>
    <col min="17" max="37" width="21.42578125" bestFit="1" customWidth="1"/>
  </cols>
  <sheetData>
    <row r="1" spans="2:13" ht="15.75" thickBot="1" x14ac:dyDescent="0.3"/>
    <row r="2" spans="2:13" ht="21.75" thickBot="1" x14ac:dyDescent="0.4">
      <c r="B2" s="358" t="s">
        <v>403</v>
      </c>
      <c r="C2" s="359"/>
      <c r="D2" s="360"/>
      <c r="F2" s="163"/>
      <c r="G2" s="163"/>
    </row>
    <row r="3" spans="2:13" x14ac:dyDescent="0.25">
      <c r="B3" s="197" t="s">
        <v>446</v>
      </c>
      <c r="C3" s="198"/>
      <c r="D3" s="199">
        <f>'CAPEX &amp; OPEX'!C60+'CAPEX &amp; OPEX'!C131</f>
        <v>463224796.01100004</v>
      </c>
      <c r="E3" s="113"/>
      <c r="F3" s="168" t="s">
        <v>454</v>
      </c>
      <c r="G3" s="56" t="str">
        <f>'Model Inputs'!C28</f>
        <v>Yes</v>
      </c>
      <c r="H3" s="163"/>
      <c r="I3" s="163"/>
      <c r="J3" s="163"/>
      <c r="K3" s="163"/>
      <c r="L3" s="163"/>
      <c r="M3" s="163"/>
    </row>
    <row r="4" spans="2:13" x14ac:dyDescent="0.25">
      <c r="B4" s="165" t="s">
        <v>124</v>
      </c>
      <c r="C4" s="166"/>
      <c r="D4" s="167">
        <f>'CAPEX &amp; OPEX'!C61</f>
        <v>24042700.920000009</v>
      </c>
      <c r="E4" s="115"/>
      <c r="F4" s="163"/>
      <c r="G4" s="163"/>
      <c r="H4" s="163"/>
      <c r="I4" s="163"/>
      <c r="J4" s="163"/>
      <c r="K4" s="163"/>
      <c r="L4" s="163"/>
      <c r="M4" s="163"/>
    </row>
    <row r="5" spans="2:13" x14ac:dyDescent="0.25">
      <c r="B5" s="116" t="s">
        <v>184</v>
      </c>
      <c r="C5" s="200"/>
      <c r="D5" s="118">
        <f>'CAPEX &amp; OPEX'!H3</f>
        <v>5881059.5333846156</v>
      </c>
      <c r="F5" s="163"/>
      <c r="G5" s="163"/>
      <c r="H5" s="163"/>
      <c r="I5" s="163"/>
      <c r="J5" s="163"/>
      <c r="K5" s="163"/>
      <c r="L5" s="163"/>
      <c r="M5" s="163"/>
    </row>
    <row r="6" spans="2:13" x14ac:dyDescent="0.25">
      <c r="B6" s="164" t="s">
        <v>185</v>
      </c>
      <c r="C6" s="201"/>
      <c r="D6" s="118">
        <f>'CAPEX &amp; OPEX'!H4</f>
        <v>3779325.2049384615</v>
      </c>
      <c r="F6" s="224" t="s">
        <v>505</v>
      </c>
      <c r="G6" s="224" t="s">
        <v>504</v>
      </c>
      <c r="H6" s="224" t="s">
        <v>515</v>
      </c>
      <c r="I6" s="224" t="s">
        <v>517</v>
      </c>
      <c r="J6" s="241" t="s">
        <v>517</v>
      </c>
      <c r="K6" s="163"/>
      <c r="L6" s="382" t="s">
        <v>236</v>
      </c>
      <c r="M6" s="383"/>
    </row>
    <row r="7" spans="2:13" x14ac:dyDescent="0.25">
      <c r="B7" s="116" t="s">
        <v>186</v>
      </c>
      <c r="C7" s="200"/>
      <c r="D7" s="118">
        <f>'CAPEX &amp; OPEX'!H5</f>
        <v>1752081.3093923074</v>
      </c>
      <c r="E7" s="115"/>
      <c r="F7" s="229" t="s">
        <v>508</v>
      </c>
      <c r="G7" s="225">
        <f>D116</f>
        <v>1203156728.3858986</v>
      </c>
      <c r="H7" s="26"/>
      <c r="I7" s="26"/>
      <c r="J7" s="238"/>
      <c r="K7" s="163"/>
      <c r="L7" s="8" t="s">
        <v>326</v>
      </c>
      <c r="M7" s="249">
        <f>J9+J10+J11</f>
        <v>-5.6017414891387229E-2</v>
      </c>
    </row>
    <row r="8" spans="2:13" x14ac:dyDescent="0.25">
      <c r="B8" s="164" t="s">
        <v>187</v>
      </c>
      <c r="C8" s="201"/>
      <c r="D8" s="118">
        <f>'CAPEX &amp; OPEX'!H6</f>
        <v>19122643.015769228</v>
      </c>
      <c r="E8" s="115"/>
      <c r="F8" s="230" t="s">
        <v>509</v>
      </c>
      <c r="G8" s="231">
        <f>D117</f>
        <v>0</v>
      </c>
      <c r="H8" s="207"/>
      <c r="I8" s="207"/>
      <c r="J8" s="239">
        <f>G8/SUM($G$8:$G$11)*($G$34-$G$33)*-1</f>
        <v>0</v>
      </c>
      <c r="K8" s="163"/>
      <c r="L8" s="7" t="s">
        <v>526</v>
      </c>
      <c r="M8" s="232">
        <f>J8</f>
        <v>0</v>
      </c>
    </row>
    <row r="9" spans="2:13" x14ac:dyDescent="0.25">
      <c r="B9" s="116" t="s">
        <v>188</v>
      </c>
      <c r="C9" s="200"/>
      <c r="D9" s="118">
        <f>'CAPEX &amp; OPEX'!H7</f>
        <v>4361224.4435999999</v>
      </c>
      <c r="E9" s="115"/>
      <c r="F9" s="230" t="s">
        <v>510</v>
      </c>
      <c r="G9" s="231">
        <f>D118</f>
        <v>28568299.897670206</v>
      </c>
      <c r="H9" s="207"/>
      <c r="I9" s="207"/>
      <c r="J9" s="239">
        <f>G9/SUM($G$8:$G$11)*($G$34-$G$33)*-1</f>
        <v>-4.5446042177720691E-2</v>
      </c>
      <c r="K9" s="163"/>
      <c r="L9" s="8" t="s">
        <v>514</v>
      </c>
      <c r="M9" s="249">
        <f>J12</f>
        <v>6.9420884642195591E-2</v>
      </c>
    </row>
    <row r="10" spans="2:13" x14ac:dyDescent="0.25">
      <c r="B10" s="164" t="s">
        <v>189</v>
      </c>
      <c r="C10" s="201"/>
      <c r="D10" s="118">
        <f>'CAPEX &amp; OPEX'!H8</f>
        <v>3925101.9993000007</v>
      </c>
      <c r="E10" s="115"/>
      <c r="F10" s="230" t="s">
        <v>511</v>
      </c>
      <c r="G10" s="231">
        <f>D119</f>
        <v>6645351.3316778811</v>
      </c>
      <c r="H10" s="207"/>
      <c r="I10" s="207"/>
      <c r="J10" s="239">
        <f>G10/SUM($G$8:$G$11)*($G$34-$G$33)*-1</f>
        <v>-1.0571329690144928E-2</v>
      </c>
      <c r="K10" s="163"/>
      <c r="L10" s="7" t="s">
        <v>528</v>
      </c>
      <c r="M10" s="232">
        <f>J13</f>
        <v>0.47611115433216372</v>
      </c>
    </row>
    <row r="11" spans="2:13" x14ac:dyDescent="0.25">
      <c r="B11" s="116" t="s">
        <v>190</v>
      </c>
      <c r="C11" s="200"/>
      <c r="D11" s="118">
        <f>'CAPEX &amp; OPEX'!H9</f>
        <v>2719734.123146154</v>
      </c>
      <c r="E11" s="115"/>
      <c r="F11" s="230" t="s">
        <v>512</v>
      </c>
      <c r="G11" s="231">
        <f>D120</f>
        <v>27.04545454545455</v>
      </c>
      <c r="H11" s="207"/>
      <c r="I11" s="207"/>
      <c r="J11" s="239">
        <f>G11/SUM($G$8:$G$11)*($G$34-$G$33)*-1</f>
        <v>-4.3023521609299239E-8</v>
      </c>
      <c r="K11" s="163"/>
      <c r="L11" s="7" t="s">
        <v>59</v>
      </c>
      <c r="M11" s="232">
        <f>J15+J16+J17</f>
        <v>0.54122855091495881</v>
      </c>
    </row>
    <row r="12" spans="2:13" x14ac:dyDescent="0.25">
      <c r="B12" s="165" t="s">
        <v>191</v>
      </c>
      <c r="C12" s="166"/>
      <c r="D12" s="167">
        <f>'CAPEX &amp; OPEX'!H10</f>
        <v>2817882.3451461536</v>
      </c>
      <c r="F12" s="8" t="s">
        <v>514</v>
      </c>
      <c r="G12" s="243">
        <f>D139</f>
        <v>29091668.113200016</v>
      </c>
      <c r="H12" s="244">
        <f t="shared" ref="H12:H31" si="0">G12/$G$32</f>
        <v>3.5239351497002636E-2</v>
      </c>
      <c r="I12" s="245">
        <f t="shared" ref="I12:I30" si="1">H12*$D$55</f>
        <v>6.7446867268884575E-2</v>
      </c>
      <c r="J12" s="246">
        <f t="shared" ref="J12:J31" si="2">I12/SUM($I$7:$I$31)*$G$34</f>
        <v>6.9420884642195591E-2</v>
      </c>
      <c r="K12" s="163"/>
      <c r="L12" s="7" t="s">
        <v>529</v>
      </c>
      <c r="M12" s="232">
        <f>J14</f>
        <v>0.12910647093542407</v>
      </c>
    </row>
    <row r="13" spans="2:13" x14ac:dyDescent="0.25">
      <c r="B13" s="116" t="s">
        <v>396</v>
      </c>
      <c r="C13" s="200"/>
      <c r="D13" s="118">
        <f>'CAPEX &amp; OPEX'!H119</f>
        <v>261231.87117846153</v>
      </c>
      <c r="F13" s="7" t="s">
        <v>513</v>
      </c>
      <c r="G13" s="214">
        <f>D138</f>
        <v>199520184.13785791</v>
      </c>
      <c r="H13" s="233">
        <f t="shared" si="0"/>
        <v>0.24168300945212712</v>
      </c>
      <c r="I13" s="215">
        <f t="shared" si="1"/>
        <v>0.46257269691948488</v>
      </c>
      <c r="J13" s="239">
        <f t="shared" si="2"/>
        <v>0.47611115433216372</v>
      </c>
      <c r="K13" s="163"/>
      <c r="L13" s="7" t="s">
        <v>530</v>
      </c>
      <c r="M13" s="232">
        <f>J18+J19</f>
        <v>0.1819091199449247</v>
      </c>
    </row>
    <row r="14" spans="2:13" x14ac:dyDescent="0.25">
      <c r="B14" s="164" t="s">
        <v>339</v>
      </c>
      <c r="C14" s="201"/>
      <c r="D14" s="118">
        <f>'CAPEX &amp; OPEX'!H120</f>
        <v>530204.22430076927</v>
      </c>
      <c r="F14" s="7" t="s">
        <v>184</v>
      </c>
      <c r="G14" s="214">
        <f t="shared" ref="G14:G30" si="3">D121</f>
        <v>54103640.757077374</v>
      </c>
      <c r="H14" s="233">
        <f t="shared" si="0"/>
        <v>6.5536881779602027E-2</v>
      </c>
      <c r="I14" s="215">
        <f t="shared" si="1"/>
        <v>0.12543526423808832</v>
      </c>
      <c r="J14" s="239">
        <f t="shared" si="2"/>
        <v>0.12910647093542407</v>
      </c>
      <c r="K14" s="163"/>
      <c r="L14" s="7" t="s">
        <v>531</v>
      </c>
      <c r="M14" s="232">
        <f>J20</f>
        <v>5.9706124811147371E-2</v>
      </c>
    </row>
    <row r="15" spans="2:13" x14ac:dyDescent="0.25">
      <c r="B15" s="116" t="s">
        <v>346</v>
      </c>
      <c r="C15" s="200"/>
      <c r="D15" s="118">
        <f>'CAPEX &amp; OPEX'!H121</f>
        <v>1513531.8307000003</v>
      </c>
      <c r="F15" s="7" t="s">
        <v>185</v>
      </c>
      <c r="G15" s="214">
        <f t="shared" si="3"/>
        <v>34768437.903311022</v>
      </c>
      <c r="H15" s="233">
        <f t="shared" si="0"/>
        <v>4.2115742538687835E-2</v>
      </c>
      <c r="I15" s="215">
        <f t="shared" si="1"/>
        <v>8.0608035513338158E-2</v>
      </c>
      <c r="J15" s="239">
        <f t="shared" si="2"/>
        <v>8.2967250536586684E-2</v>
      </c>
      <c r="K15" s="163"/>
      <c r="L15" s="7" t="s">
        <v>532</v>
      </c>
      <c r="M15" s="232">
        <f>J21</f>
        <v>6.186076556917313E-2</v>
      </c>
    </row>
    <row r="16" spans="2:13" x14ac:dyDescent="0.25">
      <c r="B16" s="116" t="s">
        <v>188</v>
      </c>
      <c r="C16" s="200"/>
      <c r="D16" s="118">
        <f>'CAPEX &amp; OPEX'!H123</f>
        <v>513958.87849999993</v>
      </c>
      <c r="F16" s="7" t="s">
        <v>186</v>
      </c>
      <c r="G16" s="214">
        <f t="shared" si="3"/>
        <v>16118520.345261011</v>
      </c>
      <c r="H16" s="233">
        <f t="shared" si="0"/>
        <v>1.9524703837815151E-2</v>
      </c>
      <c r="I16" s="215">
        <f t="shared" si="1"/>
        <v>3.7369589741894374E-2</v>
      </c>
      <c r="J16" s="239">
        <f t="shared" si="2"/>
        <v>3.8463313177408726E-2</v>
      </c>
      <c r="K16" s="163"/>
      <c r="L16" s="7" t="s">
        <v>540</v>
      </c>
      <c r="M16" s="232">
        <f>J22</f>
        <v>5.7348042121074007E-3</v>
      </c>
    </row>
    <row r="17" spans="2:13" x14ac:dyDescent="0.25">
      <c r="B17" s="164" t="s">
        <v>199</v>
      </c>
      <c r="C17" s="201"/>
      <c r="D17" s="118">
        <f>'CAPEX &amp; OPEX'!H124</f>
        <v>0</v>
      </c>
      <c r="F17" s="7" t="s">
        <v>187</v>
      </c>
      <c r="G17" s="214">
        <f t="shared" si="3"/>
        <v>175921464.86155123</v>
      </c>
      <c r="H17" s="233">
        <f t="shared" si="0"/>
        <v>0.21309738279706664</v>
      </c>
      <c r="I17" s="215">
        <f t="shared" si="1"/>
        <v>0.40786082269655133</v>
      </c>
      <c r="J17" s="239">
        <f t="shared" si="2"/>
        <v>0.41979798720096334</v>
      </c>
      <c r="K17" s="163"/>
      <c r="L17" s="7" t="s">
        <v>541</v>
      </c>
      <c r="M17" s="232">
        <f>J23</f>
        <v>1.1639534659689284E-2</v>
      </c>
    </row>
    <row r="18" spans="2:13" x14ac:dyDescent="0.25">
      <c r="B18" s="116" t="s">
        <v>388</v>
      </c>
      <c r="C18" s="200"/>
      <c r="D18" s="118">
        <f>'CAPEX &amp; OPEX'!H125</f>
        <v>3336859.6401538458</v>
      </c>
      <c r="F18" s="7" t="s">
        <v>188</v>
      </c>
      <c r="G18" s="214">
        <f t="shared" si="3"/>
        <v>40121702.427610449</v>
      </c>
      <c r="H18" s="233">
        <f t="shared" si="0"/>
        <v>4.8600264825074922E-2</v>
      </c>
      <c r="I18" s="215">
        <f t="shared" si="1"/>
        <v>9.3019180877045388E-2</v>
      </c>
      <c r="J18" s="239">
        <f t="shared" si="2"/>
        <v>9.5741642075582903E-2</v>
      </c>
      <c r="K18" s="163"/>
      <c r="L18" s="7" t="s">
        <v>542</v>
      </c>
      <c r="M18" s="232">
        <f>J24</f>
        <v>3.3226453872955454E-2</v>
      </c>
    </row>
    <row r="19" spans="2:13" x14ac:dyDescent="0.25">
      <c r="B19" s="164" t="s">
        <v>191</v>
      </c>
      <c r="C19" s="201"/>
      <c r="D19" s="118">
        <f>'CAPEX &amp; OPEX'!H126</f>
        <v>910052.62913769227</v>
      </c>
      <c r="F19" s="7" t="s">
        <v>189</v>
      </c>
      <c r="G19" s="214">
        <f t="shared" si="3"/>
        <v>36109532.185401388</v>
      </c>
      <c r="H19" s="233">
        <f t="shared" si="0"/>
        <v>4.3740238343236058E-2</v>
      </c>
      <c r="I19" s="215">
        <f t="shared" si="1"/>
        <v>8.3717262790620584E-2</v>
      </c>
      <c r="J19" s="239">
        <f t="shared" si="2"/>
        <v>8.6167477869341813E-2</v>
      </c>
      <c r="K19" s="193"/>
      <c r="L19" s="7" t="s">
        <v>543</v>
      </c>
      <c r="M19" s="232">
        <f>J25+J26</f>
        <v>1.1282901768361301E-2</v>
      </c>
    </row>
    <row r="20" spans="2:13" x14ac:dyDescent="0.25">
      <c r="B20" s="116" t="s">
        <v>389</v>
      </c>
      <c r="C20" s="200"/>
      <c r="D20" s="118">
        <f>'CAPEX &amp; OPEX'!H127</f>
        <v>121340.35055307693</v>
      </c>
      <c r="F20" s="7" t="s">
        <v>190</v>
      </c>
      <c r="G20" s="214">
        <f t="shared" si="3"/>
        <v>25020579.560224131</v>
      </c>
      <c r="H20" s="233">
        <f t="shared" si="0"/>
        <v>3.0307956021999035E-2</v>
      </c>
      <c r="I20" s="215">
        <f t="shared" si="1"/>
        <v>5.8008351464153139E-2</v>
      </c>
      <c r="J20" s="239">
        <f t="shared" si="2"/>
        <v>5.9706124811147371E-2</v>
      </c>
      <c r="K20" s="163"/>
      <c r="L20" s="7" t="s">
        <v>544</v>
      </c>
      <c r="M20" s="232">
        <f>J27</f>
        <v>7.3253836269053407E-2</v>
      </c>
    </row>
    <row r="21" spans="2:13" x14ac:dyDescent="0.25">
      <c r="B21" s="165" t="s">
        <v>390</v>
      </c>
      <c r="C21" s="166"/>
      <c r="D21" s="167">
        <f>'CAPEX &amp; OPEX'!H128</f>
        <v>488221.14983461529</v>
      </c>
      <c r="F21" s="7" t="s">
        <v>191</v>
      </c>
      <c r="G21" s="214">
        <f t="shared" si="3"/>
        <v>25923508.040014189</v>
      </c>
      <c r="H21" s="233">
        <f t="shared" si="0"/>
        <v>3.1401692343758419E-2</v>
      </c>
      <c r="I21" s="215">
        <f t="shared" si="1"/>
        <v>6.0101723940861114E-2</v>
      </c>
      <c r="J21" s="239">
        <f t="shared" si="2"/>
        <v>6.186076556917313E-2</v>
      </c>
      <c r="K21" s="163"/>
      <c r="L21" s="7" t="s">
        <v>545</v>
      </c>
      <c r="M21" s="232">
        <f>J28+J29+J30</f>
        <v>3.3359978135388491E-2</v>
      </c>
    </row>
    <row r="22" spans="2:13" x14ac:dyDescent="0.25">
      <c r="B22" s="116" t="s">
        <v>113</v>
      </c>
      <c r="C22" s="202"/>
      <c r="D22" s="120">
        <f>0.05*D3</f>
        <v>23161239.800550003</v>
      </c>
      <c r="E22" s="115"/>
      <c r="F22" s="7" t="s">
        <v>396</v>
      </c>
      <c r="G22" s="214">
        <f t="shared" si="3"/>
        <v>2403239.6258373791</v>
      </c>
      <c r="H22" s="233">
        <f t="shared" si="0"/>
        <v>2.9110948735174796E-3</v>
      </c>
      <c r="I22" s="215">
        <f t="shared" si="1"/>
        <v>5.5717322027893819E-3</v>
      </c>
      <c r="J22" s="239">
        <f t="shared" si="2"/>
        <v>5.7348042121074007E-3</v>
      </c>
      <c r="K22" s="163"/>
      <c r="L22" s="6" t="s">
        <v>539</v>
      </c>
      <c r="M22" s="251">
        <f>J31</f>
        <v>0.28214132065217873</v>
      </c>
    </row>
    <row r="23" spans="2:13" x14ac:dyDescent="0.25">
      <c r="B23" s="361"/>
      <c r="C23" s="387"/>
      <c r="D23" s="363"/>
      <c r="F23" s="7" t="s">
        <v>339</v>
      </c>
      <c r="G23" s="214">
        <f t="shared" si="3"/>
        <v>4877688.9124508807</v>
      </c>
      <c r="H23" s="233">
        <f t="shared" si="0"/>
        <v>5.9084475118460975E-3</v>
      </c>
      <c r="I23" s="215">
        <f t="shared" si="1"/>
        <v>1.1308558704054216E-2</v>
      </c>
      <c r="J23" s="239">
        <f t="shared" si="2"/>
        <v>1.1639534659689284E-2</v>
      </c>
      <c r="K23" s="163"/>
      <c r="L23" s="264" t="s">
        <v>520</v>
      </c>
      <c r="M23" s="265">
        <f>SUM(M7:M22)</f>
        <v>1.9139644858283349</v>
      </c>
    </row>
    <row r="24" spans="2:13" x14ac:dyDescent="0.25">
      <c r="B24" s="373" t="s">
        <v>404</v>
      </c>
      <c r="C24" s="395"/>
      <c r="D24" s="375"/>
      <c r="F24" s="7" t="s">
        <v>346</v>
      </c>
      <c r="G24" s="214">
        <f t="shared" si="3"/>
        <v>13923950.604095871</v>
      </c>
      <c r="H24" s="233">
        <f t="shared" si="0"/>
        <v>1.6866375199090084E-2</v>
      </c>
      <c r="I24" s="215">
        <f t="shared" si="1"/>
        <v>3.2281643135714216E-2</v>
      </c>
      <c r="J24" s="239">
        <f t="shared" si="2"/>
        <v>3.3226453872955454E-2</v>
      </c>
    </row>
    <row r="25" spans="2:13" x14ac:dyDescent="0.25">
      <c r="B25" s="121" t="s">
        <v>405</v>
      </c>
      <c r="C25" s="203"/>
      <c r="D25" s="123">
        <v>0.4</v>
      </c>
      <c r="F25" s="7" t="s">
        <v>188</v>
      </c>
      <c r="G25" s="214">
        <f t="shared" si="3"/>
        <v>4728237.5511460099</v>
      </c>
      <c r="H25" s="233">
        <f t="shared" si="0"/>
        <v>5.7274139240767446E-3</v>
      </c>
      <c r="I25" s="215">
        <f t="shared" si="1"/>
        <v>1.0962066846321587E-2</v>
      </c>
      <c r="J25" s="239">
        <f t="shared" si="2"/>
        <v>1.1282901768361301E-2</v>
      </c>
    </row>
    <row r="26" spans="2:13" x14ac:dyDescent="0.25">
      <c r="B26" s="121" t="s">
        <v>406</v>
      </c>
      <c r="C26" s="203"/>
      <c r="D26" s="123">
        <v>0.08</v>
      </c>
      <c r="F26" s="7" t="s">
        <v>199</v>
      </c>
      <c r="G26" s="214">
        <f t="shared" si="3"/>
        <v>0</v>
      </c>
      <c r="H26" s="233">
        <f t="shared" si="0"/>
        <v>0</v>
      </c>
      <c r="I26" s="215">
        <f t="shared" si="1"/>
        <v>0</v>
      </c>
      <c r="J26" s="239">
        <f t="shared" si="2"/>
        <v>0</v>
      </c>
      <c r="M26" s="124"/>
    </row>
    <row r="27" spans="2:13" x14ac:dyDescent="0.25">
      <c r="B27" s="121" t="s">
        <v>407</v>
      </c>
      <c r="C27" s="203"/>
      <c r="D27" s="125">
        <v>10</v>
      </c>
      <c r="F27" s="7" t="s">
        <v>388</v>
      </c>
      <c r="G27" s="214">
        <f t="shared" si="3"/>
        <v>30697913.225131657</v>
      </c>
      <c r="H27" s="233">
        <f t="shared" si="0"/>
        <v>3.7185030097124518E-2</v>
      </c>
      <c r="I27" s="215">
        <f t="shared" si="1"/>
        <v>7.1170827010354057E-2</v>
      </c>
      <c r="J27" s="239">
        <f t="shared" si="2"/>
        <v>7.3253836269053407E-2</v>
      </c>
    </row>
    <row r="28" spans="2:13" x14ac:dyDescent="0.25">
      <c r="B28" s="121" t="s">
        <v>408</v>
      </c>
      <c r="C28" s="203"/>
      <c r="D28" s="126">
        <f>-PMT(D26,D27,D3*(1-D25))</f>
        <v>41420492.700795829</v>
      </c>
      <c r="F28" s="7" t="s">
        <v>191</v>
      </c>
      <c r="G28" s="214">
        <f t="shared" si="3"/>
        <v>8372158.1523530222</v>
      </c>
      <c r="H28" s="233">
        <f t="shared" si="0"/>
        <v>1.0141371844724091E-2</v>
      </c>
      <c r="I28" s="215">
        <f t="shared" si="1"/>
        <v>1.9410225548381288E-2</v>
      </c>
      <c r="J28" s="239">
        <f t="shared" si="2"/>
        <v>1.997831898257503E-2</v>
      </c>
    </row>
    <row r="29" spans="2:13" x14ac:dyDescent="0.25">
      <c r="B29" s="361"/>
      <c r="C29" s="387"/>
      <c r="D29" s="363"/>
      <c r="F29" s="7" t="s">
        <v>389</v>
      </c>
      <c r="G29" s="214">
        <f t="shared" si="3"/>
        <v>1116287.7536598083</v>
      </c>
      <c r="H29" s="233">
        <f t="shared" si="0"/>
        <v>1.3521829126453095E-3</v>
      </c>
      <c r="I29" s="215">
        <f t="shared" si="1"/>
        <v>2.5880300731470391E-3</v>
      </c>
      <c r="J29" s="239">
        <f t="shared" si="2"/>
        <v>2.663775864373736E-3</v>
      </c>
    </row>
    <row r="30" spans="2:13" x14ac:dyDescent="0.25">
      <c r="B30" s="364" t="s">
        <v>409</v>
      </c>
      <c r="C30" s="396"/>
      <c r="D30" s="366"/>
      <c r="F30" s="7" t="s">
        <v>390</v>
      </c>
      <c r="G30" s="214">
        <f t="shared" si="3"/>
        <v>4491459.6682304647</v>
      </c>
      <c r="H30" s="233">
        <f t="shared" si="0"/>
        <v>5.4405998778587804E-3</v>
      </c>
      <c r="I30" s="215">
        <f t="shared" si="1"/>
        <v>1.0413114947823678E-2</v>
      </c>
      <c r="J30" s="239">
        <f t="shared" si="2"/>
        <v>1.0717883288439724E-2</v>
      </c>
    </row>
    <row r="31" spans="2:13" x14ac:dyDescent="0.25">
      <c r="B31" s="127" t="s">
        <v>410</v>
      </c>
      <c r="C31" s="204" t="s">
        <v>411</v>
      </c>
      <c r="D31" s="129">
        <v>7</v>
      </c>
      <c r="F31" s="6" t="s">
        <v>506</v>
      </c>
      <c r="G31" s="227">
        <f>D115</f>
        <v>118234760.38569728</v>
      </c>
      <c r="H31" s="228">
        <f t="shared" si="0"/>
        <v>0.14322026032274715</v>
      </c>
      <c r="I31" s="226">
        <f>H31*D55</f>
        <v>0.27411849190882692</v>
      </c>
      <c r="J31" s="240">
        <f t="shared" si="2"/>
        <v>0.28214132065217873</v>
      </c>
    </row>
    <row r="32" spans="2:13" x14ac:dyDescent="0.25">
      <c r="B32" s="361"/>
      <c r="C32" s="387"/>
      <c r="D32" s="363"/>
      <c r="F32" s="7" t="s">
        <v>516</v>
      </c>
      <c r="G32" s="242">
        <f>SUM(G12:G31)</f>
        <v>825544934.21011102</v>
      </c>
    </row>
    <row r="33" spans="2:10" x14ac:dyDescent="0.25">
      <c r="B33" s="384" t="s">
        <v>412</v>
      </c>
      <c r="C33" s="385"/>
      <c r="D33" s="386"/>
      <c r="F33" s="7" t="s">
        <v>518</v>
      </c>
      <c r="G33" s="232">
        <f>SUM(I7:I31)</f>
        <v>1.9139644858283344</v>
      </c>
    </row>
    <row r="34" spans="2:10" x14ac:dyDescent="0.25">
      <c r="B34" s="130" t="s">
        <v>413</v>
      </c>
      <c r="C34" s="205"/>
      <c r="D34" s="131">
        <v>3</v>
      </c>
      <c r="F34" s="234" t="s">
        <v>519</v>
      </c>
      <c r="G34" s="235">
        <f>G33/(1-(SUM(G8:G11)/(SUM(G8:G11)+G7)))</f>
        <v>1.9699819007197217</v>
      </c>
    </row>
    <row r="35" spans="2:10" x14ac:dyDescent="0.25">
      <c r="B35" s="130"/>
      <c r="C35" s="205" t="s">
        <v>414</v>
      </c>
      <c r="D35" s="132">
        <v>0.08</v>
      </c>
      <c r="F35" s="236" t="s">
        <v>520</v>
      </c>
      <c r="G35" s="237">
        <f>SUM(J7:J31)</f>
        <v>1.9139644858283347</v>
      </c>
      <c r="H35" s="207"/>
      <c r="I35" s="207"/>
      <c r="J35" s="207"/>
    </row>
    <row r="36" spans="2:10" x14ac:dyDescent="0.25">
      <c r="B36" s="130"/>
      <c r="C36" s="205" t="s">
        <v>415</v>
      </c>
      <c r="D36" s="132">
        <v>0.6</v>
      </c>
    </row>
    <row r="37" spans="2:10" x14ac:dyDescent="0.25">
      <c r="B37" s="130"/>
      <c r="C37" s="205" t="s">
        <v>416</v>
      </c>
      <c r="D37" s="132">
        <v>0.32</v>
      </c>
    </row>
    <row r="38" spans="2:10" x14ac:dyDescent="0.25">
      <c r="B38" s="361"/>
      <c r="C38" s="387"/>
      <c r="D38" s="363"/>
    </row>
    <row r="39" spans="2:10" x14ac:dyDescent="0.25">
      <c r="B39" s="376" t="s">
        <v>480</v>
      </c>
      <c r="C39" s="388"/>
      <c r="D39" s="378"/>
    </row>
    <row r="40" spans="2:10" x14ac:dyDescent="0.25">
      <c r="B40" s="133" t="s">
        <v>418</v>
      </c>
      <c r="C40" s="196" t="s">
        <v>411</v>
      </c>
      <c r="D40" s="135">
        <v>0.5</v>
      </c>
    </row>
    <row r="41" spans="2:10" x14ac:dyDescent="0.25">
      <c r="B41" s="133" t="s">
        <v>419</v>
      </c>
      <c r="C41" s="196" t="s">
        <v>420</v>
      </c>
      <c r="D41" s="136">
        <v>0.5</v>
      </c>
    </row>
    <row r="42" spans="2:10" x14ac:dyDescent="0.25">
      <c r="B42" s="194" t="s">
        <v>421</v>
      </c>
      <c r="C42" s="195" t="s">
        <v>474</v>
      </c>
      <c r="D42" s="210">
        <f>'Process Model Outputs'!C80*1000</f>
        <v>68330942.96800001</v>
      </c>
    </row>
    <row r="43" spans="2:10" x14ac:dyDescent="0.25">
      <c r="B43" s="392" t="s">
        <v>479</v>
      </c>
      <c r="C43" s="393"/>
      <c r="D43" s="394"/>
    </row>
    <row r="44" spans="2:10" x14ac:dyDescent="0.25">
      <c r="B44" s="133" t="s">
        <v>477</v>
      </c>
      <c r="C44" s="196"/>
      <c r="D44" s="209">
        <f>'CAPEX &amp; OPEX'!B137</f>
        <v>0</v>
      </c>
    </row>
    <row r="45" spans="2:10" x14ac:dyDescent="0.25">
      <c r="B45" s="133" t="s">
        <v>458</v>
      </c>
      <c r="C45" s="196"/>
      <c r="D45" s="209">
        <f>'CAPEX &amp; OPEX'!B138</f>
        <v>1056306.8869726795</v>
      </c>
    </row>
    <row r="46" spans="2:10" x14ac:dyDescent="0.25">
      <c r="B46" s="133" t="s">
        <v>459</v>
      </c>
      <c r="C46" s="196"/>
      <c r="D46" s="209">
        <f>'CAPEX &amp; OPEX'!B139</f>
        <v>245710.46940657715</v>
      </c>
    </row>
    <row r="47" spans="2:10" x14ac:dyDescent="0.25">
      <c r="B47" s="133" t="s">
        <v>478</v>
      </c>
      <c r="C47" s="196"/>
      <c r="D47" s="209">
        <f>'CAPEX &amp; OPEX'!B140*0+1</f>
        <v>1</v>
      </c>
    </row>
    <row r="48" spans="2:10" x14ac:dyDescent="0.25">
      <c r="B48" s="361"/>
      <c r="C48" s="387"/>
      <c r="D48" s="363"/>
    </row>
    <row r="49" spans="2:37" x14ac:dyDescent="0.25">
      <c r="B49" s="389" t="s">
        <v>422</v>
      </c>
      <c r="C49" s="390"/>
      <c r="D49" s="391"/>
    </row>
    <row r="50" spans="2:37" x14ac:dyDescent="0.25">
      <c r="B50" s="138" t="s">
        <v>51</v>
      </c>
      <c r="C50" s="206"/>
      <c r="D50" s="139">
        <v>0.1</v>
      </c>
    </row>
    <row r="51" spans="2:37" ht="15.75" thickBot="1" x14ac:dyDescent="0.3">
      <c r="B51" s="140" t="s">
        <v>423</v>
      </c>
      <c r="C51" s="141"/>
      <c r="D51" s="142">
        <v>0.35</v>
      </c>
    </row>
    <row r="52" spans="2:37" ht="15.75" thickBot="1" x14ac:dyDescent="0.3">
      <c r="B52" s="144"/>
      <c r="C52" s="207"/>
      <c r="D52" s="208"/>
    </row>
    <row r="53" spans="2:37" ht="21.75" thickBot="1" x14ac:dyDescent="0.4">
      <c r="B53" s="358" t="s">
        <v>424</v>
      </c>
      <c r="C53" s="359"/>
      <c r="D53" s="360"/>
    </row>
    <row r="54" spans="2:37" x14ac:dyDescent="0.25">
      <c r="B54" s="370"/>
      <c r="C54" s="371"/>
      <c r="D54" s="372"/>
    </row>
    <row r="55" spans="2:37" x14ac:dyDescent="0.25">
      <c r="B55" s="144" t="s">
        <v>487</v>
      </c>
      <c r="C55" t="s">
        <v>486</v>
      </c>
      <c r="D55" s="145">
        <v>1.913964485828334</v>
      </c>
    </row>
    <row r="56" spans="2:37" x14ac:dyDescent="0.25">
      <c r="B56" s="144"/>
      <c r="D56" s="81"/>
    </row>
    <row r="57" spans="2:37" ht="15.75" thickBot="1" x14ac:dyDescent="0.3">
      <c r="B57" s="146" t="s">
        <v>425</v>
      </c>
      <c r="C57" s="147"/>
      <c r="D57" s="148">
        <f>+D111-SUM(E112:G112)</f>
        <v>70898918.864376247</v>
      </c>
    </row>
    <row r="58" spans="2:37" ht="15.75" thickBot="1" x14ac:dyDescent="0.3"/>
    <row r="59" spans="2:37" ht="21.75" thickBot="1" x14ac:dyDescent="0.4">
      <c r="B59" s="358" t="s">
        <v>426</v>
      </c>
      <c r="C59" s="359"/>
      <c r="D59" s="360"/>
    </row>
    <row r="60" spans="2:37" x14ac:dyDescent="0.25">
      <c r="B60" s="149"/>
      <c r="C60" s="150"/>
      <c r="D60" s="150"/>
      <c r="E60" s="150"/>
      <c r="F60" s="150"/>
      <c r="G60" s="150"/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50"/>
      <c r="S60" s="150"/>
      <c r="T60" s="150"/>
      <c r="U60" s="150"/>
      <c r="V60" s="150"/>
      <c r="W60" s="150"/>
      <c r="X60" s="150"/>
      <c r="Y60" s="150"/>
      <c r="Z60" s="150"/>
      <c r="AA60" s="150"/>
      <c r="AB60" s="150"/>
      <c r="AC60" s="150"/>
      <c r="AD60" s="150"/>
      <c r="AE60" s="150"/>
      <c r="AF60" s="150"/>
      <c r="AG60" s="150"/>
      <c r="AH60" s="150"/>
      <c r="AI60" s="150"/>
      <c r="AJ60" s="150"/>
      <c r="AK60" s="151"/>
    </row>
    <row r="61" spans="2:37" x14ac:dyDescent="0.25">
      <c r="B61" s="222" t="s">
        <v>427</v>
      </c>
      <c r="C61" s="2"/>
      <c r="D61" s="2"/>
      <c r="E61" s="2">
        <v>-2</v>
      </c>
      <c r="F61" s="2">
        <v>-1</v>
      </c>
      <c r="G61" s="2">
        <v>0</v>
      </c>
      <c r="H61" s="2">
        <v>1</v>
      </c>
      <c r="I61" s="2">
        <v>2</v>
      </c>
      <c r="J61" s="2">
        <v>3</v>
      </c>
      <c r="K61" s="2">
        <v>4</v>
      </c>
      <c r="L61" s="2">
        <v>5</v>
      </c>
      <c r="M61" s="2">
        <v>6</v>
      </c>
      <c r="N61" s="2">
        <v>7</v>
      </c>
      <c r="O61" s="2">
        <v>8</v>
      </c>
      <c r="P61" s="2">
        <v>9</v>
      </c>
      <c r="Q61" s="2">
        <v>10</v>
      </c>
      <c r="R61" s="2">
        <v>11</v>
      </c>
      <c r="S61" s="2">
        <v>12</v>
      </c>
      <c r="T61" s="2">
        <v>13</v>
      </c>
      <c r="U61" s="2">
        <v>14</v>
      </c>
      <c r="V61" s="2">
        <v>15</v>
      </c>
      <c r="W61" s="2">
        <v>16</v>
      </c>
      <c r="X61" s="2">
        <v>17</v>
      </c>
      <c r="Y61" s="2">
        <v>18</v>
      </c>
      <c r="Z61" s="2">
        <v>19</v>
      </c>
      <c r="AA61" s="2">
        <v>20</v>
      </c>
      <c r="AB61" s="2">
        <v>21</v>
      </c>
      <c r="AC61" s="2">
        <v>22</v>
      </c>
      <c r="AD61" s="2">
        <v>23</v>
      </c>
      <c r="AE61" s="2">
        <v>24</v>
      </c>
      <c r="AF61" s="2">
        <v>25</v>
      </c>
      <c r="AG61" s="2">
        <v>26</v>
      </c>
      <c r="AH61" s="2">
        <v>27</v>
      </c>
      <c r="AI61" s="2">
        <v>28</v>
      </c>
      <c r="AJ61" s="2">
        <v>29</v>
      </c>
      <c r="AK61" s="223">
        <v>30</v>
      </c>
    </row>
    <row r="62" spans="2:37" x14ac:dyDescent="0.25">
      <c r="B62" s="144" t="s">
        <v>428</v>
      </c>
      <c r="C62" s="207"/>
      <c r="D62" s="211"/>
      <c r="E62" s="211">
        <f>+D3*D35*$D$25</f>
        <v>14823193.472352002</v>
      </c>
      <c r="F62" s="211">
        <f>+D3*D36*$D$25</f>
        <v>111173951.04264</v>
      </c>
      <c r="G62" s="211">
        <f>+D3*D37*$D$25</f>
        <v>59292773.889408007</v>
      </c>
      <c r="H62" s="207"/>
      <c r="I62" s="207"/>
      <c r="J62" s="207"/>
      <c r="K62" s="207"/>
      <c r="L62" s="207"/>
      <c r="M62" s="207"/>
      <c r="N62" s="207"/>
      <c r="O62" s="207"/>
      <c r="P62" s="207"/>
      <c r="Q62" s="207"/>
      <c r="R62" s="207"/>
      <c r="S62" s="207"/>
      <c r="T62" s="207"/>
      <c r="U62" s="207"/>
      <c r="V62" s="207"/>
      <c r="W62" s="207"/>
      <c r="X62" s="207"/>
      <c r="Y62" s="207"/>
      <c r="Z62" s="207"/>
      <c r="AA62" s="207"/>
      <c r="AB62" s="207"/>
      <c r="AC62" s="207"/>
      <c r="AD62" s="207"/>
      <c r="AE62" s="207"/>
      <c r="AF62" s="207"/>
      <c r="AG62" s="207"/>
      <c r="AH62" s="207"/>
      <c r="AI62" s="207"/>
      <c r="AJ62" s="207"/>
      <c r="AK62" s="81"/>
    </row>
    <row r="63" spans="2:37" x14ac:dyDescent="0.25">
      <c r="B63" s="144" t="s">
        <v>124</v>
      </c>
      <c r="C63" s="207"/>
      <c r="D63" s="211"/>
      <c r="E63" s="211">
        <f>+D4</f>
        <v>24042700.920000009</v>
      </c>
      <c r="F63" s="211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81"/>
    </row>
    <row r="64" spans="2:37" x14ac:dyDescent="0.25">
      <c r="B64" s="144" t="s">
        <v>113</v>
      </c>
      <c r="C64" s="207"/>
      <c r="D64" s="211"/>
      <c r="E64" s="211"/>
      <c r="F64" s="211"/>
      <c r="G64" s="211">
        <f>D22</f>
        <v>23161239.800550003</v>
      </c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81"/>
    </row>
    <row r="65" spans="2:37" x14ac:dyDescent="0.25">
      <c r="B65" s="144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81"/>
    </row>
    <row r="66" spans="2:37" x14ac:dyDescent="0.25">
      <c r="B66" s="144"/>
      <c r="C66" s="207"/>
      <c r="D66" s="207"/>
      <c r="E66" s="207"/>
      <c r="F66" s="207"/>
      <c r="G66" s="207"/>
      <c r="H66" s="213">
        <f>+D28</f>
        <v>41420492.700795829</v>
      </c>
      <c r="I66" s="211">
        <f t="shared" ref="I66:AK66" si="4">IF($D$27&gt;H61,$D$28,0)</f>
        <v>41420492.700795829</v>
      </c>
      <c r="J66" s="211">
        <f t="shared" si="4"/>
        <v>41420492.700795829</v>
      </c>
      <c r="K66" s="211">
        <f t="shared" si="4"/>
        <v>41420492.700795829</v>
      </c>
      <c r="L66" s="211">
        <f t="shared" si="4"/>
        <v>41420492.700795829</v>
      </c>
      <c r="M66" s="211">
        <f t="shared" si="4"/>
        <v>41420492.700795829</v>
      </c>
      <c r="N66" s="211">
        <f t="shared" si="4"/>
        <v>41420492.700795829</v>
      </c>
      <c r="O66" s="211">
        <f t="shared" si="4"/>
        <v>41420492.700795829</v>
      </c>
      <c r="P66" s="211">
        <f t="shared" si="4"/>
        <v>41420492.700795829</v>
      </c>
      <c r="Q66" s="211">
        <f t="shared" si="4"/>
        <v>41420492.700795829</v>
      </c>
      <c r="R66" s="211">
        <f t="shared" si="4"/>
        <v>0</v>
      </c>
      <c r="S66" s="211">
        <f t="shared" si="4"/>
        <v>0</v>
      </c>
      <c r="T66" s="211">
        <f t="shared" si="4"/>
        <v>0</v>
      </c>
      <c r="U66" s="211">
        <f t="shared" si="4"/>
        <v>0</v>
      </c>
      <c r="V66" s="211">
        <f t="shared" si="4"/>
        <v>0</v>
      </c>
      <c r="W66" s="211">
        <f t="shared" si="4"/>
        <v>0</v>
      </c>
      <c r="X66" s="211">
        <f t="shared" si="4"/>
        <v>0</v>
      </c>
      <c r="Y66" s="211">
        <f t="shared" si="4"/>
        <v>0</v>
      </c>
      <c r="Z66" s="211">
        <f t="shared" si="4"/>
        <v>0</v>
      </c>
      <c r="AA66" s="211">
        <f t="shared" si="4"/>
        <v>0</v>
      </c>
      <c r="AB66" s="211">
        <f t="shared" si="4"/>
        <v>0</v>
      </c>
      <c r="AC66" s="211">
        <f t="shared" si="4"/>
        <v>0</v>
      </c>
      <c r="AD66" s="211">
        <f t="shared" si="4"/>
        <v>0</v>
      </c>
      <c r="AE66" s="211">
        <f t="shared" si="4"/>
        <v>0</v>
      </c>
      <c r="AF66" s="211">
        <f t="shared" si="4"/>
        <v>0</v>
      </c>
      <c r="AG66" s="211">
        <f t="shared" si="4"/>
        <v>0</v>
      </c>
      <c r="AH66" s="211">
        <f t="shared" si="4"/>
        <v>0</v>
      </c>
      <c r="AI66" s="211">
        <f t="shared" si="4"/>
        <v>0</v>
      </c>
      <c r="AJ66" s="211">
        <f t="shared" si="4"/>
        <v>0</v>
      </c>
      <c r="AK66" s="152">
        <f t="shared" si="4"/>
        <v>0</v>
      </c>
    </row>
    <row r="67" spans="2:37" x14ac:dyDescent="0.25">
      <c r="B67" s="144" t="s">
        <v>429</v>
      </c>
      <c r="C67" s="207" t="s">
        <v>430</v>
      </c>
      <c r="D67" s="212"/>
      <c r="E67" s="211">
        <f>+E68*$D$26</f>
        <v>1778783.2166822401</v>
      </c>
      <c r="F67" s="211">
        <f>+F68*$D$26</f>
        <v>15119657.341799039</v>
      </c>
      <c r="G67" s="211">
        <f>+G68*$D$26</f>
        <v>22234790.208528001</v>
      </c>
      <c r="H67" s="211">
        <f>D3*(1-D25)*D26</f>
        <v>22234790.208528001</v>
      </c>
      <c r="I67" s="211">
        <f t="shared" ref="I67:AK67" si="5">+H68*$D$26</f>
        <v>20699934.009146575</v>
      </c>
      <c r="J67" s="211">
        <f t="shared" si="5"/>
        <v>19042289.313814633</v>
      </c>
      <c r="K67" s="211">
        <f t="shared" si="5"/>
        <v>17252033.042856138</v>
      </c>
      <c r="L67" s="211">
        <f t="shared" si="5"/>
        <v>15318556.270220961</v>
      </c>
      <c r="M67" s="211">
        <f t="shared" si="5"/>
        <v>13230401.355774973</v>
      </c>
      <c r="N67" s="211">
        <f t="shared" si="5"/>
        <v>10975194.048173305</v>
      </c>
      <c r="O67" s="211">
        <f t="shared" si="5"/>
        <v>8539570.1559635028</v>
      </c>
      <c r="P67" s="211">
        <f t="shared" si="5"/>
        <v>5909096.3523769164</v>
      </c>
      <c r="Q67" s="211">
        <f t="shared" si="5"/>
        <v>3068184.6445034035</v>
      </c>
      <c r="R67" s="211">
        <f t="shared" si="5"/>
        <v>9.2387199401855468E-9</v>
      </c>
      <c r="S67" s="211">
        <f t="shared" si="5"/>
        <v>9.9778175354003902E-9</v>
      </c>
      <c r="T67" s="211">
        <f t="shared" si="5"/>
        <v>1.0776042938232422E-8</v>
      </c>
      <c r="U67" s="211">
        <f t="shared" si="5"/>
        <v>1.1638126373291015E-8</v>
      </c>
      <c r="V67" s="211">
        <f t="shared" si="5"/>
        <v>1.2569176483154296E-8</v>
      </c>
      <c r="W67" s="211">
        <f t="shared" si="5"/>
        <v>1.3574710601806641E-8</v>
      </c>
      <c r="X67" s="211">
        <f t="shared" si="5"/>
        <v>1.4660687449951172E-8</v>
      </c>
      <c r="Y67" s="211">
        <f t="shared" si="5"/>
        <v>1.5833542445947264E-8</v>
      </c>
      <c r="Z67" s="211">
        <f t="shared" si="5"/>
        <v>1.7100225841623047E-8</v>
      </c>
      <c r="AA67" s="211">
        <f t="shared" si="5"/>
        <v>1.846824390895289E-8</v>
      </c>
      <c r="AB67" s="211">
        <f t="shared" si="5"/>
        <v>1.9945703421669118E-8</v>
      </c>
      <c r="AC67" s="211">
        <f t="shared" si="5"/>
        <v>2.1541359695402651E-8</v>
      </c>
      <c r="AD67" s="211">
        <f t="shared" si="5"/>
        <v>2.326466847103486E-8</v>
      </c>
      <c r="AE67" s="211">
        <f t="shared" si="5"/>
        <v>2.512584194871765E-8</v>
      </c>
      <c r="AF67" s="211">
        <f t="shared" si="5"/>
        <v>2.713590930461506E-8</v>
      </c>
      <c r="AG67" s="211">
        <f t="shared" si="5"/>
        <v>2.9306782048984265E-8</v>
      </c>
      <c r="AH67" s="211">
        <f t="shared" si="5"/>
        <v>3.1651324612903003E-8</v>
      </c>
      <c r="AI67" s="211">
        <f t="shared" si="5"/>
        <v>3.4183430581935246E-8</v>
      </c>
      <c r="AJ67" s="211">
        <f t="shared" si="5"/>
        <v>3.6918105028490069E-8</v>
      </c>
      <c r="AK67" s="152">
        <f t="shared" si="5"/>
        <v>3.9871553430769274E-8</v>
      </c>
    </row>
    <row r="68" spans="2:37" x14ac:dyDescent="0.25">
      <c r="B68" s="144"/>
      <c r="C68" s="207" t="s">
        <v>431</v>
      </c>
      <c r="D68" s="212"/>
      <c r="E68" s="211">
        <f>D3*(1-$D$25)*$D$35</f>
        <v>22234790.208528001</v>
      </c>
      <c r="F68" s="212">
        <f>D3*(1-$D$25)*$D$36+E68</f>
        <v>188995716.772488</v>
      </c>
      <c r="G68" s="211">
        <f>D3*(1-$D$25)*$D$37+F68</f>
        <v>277934877.60659999</v>
      </c>
      <c r="H68" s="211">
        <f>D3*(1-D25)-H66+H67</f>
        <v>258749175.11433217</v>
      </c>
      <c r="I68" s="211">
        <f t="shared" ref="I68:AK68" si="6">+H68-I66+I67</f>
        <v>238028616.42268291</v>
      </c>
      <c r="J68" s="211">
        <f t="shared" si="6"/>
        <v>215650413.03570172</v>
      </c>
      <c r="K68" s="211">
        <f t="shared" si="6"/>
        <v>191481953.37776202</v>
      </c>
      <c r="L68" s="211">
        <f t="shared" si="6"/>
        <v>165380016.94718716</v>
      </c>
      <c r="M68" s="211">
        <f t="shared" si="6"/>
        <v>137189925.6021663</v>
      </c>
      <c r="N68" s="211">
        <f t="shared" si="6"/>
        <v>106744626.94954377</v>
      </c>
      <c r="O68" s="211">
        <f t="shared" si="6"/>
        <v>73863704.404711455</v>
      </c>
      <c r="P68" s="211">
        <f t="shared" si="6"/>
        <v>38352308.056292541</v>
      </c>
      <c r="Q68" s="211">
        <f t="shared" si="6"/>
        <v>1.1548399925231934E-7</v>
      </c>
      <c r="R68" s="211">
        <f t="shared" si="6"/>
        <v>1.2472271919250487E-7</v>
      </c>
      <c r="S68" s="211">
        <f t="shared" si="6"/>
        <v>1.3470053672790527E-7</v>
      </c>
      <c r="T68" s="211">
        <f t="shared" si="6"/>
        <v>1.4547657966613769E-7</v>
      </c>
      <c r="U68" s="211">
        <f t="shared" si="6"/>
        <v>1.571147060394287E-7</v>
      </c>
      <c r="V68" s="211">
        <f t="shared" si="6"/>
        <v>1.6968388252258301E-7</v>
      </c>
      <c r="W68" s="211">
        <f t="shared" si="6"/>
        <v>1.8325859312438964E-7</v>
      </c>
      <c r="X68" s="211">
        <f t="shared" si="6"/>
        <v>1.979192805743408E-7</v>
      </c>
      <c r="Y68" s="211">
        <f t="shared" si="6"/>
        <v>2.1375282302028807E-7</v>
      </c>
      <c r="Z68" s="211">
        <f t="shared" si="6"/>
        <v>2.3085304886191111E-7</v>
      </c>
      <c r="AA68" s="211">
        <f t="shared" si="6"/>
        <v>2.4932129277086397E-7</v>
      </c>
      <c r="AB68" s="211">
        <f t="shared" si="6"/>
        <v>2.6926699619253311E-7</v>
      </c>
      <c r="AC68" s="211">
        <f t="shared" si="6"/>
        <v>2.9080835588793575E-7</v>
      </c>
      <c r="AD68" s="211">
        <f t="shared" si="6"/>
        <v>3.1407302435897062E-7</v>
      </c>
      <c r="AE68" s="211">
        <f t="shared" si="6"/>
        <v>3.3919886630768825E-7</v>
      </c>
      <c r="AF68" s="211">
        <f t="shared" si="6"/>
        <v>3.6633477561230332E-7</v>
      </c>
      <c r="AG68" s="211">
        <f t="shared" si="6"/>
        <v>3.9564155766128757E-7</v>
      </c>
      <c r="AH68" s="211">
        <f t="shared" si="6"/>
        <v>4.2729288227419058E-7</v>
      </c>
      <c r="AI68" s="211">
        <f t="shared" si="6"/>
        <v>4.6147631285612584E-7</v>
      </c>
      <c r="AJ68" s="211">
        <f t="shared" si="6"/>
        <v>4.9839441788461594E-7</v>
      </c>
      <c r="AK68" s="152">
        <f t="shared" si="6"/>
        <v>5.3826597131538521E-7</v>
      </c>
    </row>
    <row r="69" spans="2:37" x14ac:dyDescent="0.25">
      <c r="B69" s="144"/>
      <c r="C69" s="207"/>
      <c r="D69" s="207"/>
      <c r="E69" s="207"/>
      <c r="F69" s="207"/>
      <c r="G69" s="207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7"/>
      <c r="AA69" s="207"/>
      <c r="AB69" s="207"/>
      <c r="AC69" s="207"/>
      <c r="AD69" s="207"/>
      <c r="AE69" s="207"/>
      <c r="AF69" s="207"/>
      <c r="AG69" s="207"/>
      <c r="AH69" s="207"/>
      <c r="AI69" s="207"/>
      <c r="AJ69" s="207"/>
      <c r="AK69" s="81"/>
    </row>
    <row r="70" spans="2:37" x14ac:dyDescent="0.25">
      <c r="B70" s="144"/>
      <c r="C70" s="207"/>
      <c r="D70" s="207"/>
      <c r="E70" s="207"/>
      <c r="F70" s="207"/>
      <c r="G70" s="207"/>
      <c r="H70" s="207"/>
      <c r="I70" s="207"/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7"/>
      <c r="AA70" s="207"/>
      <c r="AB70" s="207"/>
      <c r="AC70" s="207"/>
      <c r="AD70" s="207"/>
      <c r="AE70" s="207"/>
      <c r="AF70" s="207"/>
      <c r="AG70" s="207"/>
      <c r="AH70" s="207"/>
      <c r="AI70" s="207"/>
      <c r="AJ70" s="207"/>
      <c r="AK70" s="81"/>
    </row>
    <row r="71" spans="2:37" x14ac:dyDescent="0.25">
      <c r="B71" s="144" t="s">
        <v>432</v>
      </c>
      <c r="C71" s="207" t="s">
        <v>481</v>
      </c>
      <c r="D71" s="207"/>
      <c r="E71" s="207"/>
      <c r="F71" s="207"/>
      <c r="G71" s="207"/>
      <c r="H71" s="211">
        <f>($D$42*$D$55)*(1-$D$40)+($D$42*$D$55)*$D$40*$D$41</f>
        <v>98087248.592935011</v>
      </c>
      <c r="I71" s="211">
        <f>+$D$42*$D$55</f>
        <v>130782998.12391335</v>
      </c>
      <c r="J71" s="211">
        <f t="shared" ref="J71:AK71" si="7">+$D$42*$D$55</f>
        <v>130782998.12391335</v>
      </c>
      <c r="K71" s="211">
        <f t="shared" si="7"/>
        <v>130782998.12391335</v>
      </c>
      <c r="L71" s="211">
        <f t="shared" si="7"/>
        <v>130782998.12391335</v>
      </c>
      <c r="M71" s="211">
        <f t="shared" si="7"/>
        <v>130782998.12391335</v>
      </c>
      <c r="N71" s="211">
        <f t="shared" si="7"/>
        <v>130782998.12391335</v>
      </c>
      <c r="O71" s="211">
        <f t="shared" si="7"/>
        <v>130782998.12391335</v>
      </c>
      <c r="P71" s="211">
        <f t="shared" si="7"/>
        <v>130782998.12391335</v>
      </c>
      <c r="Q71" s="211">
        <f t="shared" si="7"/>
        <v>130782998.12391335</v>
      </c>
      <c r="R71" s="211">
        <f t="shared" si="7"/>
        <v>130782998.12391335</v>
      </c>
      <c r="S71" s="211">
        <f t="shared" si="7"/>
        <v>130782998.12391335</v>
      </c>
      <c r="T71" s="211">
        <f t="shared" si="7"/>
        <v>130782998.12391335</v>
      </c>
      <c r="U71" s="211">
        <f t="shared" si="7"/>
        <v>130782998.12391335</v>
      </c>
      <c r="V71" s="211">
        <f t="shared" si="7"/>
        <v>130782998.12391335</v>
      </c>
      <c r="W71" s="211">
        <f t="shared" si="7"/>
        <v>130782998.12391335</v>
      </c>
      <c r="X71" s="211">
        <f t="shared" si="7"/>
        <v>130782998.12391335</v>
      </c>
      <c r="Y71" s="211">
        <f t="shared" si="7"/>
        <v>130782998.12391335</v>
      </c>
      <c r="Z71" s="211">
        <f t="shared" si="7"/>
        <v>130782998.12391335</v>
      </c>
      <c r="AA71" s="211">
        <f t="shared" si="7"/>
        <v>130782998.12391335</v>
      </c>
      <c r="AB71" s="211">
        <f t="shared" si="7"/>
        <v>130782998.12391335</v>
      </c>
      <c r="AC71" s="211">
        <f t="shared" si="7"/>
        <v>130782998.12391335</v>
      </c>
      <c r="AD71" s="211">
        <f t="shared" si="7"/>
        <v>130782998.12391335</v>
      </c>
      <c r="AE71" s="211">
        <f t="shared" si="7"/>
        <v>130782998.12391335</v>
      </c>
      <c r="AF71" s="211">
        <f t="shared" si="7"/>
        <v>130782998.12391335</v>
      </c>
      <c r="AG71" s="211">
        <f t="shared" si="7"/>
        <v>130782998.12391335</v>
      </c>
      <c r="AH71" s="211">
        <f t="shared" si="7"/>
        <v>130782998.12391335</v>
      </c>
      <c r="AI71" s="211">
        <f t="shared" si="7"/>
        <v>130782998.12391335</v>
      </c>
      <c r="AJ71" s="211">
        <f t="shared" si="7"/>
        <v>130782998.12391335</v>
      </c>
      <c r="AK71" s="152">
        <f t="shared" si="7"/>
        <v>130782998.12391335</v>
      </c>
    </row>
    <row r="72" spans="2:37" x14ac:dyDescent="0.25">
      <c r="B72" s="144"/>
      <c r="C72" s="207"/>
      <c r="D72" s="207"/>
      <c r="E72" s="207"/>
      <c r="F72" s="207"/>
      <c r="G72" s="207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  <c r="AA72" s="211"/>
      <c r="AB72" s="211"/>
      <c r="AC72" s="211"/>
      <c r="AD72" s="211"/>
      <c r="AE72" s="211"/>
      <c r="AF72" s="211"/>
      <c r="AG72" s="211"/>
      <c r="AH72" s="211"/>
      <c r="AI72" s="211"/>
      <c r="AJ72" s="211"/>
      <c r="AK72" s="152"/>
    </row>
    <row r="73" spans="2:37" x14ac:dyDescent="0.25">
      <c r="B73" s="144" t="s">
        <v>479</v>
      </c>
      <c r="C73" s="207" t="s">
        <v>477</v>
      </c>
      <c r="D73" s="207"/>
      <c r="E73" s="207"/>
      <c r="F73" s="207"/>
      <c r="G73" s="207"/>
      <c r="H73" s="211">
        <f>(D44)*(1-$D$40)+(D44)*$D$40*$D$41</f>
        <v>0</v>
      </c>
      <c r="I73" s="211">
        <f>$D$44</f>
        <v>0</v>
      </c>
      <c r="J73" s="211">
        <f t="shared" ref="J73:AK73" si="8">$D$44</f>
        <v>0</v>
      </c>
      <c r="K73" s="211">
        <f t="shared" si="8"/>
        <v>0</v>
      </c>
      <c r="L73" s="211">
        <f t="shared" si="8"/>
        <v>0</v>
      </c>
      <c r="M73" s="211">
        <f t="shared" si="8"/>
        <v>0</v>
      </c>
      <c r="N73" s="211">
        <f t="shared" si="8"/>
        <v>0</v>
      </c>
      <c r="O73" s="211">
        <f t="shared" si="8"/>
        <v>0</v>
      </c>
      <c r="P73" s="211">
        <f t="shared" si="8"/>
        <v>0</v>
      </c>
      <c r="Q73" s="211">
        <f t="shared" si="8"/>
        <v>0</v>
      </c>
      <c r="R73" s="211">
        <f t="shared" si="8"/>
        <v>0</v>
      </c>
      <c r="S73" s="211">
        <f t="shared" si="8"/>
        <v>0</v>
      </c>
      <c r="T73" s="211">
        <f t="shared" si="8"/>
        <v>0</v>
      </c>
      <c r="U73" s="211">
        <f t="shared" si="8"/>
        <v>0</v>
      </c>
      <c r="V73" s="211">
        <f t="shared" si="8"/>
        <v>0</v>
      </c>
      <c r="W73" s="211">
        <f t="shared" si="8"/>
        <v>0</v>
      </c>
      <c r="X73" s="211">
        <f t="shared" si="8"/>
        <v>0</v>
      </c>
      <c r="Y73" s="211">
        <f t="shared" si="8"/>
        <v>0</v>
      </c>
      <c r="Z73" s="211">
        <f t="shared" si="8"/>
        <v>0</v>
      </c>
      <c r="AA73" s="211">
        <f t="shared" si="8"/>
        <v>0</v>
      </c>
      <c r="AB73" s="211">
        <f t="shared" si="8"/>
        <v>0</v>
      </c>
      <c r="AC73" s="211">
        <f t="shared" si="8"/>
        <v>0</v>
      </c>
      <c r="AD73" s="211">
        <f t="shared" si="8"/>
        <v>0</v>
      </c>
      <c r="AE73" s="211">
        <f t="shared" si="8"/>
        <v>0</v>
      </c>
      <c r="AF73" s="211">
        <f t="shared" si="8"/>
        <v>0</v>
      </c>
      <c r="AG73" s="211">
        <f t="shared" si="8"/>
        <v>0</v>
      </c>
      <c r="AH73" s="211">
        <f t="shared" si="8"/>
        <v>0</v>
      </c>
      <c r="AI73" s="211">
        <f t="shared" si="8"/>
        <v>0</v>
      </c>
      <c r="AJ73" s="211">
        <f t="shared" si="8"/>
        <v>0</v>
      </c>
      <c r="AK73" s="152">
        <f t="shared" si="8"/>
        <v>0</v>
      </c>
    </row>
    <row r="74" spans="2:37" x14ac:dyDescent="0.25">
      <c r="B74" s="144"/>
      <c r="C74" s="207" t="s">
        <v>458</v>
      </c>
      <c r="D74" s="207"/>
      <c r="E74" s="207"/>
      <c r="F74" s="207"/>
      <c r="G74" s="207"/>
      <c r="H74" s="211">
        <f t="shared" ref="H74:H76" si="9">(D45)*(1-$D$40)+(D45)*$D$40*$D$41</f>
        <v>792230.16522950958</v>
      </c>
      <c r="I74" s="211">
        <f>$D$45</f>
        <v>1056306.8869726795</v>
      </c>
      <c r="J74" s="211">
        <f t="shared" ref="J74:AK74" si="10">$D$45</f>
        <v>1056306.8869726795</v>
      </c>
      <c r="K74" s="211">
        <f t="shared" si="10"/>
        <v>1056306.8869726795</v>
      </c>
      <c r="L74" s="211">
        <f t="shared" si="10"/>
        <v>1056306.8869726795</v>
      </c>
      <c r="M74" s="211">
        <f t="shared" si="10"/>
        <v>1056306.8869726795</v>
      </c>
      <c r="N74" s="211">
        <f t="shared" si="10"/>
        <v>1056306.8869726795</v>
      </c>
      <c r="O74" s="211">
        <f t="shared" si="10"/>
        <v>1056306.8869726795</v>
      </c>
      <c r="P74" s="211">
        <f t="shared" si="10"/>
        <v>1056306.8869726795</v>
      </c>
      <c r="Q74" s="211">
        <f t="shared" si="10"/>
        <v>1056306.8869726795</v>
      </c>
      <c r="R74" s="211">
        <f t="shared" si="10"/>
        <v>1056306.8869726795</v>
      </c>
      <c r="S74" s="211">
        <f t="shared" si="10"/>
        <v>1056306.8869726795</v>
      </c>
      <c r="T74" s="211">
        <f t="shared" si="10"/>
        <v>1056306.8869726795</v>
      </c>
      <c r="U74" s="211">
        <f t="shared" si="10"/>
        <v>1056306.8869726795</v>
      </c>
      <c r="V74" s="211">
        <f t="shared" si="10"/>
        <v>1056306.8869726795</v>
      </c>
      <c r="W74" s="211">
        <f t="shared" si="10"/>
        <v>1056306.8869726795</v>
      </c>
      <c r="X74" s="211">
        <f t="shared" si="10"/>
        <v>1056306.8869726795</v>
      </c>
      <c r="Y74" s="211">
        <f t="shared" si="10"/>
        <v>1056306.8869726795</v>
      </c>
      <c r="Z74" s="211">
        <f t="shared" si="10"/>
        <v>1056306.8869726795</v>
      </c>
      <c r="AA74" s="211">
        <f t="shared" si="10"/>
        <v>1056306.8869726795</v>
      </c>
      <c r="AB74" s="211">
        <f t="shared" si="10"/>
        <v>1056306.8869726795</v>
      </c>
      <c r="AC74" s="211">
        <f t="shared" si="10"/>
        <v>1056306.8869726795</v>
      </c>
      <c r="AD74" s="211">
        <f t="shared" si="10"/>
        <v>1056306.8869726795</v>
      </c>
      <c r="AE74" s="211">
        <f t="shared" si="10"/>
        <v>1056306.8869726795</v>
      </c>
      <c r="AF74" s="211">
        <f t="shared" si="10"/>
        <v>1056306.8869726795</v>
      </c>
      <c r="AG74" s="211">
        <f t="shared" si="10"/>
        <v>1056306.8869726795</v>
      </c>
      <c r="AH74" s="211">
        <f t="shared" si="10"/>
        <v>1056306.8869726795</v>
      </c>
      <c r="AI74" s="211">
        <f t="shared" si="10"/>
        <v>1056306.8869726795</v>
      </c>
      <c r="AJ74" s="211">
        <f t="shared" si="10"/>
        <v>1056306.8869726795</v>
      </c>
      <c r="AK74" s="152">
        <f t="shared" si="10"/>
        <v>1056306.8869726795</v>
      </c>
    </row>
    <row r="75" spans="2:37" x14ac:dyDescent="0.25">
      <c r="B75" s="144"/>
      <c r="C75" s="207" t="s">
        <v>459</v>
      </c>
      <c r="D75" s="207"/>
      <c r="E75" s="207"/>
      <c r="F75" s="207"/>
      <c r="G75" s="207"/>
      <c r="H75" s="211">
        <f t="shared" si="9"/>
        <v>184282.85205493285</v>
      </c>
      <c r="I75" s="211">
        <f>$D$46</f>
        <v>245710.46940657715</v>
      </c>
      <c r="J75" s="211">
        <f t="shared" ref="J75:AK75" si="11">$D$46</f>
        <v>245710.46940657715</v>
      </c>
      <c r="K75" s="211">
        <f t="shared" si="11"/>
        <v>245710.46940657715</v>
      </c>
      <c r="L75" s="211">
        <f t="shared" si="11"/>
        <v>245710.46940657715</v>
      </c>
      <c r="M75" s="211">
        <f t="shared" si="11"/>
        <v>245710.46940657715</v>
      </c>
      <c r="N75" s="211">
        <f t="shared" si="11"/>
        <v>245710.46940657715</v>
      </c>
      <c r="O75" s="211">
        <f t="shared" si="11"/>
        <v>245710.46940657715</v>
      </c>
      <c r="P75" s="211">
        <f t="shared" si="11"/>
        <v>245710.46940657715</v>
      </c>
      <c r="Q75" s="211">
        <f t="shared" si="11"/>
        <v>245710.46940657715</v>
      </c>
      <c r="R75" s="211">
        <f t="shared" si="11"/>
        <v>245710.46940657715</v>
      </c>
      <c r="S75" s="211">
        <f t="shared" si="11"/>
        <v>245710.46940657715</v>
      </c>
      <c r="T75" s="211">
        <f t="shared" si="11"/>
        <v>245710.46940657715</v>
      </c>
      <c r="U75" s="211">
        <f t="shared" si="11"/>
        <v>245710.46940657715</v>
      </c>
      <c r="V75" s="211">
        <f t="shared" si="11"/>
        <v>245710.46940657715</v>
      </c>
      <c r="W75" s="211">
        <f t="shared" si="11"/>
        <v>245710.46940657715</v>
      </c>
      <c r="X75" s="211">
        <f t="shared" si="11"/>
        <v>245710.46940657715</v>
      </c>
      <c r="Y75" s="211">
        <f t="shared" si="11"/>
        <v>245710.46940657715</v>
      </c>
      <c r="Z75" s="211">
        <f t="shared" si="11"/>
        <v>245710.46940657715</v>
      </c>
      <c r="AA75" s="211">
        <f t="shared" si="11"/>
        <v>245710.46940657715</v>
      </c>
      <c r="AB75" s="211">
        <f t="shared" si="11"/>
        <v>245710.46940657715</v>
      </c>
      <c r="AC75" s="211">
        <f t="shared" si="11"/>
        <v>245710.46940657715</v>
      </c>
      <c r="AD75" s="211">
        <f t="shared" si="11"/>
        <v>245710.46940657715</v>
      </c>
      <c r="AE75" s="211">
        <f t="shared" si="11"/>
        <v>245710.46940657715</v>
      </c>
      <c r="AF75" s="211">
        <f t="shared" si="11"/>
        <v>245710.46940657715</v>
      </c>
      <c r="AG75" s="211">
        <f t="shared" si="11"/>
        <v>245710.46940657715</v>
      </c>
      <c r="AH75" s="211">
        <f t="shared" si="11"/>
        <v>245710.46940657715</v>
      </c>
      <c r="AI75" s="211">
        <f t="shared" si="11"/>
        <v>245710.46940657715</v>
      </c>
      <c r="AJ75" s="211">
        <f t="shared" si="11"/>
        <v>245710.46940657715</v>
      </c>
      <c r="AK75" s="152">
        <f t="shared" si="11"/>
        <v>245710.46940657715</v>
      </c>
    </row>
    <row r="76" spans="2:37" x14ac:dyDescent="0.25">
      <c r="B76" s="144"/>
      <c r="C76" s="207" t="s">
        <v>478</v>
      </c>
      <c r="D76" s="207"/>
      <c r="E76" s="207"/>
      <c r="F76" s="207"/>
      <c r="G76" s="207"/>
      <c r="H76" s="211">
        <f t="shared" si="9"/>
        <v>0.75</v>
      </c>
      <c r="I76" s="211">
        <f>$D$47</f>
        <v>1</v>
      </c>
      <c r="J76" s="211">
        <f t="shared" ref="J76:AK76" si="12">$D$47</f>
        <v>1</v>
      </c>
      <c r="K76" s="211">
        <f t="shared" si="12"/>
        <v>1</v>
      </c>
      <c r="L76" s="211">
        <f t="shared" si="12"/>
        <v>1</v>
      </c>
      <c r="M76" s="211">
        <f t="shared" si="12"/>
        <v>1</v>
      </c>
      <c r="N76" s="211">
        <f t="shared" si="12"/>
        <v>1</v>
      </c>
      <c r="O76" s="211">
        <f t="shared" si="12"/>
        <v>1</v>
      </c>
      <c r="P76" s="211">
        <f t="shared" si="12"/>
        <v>1</v>
      </c>
      <c r="Q76" s="211">
        <f t="shared" si="12"/>
        <v>1</v>
      </c>
      <c r="R76" s="211">
        <f t="shared" si="12"/>
        <v>1</v>
      </c>
      <c r="S76" s="211">
        <f t="shared" si="12"/>
        <v>1</v>
      </c>
      <c r="T76" s="211">
        <f t="shared" si="12"/>
        <v>1</v>
      </c>
      <c r="U76" s="211">
        <f t="shared" si="12"/>
        <v>1</v>
      </c>
      <c r="V76" s="211">
        <f t="shared" si="12"/>
        <v>1</v>
      </c>
      <c r="W76" s="211">
        <f t="shared" si="12"/>
        <v>1</v>
      </c>
      <c r="X76" s="211">
        <f t="shared" si="12"/>
        <v>1</v>
      </c>
      <c r="Y76" s="211">
        <f t="shared" si="12"/>
        <v>1</v>
      </c>
      <c r="Z76" s="211">
        <f t="shared" si="12"/>
        <v>1</v>
      </c>
      <c r="AA76" s="211">
        <f t="shared" si="12"/>
        <v>1</v>
      </c>
      <c r="AB76" s="211">
        <f t="shared" si="12"/>
        <v>1</v>
      </c>
      <c r="AC76" s="211">
        <f t="shared" si="12"/>
        <v>1</v>
      </c>
      <c r="AD76" s="211">
        <f t="shared" si="12"/>
        <v>1</v>
      </c>
      <c r="AE76" s="211">
        <f t="shared" si="12"/>
        <v>1</v>
      </c>
      <c r="AF76" s="211">
        <f t="shared" si="12"/>
        <v>1</v>
      </c>
      <c r="AG76" s="211">
        <f t="shared" si="12"/>
        <v>1</v>
      </c>
      <c r="AH76" s="211">
        <f t="shared" si="12"/>
        <v>1</v>
      </c>
      <c r="AI76" s="211">
        <f t="shared" si="12"/>
        <v>1</v>
      </c>
      <c r="AJ76" s="211">
        <f t="shared" si="12"/>
        <v>1</v>
      </c>
      <c r="AK76" s="152">
        <f t="shared" si="12"/>
        <v>1</v>
      </c>
    </row>
    <row r="77" spans="2:37" x14ac:dyDescent="0.25">
      <c r="B77" s="144"/>
      <c r="C77" s="207"/>
      <c r="D77" s="207"/>
      <c r="E77" s="207"/>
      <c r="F77" s="207"/>
      <c r="G77" s="207"/>
      <c r="H77" s="211"/>
      <c r="I77" s="211"/>
      <c r="J77" s="211"/>
      <c r="K77" s="211"/>
      <c r="L77" s="211"/>
      <c r="M77" s="211"/>
      <c r="N77" s="211"/>
      <c r="O77" s="211"/>
      <c r="P77" s="211"/>
      <c r="Q77" s="211"/>
      <c r="R77" s="211"/>
      <c r="S77" s="211"/>
      <c r="T77" s="211"/>
      <c r="U77" s="211"/>
      <c r="V77" s="211"/>
      <c r="W77" s="211"/>
      <c r="X77" s="211"/>
      <c r="Y77" s="211"/>
      <c r="Z77" s="211"/>
      <c r="AA77" s="211"/>
      <c r="AB77" s="211"/>
      <c r="AC77" s="211"/>
      <c r="AD77" s="211"/>
      <c r="AE77" s="211"/>
      <c r="AF77" s="211"/>
      <c r="AG77" s="211"/>
      <c r="AH77" s="211"/>
      <c r="AI77" s="211"/>
      <c r="AJ77" s="211"/>
      <c r="AK77" s="152"/>
    </row>
    <row r="78" spans="2:37" x14ac:dyDescent="0.25">
      <c r="B78" s="144" t="s">
        <v>433</v>
      </c>
      <c r="C78" s="207"/>
      <c r="D78" s="207"/>
      <c r="E78" s="207"/>
      <c r="F78" s="207"/>
      <c r="G78" s="207"/>
      <c r="H78" s="214">
        <f>SUM(H71:H76)</f>
        <v>99063762.360219464</v>
      </c>
      <c r="I78" s="214">
        <f t="shared" ref="I78:AK78" si="13">SUM(I71:I76)</f>
        <v>132085016.4802926</v>
      </c>
      <c r="J78" s="214">
        <f t="shared" si="13"/>
        <v>132085016.4802926</v>
      </c>
      <c r="K78" s="214">
        <f t="shared" si="13"/>
        <v>132085016.4802926</v>
      </c>
      <c r="L78" s="214">
        <f t="shared" si="13"/>
        <v>132085016.4802926</v>
      </c>
      <c r="M78" s="214">
        <f t="shared" si="13"/>
        <v>132085016.4802926</v>
      </c>
      <c r="N78" s="214">
        <f t="shared" si="13"/>
        <v>132085016.4802926</v>
      </c>
      <c r="O78" s="214">
        <f t="shared" si="13"/>
        <v>132085016.4802926</v>
      </c>
      <c r="P78" s="214">
        <f t="shared" si="13"/>
        <v>132085016.4802926</v>
      </c>
      <c r="Q78" s="214">
        <f t="shared" si="13"/>
        <v>132085016.4802926</v>
      </c>
      <c r="R78" s="214">
        <f t="shared" si="13"/>
        <v>132085016.4802926</v>
      </c>
      <c r="S78" s="214">
        <f t="shared" si="13"/>
        <v>132085016.4802926</v>
      </c>
      <c r="T78" s="214">
        <f t="shared" si="13"/>
        <v>132085016.4802926</v>
      </c>
      <c r="U78" s="214">
        <f t="shared" si="13"/>
        <v>132085016.4802926</v>
      </c>
      <c r="V78" s="214">
        <f t="shared" si="13"/>
        <v>132085016.4802926</v>
      </c>
      <c r="W78" s="214">
        <f t="shared" si="13"/>
        <v>132085016.4802926</v>
      </c>
      <c r="X78" s="214">
        <f t="shared" si="13"/>
        <v>132085016.4802926</v>
      </c>
      <c r="Y78" s="214">
        <f t="shared" si="13"/>
        <v>132085016.4802926</v>
      </c>
      <c r="Z78" s="214">
        <f t="shared" si="13"/>
        <v>132085016.4802926</v>
      </c>
      <c r="AA78" s="214">
        <f t="shared" si="13"/>
        <v>132085016.4802926</v>
      </c>
      <c r="AB78" s="214">
        <f t="shared" si="13"/>
        <v>132085016.4802926</v>
      </c>
      <c r="AC78" s="214">
        <f t="shared" si="13"/>
        <v>132085016.4802926</v>
      </c>
      <c r="AD78" s="214">
        <f t="shared" si="13"/>
        <v>132085016.4802926</v>
      </c>
      <c r="AE78" s="214">
        <f t="shared" si="13"/>
        <v>132085016.4802926</v>
      </c>
      <c r="AF78" s="214">
        <f t="shared" si="13"/>
        <v>132085016.4802926</v>
      </c>
      <c r="AG78" s="214">
        <f t="shared" si="13"/>
        <v>132085016.4802926</v>
      </c>
      <c r="AH78" s="214">
        <f t="shared" si="13"/>
        <v>132085016.4802926</v>
      </c>
      <c r="AI78" s="214">
        <f t="shared" si="13"/>
        <v>132085016.4802926</v>
      </c>
      <c r="AJ78" s="214">
        <f t="shared" si="13"/>
        <v>132085016.4802926</v>
      </c>
      <c r="AK78" s="153">
        <f t="shared" si="13"/>
        <v>132085016.4802926</v>
      </c>
    </row>
    <row r="79" spans="2:37" x14ac:dyDescent="0.25">
      <c r="B79" s="144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81"/>
    </row>
    <row r="80" spans="2:37" x14ac:dyDescent="0.25">
      <c r="B80" s="144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81"/>
    </row>
    <row r="81" spans="2:37" x14ac:dyDescent="0.25">
      <c r="B81" s="144" t="s">
        <v>434</v>
      </c>
      <c r="C81" s="207" t="s">
        <v>184</v>
      </c>
      <c r="D81" s="207"/>
      <c r="E81" s="207"/>
      <c r="F81" s="207"/>
      <c r="G81" s="207"/>
      <c r="H81" s="215">
        <f t="shared" ref="H81:H88" si="14">+D5*(1-$D$40)+D5*$D$40*$D$41</f>
        <v>4410794.6500384621</v>
      </c>
      <c r="I81" s="214">
        <f t="shared" ref="I81:AK81" si="15">+$D5</f>
        <v>5881059.5333846156</v>
      </c>
      <c r="J81" s="214">
        <f t="shared" si="15"/>
        <v>5881059.5333846156</v>
      </c>
      <c r="K81" s="214">
        <f t="shared" si="15"/>
        <v>5881059.5333846156</v>
      </c>
      <c r="L81" s="214">
        <f t="shared" si="15"/>
        <v>5881059.5333846156</v>
      </c>
      <c r="M81" s="214">
        <f t="shared" si="15"/>
        <v>5881059.5333846156</v>
      </c>
      <c r="N81" s="214">
        <f t="shared" si="15"/>
        <v>5881059.5333846156</v>
      </c>
      <c r="O81" s="214">
        <f t="shared" si="15"/>
        <v>5881059.5333846156</v>
      </c>
      <c r="P81" s="214">
        <f t="shared" si="15"/>
        <v>5881059.5333846156</v>
      </c>
      <c r="Q81" s="214">
        <f t="shared" si="15"/>
        <v>5881059.5333846156</v>
      </c>
      <c r="R81" s="214">
        <f t="shared" si="15"/>
        <v>5881059.5333846156</v>
      </c>
      <c r="S81" s="214">
        <f t="shared" si="15"/>
        <v>5881059.5333846156</v>
      </c>
      <c r="T81" s="214">
        <f t="shared" si="15"/>
        <v>5881059.5333846156</v>
      </c>
      <c r="U81" s="214">
        <f t="shared" si="15"/>
        <v>5881059.5333846156</v>
      </c>
      <c r="V81" s="214">
        <f t="shared" si="15"/>
        <v>5881059.5333846156</v>
      </c>
      <c r="W81" s="214">
        <f t="shared" si="15"/>
        <v>5881059.5333846156</v>
      </c>
      <c r="X81" s="214">
        <f t="shared" si="15"/>
        <v>5881059.5333846156</v>
      </c>
      <c r="Y81" s="214">
        <f t="shared" si="15"/>
        <v>5881059.5333846156</v>
      </c>
      <c r="Z81" s="214">
        <f t="shared" si="15"/>
        <v>5881059.5333846156</v>
      </c>
      <c r="AA81" s="214">
        <f t="shared" si="15"/>
        <v>5881059.5333846156</v>
      </c>
      <c r="AB81" s="214">
        <f t="shared" si="15"/>
        <v>5881059.5333846156</v>
      </c>
      <c r="AC81" s="214">
        <f t="shared" si="15"/>
        <v>5881059.5333846156</v>
      </c>
      <c r="AD81" s="214">
        <f t="shared" si="15"/>
        <v>5881059.5333846156</v>
      </c>
      <c r="AE81" s="214">
        <f t="shared" si="15"/>
        <v>5881059.5333846156</v>
      </c>
      <c r="AF81" s="214">
        <f t="shared" si="15"/>
        <v>5881059.5333846156</v>
      </c>
      <c r="AG81" s="214">
        <f t="shared" si="15"/>
        <v>5881059.5333846156</v>
      </c>
      <c r="AH81" s="214">
        <f t="shared" si="15"/>
        <v>5881059.5333846156</v>
      </c>
      <c r="AI81" s="214">
        <f t="shared" si="15"/>
        <v>5881059.5333846156</v>
      </c>
      <c r="AJ81" s="214">
        <f t="shared" si="15"/>
        <v>5881059.5333846156</v>
      </c>
      <c r="AK81" s="153">
        <f t="shared" si="15"/>
        <v>5881059.5333846156</v>
      </c>
    </row>
    <row r="82" spans="2:37" x14ac:dyDescent="0.25">
      <c r="B82" s="144"/>
      <c r="C82" s="207" t="s">
        <v>185</v>
      </c>
      <c r="D82" s="207"/>
      <c r="E82" s="207"/>
      <c r="F82" s="207"/>
      <c r="G82" s="207"/>
      <c r="H82" s="215">
        <f t="shared" si="14"/>
        <v>2834493.903703846</v>
      </c>
      <c r="I82" s="214">
        <f t="shared" ref="I82:AK82" si="16">+$D6</f>
        <v>3779325.2049384615</v>
      </c>
      <c r="J82" s="214">
        <f t="shared" si="16"/>
        <v>3779325.2049384615</v>
      </c>
      <c r="K82" s="214">
        <f t="shared" si="16"/>
        <v>3779325.2049384615</v>
      </c>
      <c r="L82" s="214">
        <f t="shared" si="16"/>
        <v>3779325.2049384615</v>
      </c>
      <c r="M82" s="214">
        <f t="shared" si="16"/>
        <v>3779325.2049384615</v>
      </c>
      <c r="N82" s="214">
        <f t="shared" si="16"/>
        <v>3779325.2049384615</v>
      </c>
      <c r="O82" s="214">
        <f t="shared" si="16"/>
        <v>3779325.2049384615</v>
      </c>
      <c r="P82" s="214">
        <f t="shared" si="16"/>
        <v>3779325.2049384615</v>
      </c>
      <c r="Q82" s="214">
        <f t="shared" si="16"/>
        <v>3779325.2049384615</v>
      </c>
      <c r="R82" s="214">
        <f t="shared" si="16"/>
        <v>3779325.2049384615</v>
      </c>
      <c r="S82" s="214">
        <f t="shared" si="16"/>
        <v>3779325.2049384615</v>
      </c>
      <c r="T82" s="214">
        <f t="shared" si="16"/>
        <v>3779325.2049384615</v>
      </c>
      <c r="U82" s="214">
        <f t="shared" si="16"/>
        <v>3779325.2049384615</v>
      </c>
      <c r="V82" s="214">
        <f t="shared" si="16"/>
        <v>3779325.2049384615</v>
      </c>
      <c r="W82" s="214">
        <f t="shared" si="16"/>
        <v>3779325.2049384615</v>
      </c>
      <c r="X82" s="214">
        <f t="shared" si="16"/>
        <v>3779325.2049384615</v>
      </c>
      <c r="Y82" s="214">
        <f t="shared" si="16"/>
        <v>3779325.2049384615</v>
      </c>
      <c r="Z82" s="214">
        <f t="shared" si="16"/>
        <v>3779325.2049384615</v>
      </c>
      <c r="AA82" s="214">
        <f t="shared" si="16"/>
        <v>3779325.2049384615</v>
      </c>
      <c r="AB82" s="214">
        <f t="shared" si="16"/>
        <v>3779325.2049384615</v>
      </c>
      <c r="AC82" s="214">
        <f t="shared" si="16"/>
        <v>3779325.2049384615</v>
      </c>
      <c r="AD82" s="214">
        <f t="shared" si="16"/>
        <v>3779325.2049384615</v>
      </c>
      <c r="AE82" s="214">
        <f t="shared" si="16"/>
        <v>3779325.2049384615</v>
      </c>
      <c r="AF82" s="214">
        <f t="shared" si="16"/>
        <v>3779325.2049384615</v>
      </c>
      <c r="AG82" s="214">
        <f t="shared" si="16"/>
        <v>3779325.2049384615</v>
      </c>
      <c r="AH82" s="214">
        <f t="shared" si="16"/>
        <v>3779325.2049384615</v>
      </c>
      <c r="AI82" s="214">
        <f t="shared" si="16"/>
        <v>3779325.2049384615</v>
      </c>
      <c r="AJ82" s="214">
        <f t="shared" si="16"/>
        <v>3779325.2049384615</v>
      </c>
      <c r="AK82" s="153">
        <f t="shared" si="16"/>
        <v>3779325.2049384615</v>
      </c>
    </row>
    <row r="83" spans="2:37" x14ac:dyDescent="0.25">
      <c r="B83" s="144"/>
      <c r="C83" s="207" t="s">
        <v>186</v>
      </c>
      <c r="D83" s="207"/>
      <c r="E83" s="207"/>
      <c r="F83" s="207"/>
      <c r="G83" s="207"/>
      <c r="H83" s="215">
        <f t="shared" si="14"/>
        <v>1314060.9820442307</v>
      </c>
      <c r="I83" s="214">
        <f t="shared" ref="I83:AK83" si="17">+$D7</f>
        <v>1752081.3093923074</v>
      </c>
      <c r="J83" s="214">
        <f t="shared" si="17"/>
        <v>1752081.3093923074</v>
      </c>
      <c r="K83" s="214">
        <f t="shared" si="17"/>
        <v>1752081.3093923074</v>
      </c>
      <c r="L83" s="214">
        <f t="shared" si="17"/>
        <v>1752081.3093923074</v>
      </c>
      <c r="M83" s="214">
        <f t="shared" si="17"/>
        <v>1752081.3093923074</v>
      </c>
      <c r="N83" s="214">
        <f t="shared" si="17"/>
        <v>1752081.3093923074</v>
      </c>
      <c r="O83" s="214">
        <f t="shared" si="17"/>
        <v>1752081.3093923074</v>
      </c>
      <c r="P83" s="214">
        <f t="shared" si="17"/>
        <v>1752081.3093923074</v>
      </c>
      <c r="Q83" s="214">
        <f t="shared" si="17"/>
        <v>1752081.3093923074</v>
      </c>
      <c r="R83" s="214">
        <f t="shared" si="17"/>
        <v>1752081.3093923074</v>
      </c>
      <c r="S83" s="214">
        <f t="shared" si="17"/>
        <v>1752081.3093923074</v>
      </c>
      <c r="T83" s="214">
        <f t="shared" si="17"/>
        <v>1752081.3093923074</v>
      </c>
      <c r="U83" s="214">
        <f t="shared" si="17"/>
        <v>1752081.3093923074</v>
      </c>
      <c r="V83" s="214">
        <f t="shared" si="17"/>
        <v>1752081.3093923074</v>
      </c>
      <c r="W83" s="214">
        <f t="shared" si="17"/>
        <v>1752081.3093923074</v>
      </c>
      <c r="X83" s="214">
        <f t="shared" si="17"/>
        <v>1752081.3093923074</v>
      </c>
      <c r="Y83" s="214">
        <f t="shared" si="17"/>
        <v>1752081.3093923074</v>
      </c>
      <c r="Z83" s="214">
        <f t="shared" si="17"/>
        <v>1752081.3093923074</v>
      </c>
      <c r="AA83" s="214">
        <f t="shared" si="17"/>
        <v>1752081.3093923074</v>
      </c>
      <c r="AB83" s="214">
        <f t="shared" si="17"/>
        <v>1752081.3093923074</v>
      </c>
      <c r="AC83" s="214">
        <f t="shared" si="17"/>
        <v>1752081.3093923074</v>
      </c>
      <c r="AD83" s="214">
        <f t="shared" si="17"/>
        <v>1752081.3093923074</v>
      </c>
      <c r="AE83" s="214">
        <f t="shared" si="17"/>
        <v>1752081.3093923074</v>
      </c>
      <c r="AF83" s="214">
        <f t="shared" si="17"/>
        <v>1752081.3093923074</v>
      </c>
      <c r="AG83" s="214">
        <f t="shared" si="17"/>
        <v>1752081.3093923074</v>
      </c>
      <c r="AH83" s="214">
        <f t="shared" si="17"/>
        <v>1752081.3093923074</v>
      </c>
      <c r="AI83" s="214">
        <f t="shared" si="17"/>
        <v>1752081.3093923074</v>
      </c>
      <c r="AJ83" s="214">
        <f t="shared" si="17"/>
        <v>1752081.3093923074</v>
      </c>
      <c r="AK83" s="153">
        <f t="shared" si="17"/>
        <v>1752081.3093923074</v>
      </c>
    </row>
    <row r="84" spans="2:37" x14ac:dyDescent="0.25">
      <c r="B84" s="144"/>
      <c r="C84" s="207" t="s">
        <v>187</v>
      </c>
      <c r="D84" s="207"/>
      <c r="E84" s="207"/>
      <c r="F84" s="207"/>
      <c r="G84" s="207"/>
      <c r="H84" s="215">
        <f t="shared" si="14"/>
        <v>14341982.261826921</v>
      </c>
      <c r="I84" s="214">
        <f t="shared" ref="I84:AK84" si="18">+$D8</f>
        <v>19122643.015769228</v>
      </c>
      <c r="J84" s="214">
        <f t="shared" si="18"/>
        <v>19122643.015769228</v>
      </c>
      <c r="K84" s="214">
        <f t="shared" si="18"/>
        <v>19122643.015769228</v>
      </c>
      <c r="L84" s="214">
        <f t="shared" si="18"/>
        <v>19122643.015769228</v>
      </c>
      <c r="M84" s="214">
        <f t="shared" si="18"/>
        <v>19122643.015769228</v>
      </c>
      <c r="N84" s="214">
        <f t="shared" si="18"/>
        <v>19122643.015769228</v>
      </c>
      <c r="O84" s="214">
        <f t="shared" si="18"/>
        <v>19122643.015769228</v>
      </c>
      <c r="P84" s="214">
        <f t="shared" si="18"/>
        <v>19122643.015769228</v>
      </c>
      <c r="Q84" s="214">
        <f t="shared" si="18"/>
        <v>19122643.015769228</v>
      </c>
      <c r="R84" s="214">
        <f t="shared" si="18"/>
        <v>19122643.015769228</v>
      </c>
      <c r="S84" s="214">
        <f t="shared" si="18"/>
        <v>19122643.015769228</v>
      </c>
      <c r="T84" s="214">
        <f t="shared" si="18"/>
        <v>19122643.015769228</v>
      </c>
      <c r="U84" s="214">
        <f t="shared" si="18"/>
        <v>19122643.015769228</v>
      </c>
      <c r="V84" s="214">
        <f t="shared" si="18"/>
        <v>19122643.015769228</v>
      </c>
      <c r="W84" s="214">
        <f t="shared" si="18"/>
        <v>19122643.015769228</v>
      </c>
      <c r="X84" s="214">
        <f t="shared" si="18"/>
        <v>19122643.015769228</v>
      </c>
      <c r="Y84" s="214">
        <f t="shared" si="18"/>
        <v>19122643.015769228</v>
      </c>
      <c r="Z84" s="214">
        <f t="shared" si="18"/>
        <v>19122643.015769228</v>
      </c>
      <c r="AA84" s="214">
        <f t="shared" si="18"/>
        <v>19122643.015769228</v>
      </c>
      <c r="AB84" s="214">
        <f t="shared" si="18"/>
        <v>19122643.015769228</v>
      </c>
      <c r="AC84" s="214">
        <f t="shared" si="18"/>
        <v>19122643.015769228</v>
      </c>
      <c r="AD84" s="214">
        <f t="shared" si="18"/>
        <v>19122643.015769228</v>
      </c>
      <c r="AE84" s="214">
        <f t="shared" si="18"/>
        <v>19122643.015769228</v>
      </c>
      <c r="AF84" s="214">
        <f t="shared" si="18"/>
        <v>19122643.015769228</v>
      </c>
      <c r="AG84" s="214">
        <f t="shared" si="18"/>
        <v>19122643.015769228</v>
      </c>
      <c r="AH84" s="214">
        <f t="shared" si="18"/>
        <v>19122643.015769228</v>
      </c>
      <c r="AI84" s="214">
        <f t="shared" si="18"/>
        <v>19122643.015769228</v>
      </c>
      <c r="AJ84" s="214">
        <f t="shared" si="18"/>
        <v>19122643.015769228</v>
      </c>
      <c r="AK84" s="153">
        <f t="shared" si="18"/>
        <v>19122643.015769228</v>
      </c>
    </row>
    <row r="85" spans="2:37" x14ac:dyDescent="0.25">
      <c r="B85" s="144"/>
      <c r="C85" s="207" t="s">
        <v>188</v>
      </c>
      <c r="D85" s="207"/>
      <c r="E85" s="207"/>
      <c r="F85" s="207"/>
      <c r="G85" s="207"/>
      <c r="H85" s="215">
        <f t="shared" si="14"/>
        <v>3270918.3327000001</v>
      </c>
      <c r="I85" s="214">
        <f t="shared" ref="I85:AK85" si="19">+$D9</f>
        <v>4361224.4435999999</v>
      </c>
      <c r="J85" s="214">
        <f t="shared" si="19"/>
        <v>4361224.4435999999</v>
      </c>
      <c r="K85" s="214">
        <f t="shared" si="19"/>
        <v>4361224.4435999999</v>
      </c>
      <c r="L85" s="214">
        <f t="shared" si="19"/>
        <v>4361224.4435999999</v>
      </c>
      <c r="M85" s="214">
        <f t="shared" si="19"/>
        <v>4361224.4435999999</v>
      </c>
      <c r="N85" s="214">
        <f t="shared" si="19"/>
        <v>4361224.4435999999</v>
      </c>
      <c r="O85" s="214">
        <f t="shared" si="19"/>
        <v>4361224.4435999999</v>
      </c>
      <c r="P85" s="214">
        <f t="shared" si="19"/>
        <v>4361224.4435999999</v>
      </c>
      <c r="Q85" s="214">
        <f t="shared" si="19"/>
        <v>4361224.4435999999</v>
      </c>
      <c r="R85" s="214">
        <f t="shared" si="19"/>
        <v>4361224.4435999999</v>
      </c>
      <c r="S85" s="214">
        <f t="shared" si="19"/>
        <v>4361224.4435999999</v>
      </c>
      <c r="T85" s="214">
        <f t="shared" si="19"/>
        <v>4361224.4435999999</v>
      </c>
      <c r="U85" s="214">
        <f t="shared" si="19"/>
        <v>4361224.4435999999</v>
      </c>
      <c r="V85" s="214">
        <f t="shared" si="19"/>
        <v>4361224.4435999999</v>
      </c>
      <c r="W85" s="214">
        <f t="shared" si="19"/>
        <v>4361224.4435999999</v>
      </c>
      <c r="X85" s="214">
        <f t="shared" si="19"/>
        <v>4361224.4435999999</v>
      </c>
      <c r="Y85" s="214">
        <f t="shared" si="19"/>
        <v>4361224.4435999999</v>
      </c>
      <c r="Z85" s="214">
        <f t="shared" si="19"/>
        <v>4361224.4435999999</v>
      </c>
      <c r="AA85" s="214">
        <f t="shared" si="19"/>
        <v>4361224.4435999999</v>
      </c>
      <c r="AB85" s="214">
        <f t="shared" si="19"/>
        <v>4361224.4435999999</v>
      </c>
      <c r="AC85" s="214">
        <f t="shared" si="19"/>
        <v>4361224.4435999999</v>
      </c>
      <c r="AD85" s="214">
        <f t="shared" si="19"/>
        <v>4361224.4435999999</v>
      </c>
      <c r="AE85" s="214">
        <f t="shared" si="19"/>
        <v>4361224.4435999999</v>
      </c>
      <c r="AF85" s="214">
        <f t="shared" si="19"/>
        <v>4361224.4435999999</v>
      </c>
      <c r="AG85" s="214">
        <f t="shared" si="19"/>
        <v>4361224.4435999999</v>
      </c>
      <c r="AH85" s="214">
        <f t="shared" si="19"/>
        <v>4361224.4435999999</v>
      </c>
      <c r="AI85" s="214">
        <f t="shared" si="19"/>
        <v>4361224.4435999999</v>
      </c>
      <c r="AJ85" s="214">
        <f t="shared" si="19"/>
        <v>4361224.4435999999</v>
      </c>
      <c r="AK85" s="153">
        <f t="shared" si="19"/>
        <v>4361224.4435999999</v>
      </c>
    </row>
    <row r="86" spans="2:37" x14ac:dyDescent="0.25">
      <c r="B86" s="144"/>
      <c r="C86" s="207" t="s">
        <v>189</v>
      </c>
      <c r="D86" s="207"/>
      <c r="E86" s="207"/>
      <c r="F86" s="207"/>
      <c r="G86" s="207"/>
      <c r="H86" s="215">
        <f t="shared" si="14"/>
        <v>2943826.4994750004</v>
      </c>
      <c r="I86" s="214">
        <f t="shared" ref="I86:AK86" si="20">+$D10</f>
        <v>3925101.9993000007</v>
      </c>
      <c r="J86" s="214">
        <f t="shared" si="20"/>
        <v>3925101.9993000007</v>
      </c>
      <c r="K86" s="214">
        <f t="shared" si="20"/>
        <v>3925101.9993000007</v>
      </c>
      <c r="L86" s="214">
        <f t="shared" si="20"/>
        <v>3925101.9993000007</v>
      </c>
      <c r="M86" s="214">
        <f t="shared" si="20"/>
        <v>3925101.9993000007</v>
      </c>
      <c r="N86" s="214">
        <f t="shared" si="20"/>
        <v>3925101.9993000007</v>
      </c>
      <c r="O86" s="214">
        <f t="shared" si="20"/>
        <v>3925101.9993000007</v>
      </c>
      <c r="P86" s="214">
        <f t="shared" si="20"/>
        <v>3925101.9993000007</v>
      </c>
      <c r="Q86" s="214">
        <f t="shared" si="20"/>
        <v>3925101.9993000007</v>
      </c>
      <c r="R86" s="214">
        <f t="shared" si="20"/>
        <v>3925101.9993000007</v>
      </c>
      <c r="S86" s="214">
        <f t="shared" si="20"/>
        <v>3925101.9993000007</v>
      </c>
      <c r="T86" s="214">
        <f t="shared" si="20"/>
        <v>3925101.9993000007</v>
      </c>
      <c r="U86" s="214">
        <f t="shared" si="20"/>
        <v>3925101.9993000007</v>
      </c>
      <c r="V86" s="214">
        <f t="shared" si="20"/>
        <v>3925101.9993000007</v>
      </c>
      <c r="W86" s="214">
        <f t="shared" si="20"/>
        <v>3925101.9993000007</v>
      </c>
      <c r="X86" s="214">
        <f t="shared" si="20"/>
        <v>3925101.9993000007</v>
      </c>
      <c r="Y86" s="214">
        <f t="shared" si="20"/>
        <v>3925101.9993000007</v>
      </c>
      <c r="Z86" s="214">
        <f t="shared" si="20"/>
        <v>3925101.9993000007</v>
      </c>
      <c r="AA86" s="214">
        <f t="shared" si="20"/>
        <v>3925101.9993000007</v>
      </c>
      <c r="AB86" s="214">
        <f t="shared" si="20"/>
        <v>3925101.9993000007</v>
      </c>
      <c r="AC86" s="214">
        <f t="shared" si="20"/>
        <v>3925101.9993000007</v>
      </c>
      <c r="AD86" s="214">
        <f t="shared" si="20"/>
        <v>3925101.9993000007</v>
      </c>
      <c r="AE86" s="214">
        <f t="shared" si="20"/>
        <v>3925101.9993000007</v>
      </c>
      <c r="AF86" s="214">
        <f t="shared" si="20"/>
        <v>3925101.9993000007</v>
      </c>
      <c r="AG86" s="214">
        <f t="shared" si="20"/>
        <v>3925101.9993000007</v>
      </c>
      <c r="AH86" s="214">
        <f t="shared" si="20"/>
        <v>3925101.9993000007</v>
      </c>
      <c r="AI86" s="214">
        <f t="shared" si="20"/>
        <v>3925101.9993000007</v>
      </c>
      <c r="AJ86" s="214">
        <f t="shared" si="20"/>
        <v>3925101.9993000007</v>
      </c>
      <c r="AK86" s="153">
        <f t="shared" si="20"/>
        <v>3925101.9993000007</v>
      </c>
    </row>
    <row r="87" spans="2:37" x14ac:dyDescent="0.25">
      <c r="B87" s="144"/>
      <c r="C87" s="207" t="s">
        <v>190</v>
      </c>
      <c r="D87" s="207"/>
      <c r="E87" s="207"/>
      <c r="F87" s="207"/>
      <c r="G87" s="207"/>
      <c r="H87" s="215">
        <f t="shared" si="14"/>
        <v>2039800.5923596155</v>
      </c>
      <c r="I87" s="214">
        <f t="shared" ref="I87:AK87" si="21">+$D11</f>
        <v>2719734.123146154</v>
      </c>
      <c r="J87" s="214">
        <f t="shared" si="21"/>
        <v>2719734.123146154</v>
      </c>
      <c r="K87" s="214">
        <f t="shared" si="21"/>
        <v>2719734.123146154</v>
      </c>
      <c r="L87" s="214">
        <f t="shared" si="21"/>
        <v>2719734.123146154</v>
      </c>
      <c r="M87" s="214">
        <f t="shared" si="21"/>
        <v>2719734.123146154</v>
      </c>
      <c r="N87" s="214">
        <f t="shared" si="21"/>
        <v>2719734.123146154</v>
      </c>
      <c r="O87" s="214">
        <f t="shared" si="21"/>
        <v>2719734.123146154</v>
      </c>
      <c r="P87" s="214">
        <f t="shared" si="21"/>
        <v>2719734.123146154</v>
      </c>
      <c r="Q87" s="214">
        <f t="shared" si="21"/>
        <v>2719734.123146154</v>
      </c>
      <c r="R87" s="214">
        <f t="shared" si="21"/>
        <v>2719734.123146154</v>
      </c>
      <c r="S87" s="214">
        <f t="shared" si="21"/>
        <v>2719734.123146154</v>
      </c>
      <c r="T87" s="214">
        <f t="shared" si="21"/>
        <v>2719734.123146154</v>
      </c>
      <c r="U87" s="214">
        <f t="shared" si="21"/>
        <v>2719734.123146154</v>
      </c>
      <c r="V87" s="214">
        <f t="shared" si="21"/>
        <v>2719734.123146154</v>
      </c>
      <c r="W87" s="214">
        <f t="shared" si="21"/>
        <v>2719734.123146154</v>
      </c>
      <c r="X87" s="214">
        <f t="shared" si="21"/>
        <v>2719734.123146154</v>
      </c>
      <c r="Y87" s="214">
        <f t="shared" si="21"/>
        <v>2719734.123146154</v>
      </c>
      <c r="Z87" s="214">
        <f t="shared" si="21"/>
        <v>2719734.123146154</v>
      </c>
      <c r="AA87" s="214">
        <f t="shared" si="21"/>
        <v>2719734.123146154</v>
      </c>
      <c r="AB87" s="214">
        <f t="shared" si="21"/>
        <v>2719734.123146154</v>
      </c>
      <c r="AC87" s="214">
        <f t="shared" si="21"/>
        <v>2719734.123146154</v>
      </c>
      <c r="AD87" s="214">
        <f t="shared" si="21"/>
        <v>2719734.123146154</v>
      </c>
      <c r="AE87" s="214">
        <f t="shared" si="21"/>
        <v>2719734.123146154</v>
      </c>
      <c r="AF87" s="214">
        <f t="shared" si="21"/>
        <v>2719734.123146154</v>
      </c>
      <c r="AG87" s="214">
        <f t="shared" si="21"/>
        <v>2719734.123146154</v>
      </c>
      <c r="AH87" s="214">
        <f t="shared" si="21"/>
        <v>2719734.123146154</v>
      </c>
      <c r="AI87" s="214">
        <f t="shared" si="21"/>
        <v>2719734.123146154</v>
      </c>
      <c r="AJ87" s="214">
        <f t="shared" si="21"/>
        <v>2719734.123146154</v>
      </c>
      <c r="AK87" s="153">
        <f t="shared" si="21"/>
        <v>2719734.123146154</v>
      </c>
    </row>
    <row r="88" spans="2:37" x14ac:dyDescent="0.25">
      <c r="B88" s="144"/>
      <c r="C88" s="207" t="s">
        <v>191</v>
      </c>
      <c r="D88" s="207"/>
      <c r="E88" s="207"/>
      <c r="F88" s="207"/>
      <c r="G88" s="207"/>
      <c r="H88" s="215">
        <f t="shared" si="14"/>
        <v>2113411.7588596153</v>
      </c>
      <c r="I88" s="214">
        <f t="shared" ref="I88:AK88" si="22">+$D12</f>
        <v>2817882.3451461536</v>
      </c>
      <c r="J88" s="214">
        <f t="shared" si="22"/>
        <v>2817882.3451461536</v>
      </c>
      <c r="K88" s="214">
        <f t="shared" si="22"/>
        <v>2817882.3451461536</v>
      </c>
      <c r="L88" s="214">
        <f t="shared" si="22"/>
        <v>2817882.3451461536</v>
      </c>
      <c r="M88" s="214">
        <f t="shared" si="22"/>
        <v>2817882.3451461536</v>
      </c>
      <c r="N88" s="214">
        <f t="shared" si="22"/>
        <v>2817882.3451461536</v>
      </c>
      <c r="O88" s="214">
        <f t="shared" si="22"/>
        <v>2817882.3451461536</v>
      </c>
      <c r="P88" s="214">
        <f t="shared" si="22"/>
        <v>2817882.3451461536</v>
      </c>
      <c r="Q88" s="214">
        <f t="shared" si="22"/>
        <v>2817882.3451461536</v>
      </c>
      <c r="R88" s="214">
        <f t="shared" si="22"/>
        <v>2817882.3451461536</v>
      </c>
      <c r="S88" s="214">
        <f t="shared" si="22"/>
        <v>2817882.3451461536</v>
      </c>
      <c r="T88" s="214">
        <f t="shared" si="22"/>
        <v>2817882.3451461536</v>
      </c>
      <c r="U88" s="214">
        <f t="shared" si="22"/>
        <v>2817882.3451461536</v>
      </c>
      <c r="V88" s="214">
        <f t="shared" si="22"/>
        <v>2817882.3451461536</v>
      </c>
      <c r="W88" s="214">
        <f t="shared" si="22"/>
        <v>2817882.3451461536</v>
      </c>
      <c r="X88" s="214">
        <f t="shared" si="22"/>
        <v>2817882.3451461536</v>
      </c>
      <c r="Y88" s="214">
        <f t="shared" si="22"/>
        <v>2817882.3451461536</v>
      </c>
      <c r="Z88" s="214">
        <f t="shared" si="22"/>
        <v>2817882.3451461536</v>
      </c>
      <c r="AA88" s="214">
        <f t="shared" si="22"/>
        <v>2817882.3451461536</v>
      </c>
      <c r="AB88" s="214">
        <f t="shared" si="22"/>
        <v>2817882.3451461536</v>
      </c>
      <c r="AC88" s="214">
        <f t="shared" si="22"/>
        <v>2817882.3451461536</v>
      </c>
      <c r="AD88" s="214">
        <f t="shared" si="22"/>
        <v>2817882.3451461536</v>
      </c>
      <c r="AE88" s="214">
        <f t="shared" si="22"/>
        <v>2817882.3451461536</v>
      </c>
      <c r="AF88" s="214">
        <f t="shared" si="22"/>
        <v>2817882.3451461536</v>
      </c>
      <c r="AG88" s="214">
        <f t="shared" si="22"/>
        <v>2817882.3451461536</v>
      </c>
      <c r="AH88" s="214">
        <f t="shared" si="22"/>
        <v>2817882.3451461536</v>
      </c>
      <c r="AI88" s="214">
        <f t="shared" si="22"/>
        <v>2817882.3451461536</v>
      </c>
      <c r="AJ88" s="214">
        <f t="shared" si="22"/>
        <v>2817882.3451461536</v>
      </c>
      <c r="AK88" s="153">
        <f t="shared" si="22"/>
        <v>2817882.3451461536</v>
      </c>
    </row>
    <row r="89" spans="2:37" x14ac:dyDescent="0.25">
      <c r="B89" s="144"/>
      <c r="C89" s="207" t="s">
        <v>396</v>
      </c>
      <c r="D89" s="207"/>
      <c r="E89" s="207"/>
      <c r="F89" s="207"/>
      <c r="G89" s="207"/>
      <c r="H89" s="215">
        <f t="shared" ref="H89:H97" si="23">+D13*(1-$D$40)+D13*$D$40*$D$41</f>
        <v>195923.90338384616</v>
      </c>
      <c r="I89" s="214">
        <f t="shared" ref="I89:N89" si="24">+$D13</f>
        <v>261231.87117846153</v>
      </c>
      <c r="J89" s="214">
        <f t="shared" si="24"/>
        <v>261231.87117846153</v>
      </c>
      <c r="K89" s="214">
        <f t="shared" si="24"/>
        <v>261231.87117846153</v>
      </c>
      <c r="L89" s="214">
        <f t="shared" si="24"/>
        <v>261231.87117846153</v>
      </c>
      <c r="M89" s="214">
        <f t="shared" si="24"/>
        <v>261231.87117846153</v>
      </c>
      <c r="N89" s="214">
        <f t="shared" si="24"/>
        <v>261231.87117846153</v>
      </c>
      <c r="O89" s="214">
        <f t="shared" ref="O89:AK89" si="25">+$D13</f>
        <v>261231.87117846153</v>
      </c>
      <c r="P89" s="214">
        <f t="shared" si="25"/>
        <v>261231.87117846153</v>
      </c>
      <c r="Q89" s="214">
        <f t="shared" si="25"/>
        <v>261231.87117846153</v>
      </c>
      <c r="R89" s="214">
        <f t="shared" si="25"/>
        <v>261231.87117846153</v>
      </c>
      <c r="S89" s="214">
        <f t="shared" si="25"/>
        <v>261231.87117846153</v>
      </c>
      <c r="T89" s="214">
        <f t="shared" si="25"/>
        <v>261231.87117846153</v>
      </c>
      <c r="U89" s="214">
        <f t="shared" si="25"/>
        <v>261231.87117846153</v>
      </c>
      <c r="V89" s="214">
        <f t="shared" si="25"/>
        <v>261231.87117846153</v>
      </c>
      <c r="W89" s="214">
        <f t="shared" si="25"/>
        <v>261231.87117846153</v>
      </c>
      <c r="X89" s="214">
        <f t="shared" si="25"/>
        <v>261231.87117846153</v>
      </c>
      <c r="Y89" s="214">
        <f t="shared" si="25"/>
        <v>261231.87117846153</v>
      </c>
      <c r="Z89" s="214">
        <f t="shared" si="25"/>
        <v>261231.87117846153</v>
      </c>
      <c r="AA89" s="214">
        <f t="shared" si="25"/>
        <v>261231.87117846153</v>
      </c>
      <c r="AB89" s="214">
        <f t="shared" si="25"/>
        <v>261231.87117846153</v>
      </c>
      <c r="AC89" s="214">
        <f t="shared" si="25"/>
        <v>261231.87117846153</v>
      </c>
      <c r="AD89" s="214">
        <f t="shared" si="25"/>
        <v>261231.87117846153</v>
      </c>
      <c r="AE89" s="214">
        <f t="shared" si="25"/>
        <v>261231.87117846153</v>
      </c>
      <c r="AF89" s="214">
        <f t="shared" si="25"/>
        <v>261231.87117846153</v>
      </c>
      <c r="AG89" s="214">
        <f t="shared" si="25"/>
        <v>261231.87117846153</v>
      </c>
      <c r="AH89" s="214">
        <f t="shared" si="25"/>
        <v>261231.87117846153</v>
      </c>
      <c r="AI89" s="214">
        <f t="shared" si="25"/>
        <v>261231.87117846153</v>
      </c>
      <c r="AJ89" s="214">
        <f t="shared" si="25"/>
        <v>261231.87117846153</v>
      </c>
      <c r="AK89" s="153">
        <f t="shared" si="25"/>
        <v>261231.87117846153</v>
      </c>
    </row>
    <row r="90" spans="2:37" x14ac:dyDescent="0.25">
      <c r="B90" s="144"/>
      <c r="C90" s="207" t="s">
        <v>339</v>
      </c>
      <c r="D90" s="207"/>
      <c r="E90" s="207"/>
      <c r="F90" s="207"/>
      <c r="G90" s="207"/>
      <c r="H90" s="215">
        <f t="shared" si="23"/>
        <v>397653.16822557698</v>
      </c>
      <c r="I90" s="214">
        <f t="shared" ref="I90:N90" si="26">+$D14</f>
        <v>530204.22430076927</v>
      </c>
      <c r="J90" s="214">
        <f t="shared" si="26"/>
        <v>530204.22430076927</v>
      </c>
      <c r="K90" s="214">
        <f t="shared" si="26"/>
        <v>530204.22430076927</v>
      </c>
      <c r="L90" s="214">
        <f t="shared" si="26"/>
        <v>530204.22430076927</v>
      </c>
      <c r="M90" s="214">
        <f t="shared" si="26"/>
        <v>530204.22430076927</v>
      </c>
      <c r="N90" s="214">
        <f t="shared" si="26"/>
        <v>530204.22430076927</v>
      </c>
      <c r="O90" s="214">
        <f t="shared" ref="O90:AK90" si="27">+$D14</f>
        <v>530204.22430076927</v>
      </c>
      <c r="P90" s="214">
        <f t="shared" si="27"/>
        <v>530204.22430076927</v>
      </c>
      <c r="Q90" s="214">
        <f t="shared" si="27"/>
        <v>530204.22430076927</v>
      </c>
      <c r="R90" s="214">
        <f t="shared" si="27"/>
        <v>530204.22430076927</v>
      </c>
      <c r="S90" s="214">
        <f t="shared" si="27"/>
        <v>530204.22430076927</v>
      </c>
      <c r="T90" s="214">
        <f t="shared" si="27"/>
        <v>530204.22430076927</v>
      </c>
      <c r="U90" s="214">
        <f t="shared" si="27"/>
        <v>530204.22430076927</v>
      </c>
      <c r="V90" s="214">
        <f t="shared" si="27"/>
        <v>530204.22430076927</v>
      </c>
      <c r="W90" s="214">
        <f t="shared" si="27"/>
        <v>530204.22430076927</v>
      </c>
      <c r="X90" s="214">
        <f t="shared" si="27"/>
        <v>530204.22430076927</v>
      </c>
      <c r="Y90" s="214">
        <f t="shared" si="27"/>
        <v>530204.22430076927</v>
      </c>
      <c r="Z90" s="214">
        <f t="shared" si="27"/>
        <v>530204.22430076927</v>
      </c>
      <c r="AA90" s="214">
        <f t="shared" si="27"/>
        <v>530204.22430076927</v>
      </c>
      <c r="AB90" s="214">
        <f t="shared" si="27"/>
        <v>530204.22430076927</v>
      </c>
      <c r="AC90" s="214">
        <f t="shared" si="27"/>
        <v>530204.22430076927</v>
      </c>
      <c r="AD90" s="214">
        <f t="shared" si="27"/>
        <v>530204.22430076927</v>
      </c>
      <c r="AE90" s="214">
        <f t="shared" si="27"/>
        <v>530204.22430076927</v>
      </c>
      <c r="AF90" s="214">
        <f t="shared" si="27"/>
        <v>530204.22430076927</v>
      </c>
      <c r="AG90" s="214">
        <f t="shared" si="27"/>
        <v>530204.22430076927</v>
      </c>
      <c r="AH90" s="214">
        <f t="shared" si="27"/>
        <v>530204.22430076927</v>
      </c>
      <c r="AI90" s="214">
        <f t="shared" si="27"/>
        <v>530204.22430076927</v>
      </c>
      <c r="AJ90" s="214">
        <f t="shared" si="27"/>
        <v>530204.22430076927</v>
      </c>
      <c r="AK90" s="153">
        <f t="shared" si="27"/>
        <v>530204.22430076927</v>
      </c>
    </row>
    <row r="91" spans="2:37" x14ac:dyDescent="0.25">
      <c r="B91" s="144"/>
      <c r="C91" s="207" t="s">
        <v>346</v>
      </c>
      <c r="D91" s="207"/>
      <c r="E91" s="207"/>
      <c r="F91" s="207"/>
      <c r="G91" s="207"/>
      <c r="H91" s="215">
        <f t="shared" si="23"/>
        <v>1135148.8730250001</v>
      </c>
      <c r="I91" s="214">
        <f t="shared" ref="I91:N91" si="28">+$D15</f>
        <v>1513531.8307000003</v>
      </c>
      <c r="J91" s="214">
        <f t="shared" si="28"/>
        <v>1513531.8307000003</v>
      </c>
      <c r="K91" s="214">
        <f t="shared" si="28"/>
        <v>1513531.8307000003</v>
      </c>
      <c r="L91" s="214">
        <f t="shared" si="28"/>
        <v>1513531.8307000003</v>
      </c>
      <c r="M91" s="214">
        <f t="shared" si="28"/>
        <v>1513531.8307000003</v>
      </c>
      <c r="N91" s="214">
        <f t="shared" si="28"/>
        <v>1513531.8307000003</v>
      </c>
      <c r="O91" s="214">
        <f t="shared" ref="O91:AK91" si="29">+$D15</f>
        <v>1513531.8307000003</v>
      </c>
      <c r="P91" s="214">
        <f t="shared" si="29"/>
        <v>1513531.8307000003</v>
      </c>
      <c r="Q91" s="214">
        <f t="shared" si="29"/>
        <v>1513531.8307000003</v>
      </c>
      <c r="R91" s="214">
        <f t="shared" si="29"/>
        <v>1513531.8307000003</v>
      </c>
      <c r="S91" s="214">
        <f t="shared" si="29"/>
        <v>1513531.8307000003</v>
      </c>
      <c r="T91" s="214">
        <f t="shared" si="29"/>
        <v>1513531.8307000003</v>
      </c>
      <c r="U91" s="214">
        <f t="shared" si="29"/>
        <v>1513531.8307000003</v>
      </c>
      <c r="V91" s="214">
        <f t="shared" si="29"/>
        <v>1513531.8307000003</v>
      </c>
      <c r="W91" s="214">
        <f t="shared" si="29"/>
        <v>1513531.8307000003</v>
      </c>
      <c r="X91" s="214">
        <f t="shared" si="29"/>
        <v>1513531.8307000003</v>
      </c>
      <c r="Y91" s="214">
        <f t="shared" si="29"/>
        <v>1513531.8307000003</v>
      </c>
      <c r="Z91" s="214">
        <f t="shared" si="29"/>
        <v>1513531.8307000003</v>
      </c>
      <c r="AA91" s="214">
        <f t="shared" si="29"/>
        <v>1513531.8307000003</v>
      </c>
      <c r="AB91" s="214">
        <f t="shared" si="29"/>
        <v>1513531.8307000003</v>
      </c>
      <c r="AC91" s="214">
        <f t="shared" si="29"/>
        <v>1513531.8307000003</v>
      </c>
      <c r="AD91" s="214">
        <f t="shared" si="29"/>
        <v>1513531.8307000003</v>
      </c>
      <c r="AE91" s="214">
        <f t="shared" si="29"/>
        <v>1513531.8307000003</v>
      </c>
      <c r="AF91" s="214">
        <f t="shared" si="29"/>
        <v>1513531.8307000003</v>
      </c>
      <c r="AG91" s="214">
        <f t="shared" si="29"/>
        <v>1513531.8307000003</v>
      </c>
      <c r="AH91" s="214">
        <f t="shared" si="29"/>
        <v>1513531.8307000003</v>
      </c>
      <c r="AI91" s="214">
        <f t="shared" si="29"/>
        <v>1513531.8307000003</v>
      </c>
      <c r="AJ91" s="214">
        <f t="shared" si="29"/>
        <v>1513531.8307000003</v>
      </c>
      <c r="AK91" s="153">
        <f t="shared" si="29"/>
        <v>1513531.8307000003</v>
      </c>
    </row>
    <row r="92" spans="2:37" x14ac:dyDescent="0.25">
      <c r="B92" s="144"/>
      <c r="C92" s="207" t="s">
        <v>188</v>
      </c>
      <c r="D92" s="207"/>
      <c r="E92" s="207"/>
      <c r="F92" s="207"/>
      <c r="G92" s="207"/>
      <c r="H92" s="215">
        <f t="shared" si="23"/>
        <v>385469.15887499996</v>
      </c>
      <c r="I92" s="214">
        <f t="shared" ref="I92:N92" si="30">+$D16</f>
        <v>513958.87849999993</v>
      </c>
      <c r="J92" s="214">
        <f t="shared" si="30"/>
        <v>513958.87849999993</v>
      </c>
      <c r="K92" s="214">
        <f t="shared" si="30"/>
        <v>513958.87849999993</v>
      </c>
      <c r="L92" s="214">
        <f t="shared" si="30"/>
        <v>513958.87849999993</v>
      </c>
      <c r="M92" s="214">
        <f t="shared" si="30"/>
        <v>513958.87849999993</v>
      </c>
      <c r="N92" s="214">
        <f t="shared" si="30"/>
        <v>513958.87849999993</v>
      </c>
      <c r="O92" s="214">
        <f t="shared" ref="O92:AK92" si="31">+$D16</f>
        <v>513958.87849999993</v>
      </c>
      <c r="P92" s="214">
        <f t="shared" si="31"/>
        <v>513958.87849999993</v>
      </c>
      <c r="Q92" s="214">
        <f t="shared" si="31"/>
        <v>513958.87849999993</v>
      </c>
      <c r="R92" s="214">
        <f t="shared" si="31"/>
        <v>513958.87849999993</v>
      </c>
      <c r="S92" s="214">
        <f t="shared" si="31"/>
        <v>513958.87849999993</v>
      </c>
      <c r="T92" s="214">
        <f t="shared" si="31"/>
        <v>513958.87849999993</v>
      </c>
      <c r="U92" s="214">
        <f t="shared" si="31"/>
        <v>513958.87849999993</v>
      </c>
      <c r="V92" s="214">
        <f t="shared" si="31"/>
        <v>513958.87849999993</v>
      </c>
      <c r="W92" s="214">
        <f t="shared" si="31"/>
        <v>513958.87849999993</v>
      </c>
      <c r="X92" s="214">
        <f t="shared" si="31"/>
        <v>513958.87849999993</v>
      </c>
      <c r="Y92" s="214">
        <f t="shared" si="31"/>
        <v>513958.87849999993</v>
      </c>
      <c r="Z92" s="214">
        <f t="shared" si="31"/>
        <v>513958.87849999993</v>
      </c>
      <c r="AA92" s="214">
        <f t="shared" si="31"/>
        <v>513958.87849999993</v>
      </c>
      <c r="AB92" s="214">
        <f t="shared" si="31"/>
        <v>513958.87849999993</v>
      </c>
      <c r="AC92" s="214">
        <f t="shared" si="31"/>
        <v>513958.87849999993</v>
      </c>
      <c r="AD92" s="214">
        <f t="shared" si="31"/>
        <v>513958.87849999993</v>
      </c>
      <c r="AE92" s="214">
        <f t="shared" si="31"/>
        <v>513958.87849999993</v>
      </c>
      <c r="AF92" s="214">
        <f t="shared" si="31"/>
        <v>513958.87849999993</v>
      </c>
      <c r="AG92" s="214">
        <f t="shared" si="31"/>
        <v>513958.87849999993</v>
      </c>
      <c r="AH92" s="214">
        <f t="shared" si="31"/>
        <v>513958.87849999993</v>
      </c>
      <c r="AI92" s="214">
        <f t="shared" si="31"/>
        <v>513958.87849999993</v>
      </c>
      <c r="AJ92" s="214">
        <f t="shared" si="31"/>
        <v>513958.87849999993</v>
      </c>
      <c r="AK92" s="153">
        <f t="shared" si="31"/>
        <v>513958.87849999993</v>
      </c>
    </row>
    <row r="93" spans="2:37" x14ac:dyDescent="0.25">
      <c r="B93" s="144"/>
      <c r="C93" s="207" t="s">
        <v>199</v>
      </c>
      <c r="D93" s="207"/>
      <c r="E93" s="207"/>
      <c r="F93" s="207"/>
      <c r="G93" s="207"/>
      <c r="H93" s="215">
        <f t="shared" si="23"/>
        <v>0</v>
      </c>
      <c r="I93" s="214">
        <f t="shared" ref="I93:N93" si="32">+$D17</f>
        <v>0</v>
      </c>
      <c r="J93" s="214">
        <f t="shared" si="32"/>
        <v>0</v>
      </c>
      <c r="K93" s="214">
        <f t="shared" si="32"/>
        <v>0</v>
      </c>
      <c r="L93" s="214">
        <f t="shared" si="32"/>
        <v>0</v>
      </c>
      <c r="M93" s="214">
        <f t="shared" si="32"/>
        <v>0</v>
      </c>
      <c r="N93" s="214">
        <f t="shared" si="32"/>
        <v>0</v>
      </c>
      <c r="O93" s="214">
        <f t="shared" ref="O93:AK93" si="33">+$D17</f>
        <v>0</v>
      </c>
      <c r="P93" s="214">
        <f t="shared" si="33"/>
        <v>0</v>
      </c>
      <c r="Q93" s="214">
        <f t="shared" si="33"/>
        <v>0</v>
      </c>
      <c r="R93" s="214">
        <f t="shared" si="33"/>
        <v>0</v>
      </c>
      <c r="S93" s="214">
        <f t="shared" si="33"/>
        <v>0</v>
      </c>
      <c r="T93" s="214">
        <f t="shared" si="33"/>
        <v>0</v>
      </c>
      <c r="U93" s="214">
        <f t="shared" si="33"/>
        <v>0</v>
      </c>
      <c r="V93" s="214">
        <f t="shared" si="33"/>
        <v>0</v>
      </c>
      <c r="W93" s="214">
        <f t="shared" si="33"/>
        <v>0</v>
      </c>
      <c r="X93" s="214">
        <f t="shared" si="33"/>
        <v>0</v>
      </c>
      <c r="Y93" s="214">
        <f t="shared" si="33"/>
        <v>0</v>
      </c>
      <c r="Z93" s="214">
        <f t="shared" si="33"/>
        <v>0</v>
      </c>
      <c r="AA93" s="214">
        <f t="shared" si="33"/>
        <v>0</v>
      </c>
      <c r="AB93" s="214">
        <f t="shared" si="33"/>
        <v>0</v>
      </c>
      <c r="AC93" s="214">
        <f t="shared" si="33"/>
        <v>0</v>
      </c>
      <c r="AD93" s="214">
        <f t="shared" si="33"/>
        <v>0</v>
      </c>
      <c r="AE93" s="214">
        <f t="shared" si="33"/>
        <v>0</v>
      </c>
      <c r="AF93" s="214">
        <f t="shared" si="33"/>
        <v>0</v>
      </c>
      <c r="AG93" s="214">
        <f t="shared" si="33"/>
        <v>0</v>
      </c>
      <c r="AH93" s="214">
        <f t="shared" si="33"/>
        <v>0</v>
      </c>
      <c r="AI93" s="214">
        <f t="shared" si="33"/>
        <v>0</v>
      </c>
      <c r="AJ93" s="214">
        <f t="shared" si="33"/>
        <v>0</v>
      </c>
      <c r="AK93" s="153">
        <f t="shared" si="33"/>
        <v>0</v>
      </c>
    </row>
    <row r="94" spans="2:37" x14ac:dyDescent="0.25">
      <c r="B94" s="144"/>
      <c r="C94" s="207" t="s">
        <v>388</v>
      </c>
      <c r="D94" s="207"/>
      <c r="E94" s="207"/>
      <c r="F94" s="207"/>
      <c r="G94" s="207"/>
      <c r="H94" s="215">
        <f t="shared" si="23"/>
        <v>2502644.7301153843</v>
      </c>
      <c r="I94" s="214">
        <f t="shared" ref="I94:N94" si="34">+$D18</f>
        <v>3336859.6401538458</v>
      </c>
      <c r="J94" s="214">
        <f t="shared" si="34"/>
        <v>3336859.6401538458</v>
      </c>
      <c r="K94" s="214">
        <f t="shared" si="34"/>
        <v>3336859.6401538458</v>
      </c>
      <c r="L94" s="214">
        <f t="shared" si="34"/>
        <v>3336859.6401538458</v>
      </c>
      <c r="M94" s="214">
        <f t="shared" si="34"/>
        <v>3336859.6401538458</v>
      </c>
      <c r="N94" s="214">
        <f t="shared" si="34"/>
        <v>3336859.6401538458</v>
      </c>
      <c r="O94" s="214">
        <f t="shared" ref="O94:AK94" si="35">+$D18</f>
        <v>3336859.6401538458</v>
      </c>
      <c r="P94" s="214">
        <f t="shared" si="35"/>
        <v>3336859.6401538458</v>
      </c>
      <c r="Q94" s="214">
        <f t="shared" si="35"/>
        <v>3336859.6401538458</v>
      </c>
      <c r="R94" s="214">
        <f t="shared" si="35"/>
        <v>3336859.6401538458</v>
      </c>
      <c r="S94" s="214">
        <f t="shared" si="35"/>
        <v>3336859.6401538458</v>
      </c>
      <c r="T94" s="214">
        <f t="shared" si="35"/>
        <v>3336859.6401538458</v>
      </c>
      <c r="U94" s="214">
        <f t="shared" si="35"/>
        <v>3336859.6401538458</v>
      </c>
      <c r="V94" s="214">
        <f t="shared" si="35"/>
        <v>3336859.6401538458</v>
      </c>
      <c r="W94" s="214">
        <f t="shared" si="35"/>
        <v>3336859.6401538458</v>
      </c>
      <c r="X94" s="214">
        <f t="shared" si="35"/>
        <v>3336859.6401538458</v>
      </c>
      <c r="Y94" s="214">
        <f t="shared" si="35"/>
        <v>3336859.6401538458</v>
      </c>
      <c r="Z94" s="214">
        <f t="shared" si="35"/>
        <v>3336859.6401538458</v>
      </c>
      <c r="AA94" s="214">
        <f t="shared" si="35"/>
        <v>3336859.6401538458</v>
      </c>
      <c r="AB94" s="214">
        <f t="shared" si="35"/>
        <v>3336859.6401538458</v>
      </c>
      <c r="AC94" s="214">
        <f t="shared" si="35"/>
        <v>3336859.6401538458</v>
      </c>
      <c r="AD94" s="214">
        <f t="shared" si="35"/>
        <v>3336859.6401538458</v>
      </c>
      <c r="AE94" s="214">
        <f t="shared" si="35"/>
        <v>3336859.6401538458</v>
      </c>
      <c r="AF94" s="214">
        <f t="shared" si="35"/>
        <v>3336859.6401538458</v>
      </c>
      <c r="AG94" s="214">
        <f t="shared" si="35"/>
        <v>3336859.6401538458</v>
      </c>
      <c r="AH94" s="214">
        <f t="shared" si="35"/>
        <v>3336859.6401538458</v>
      </c>
      <c r="AI94" s="214">
        <f t="shared" si="35"/>
        <v>3336859.6401538458</v>
      </c>
      <c r="AJ94" s="214">
        <f t="shared" si="35"/>
        <v>3336859.6401538458</v>
      </c>
      <c r="AK94" s="153">
        <f t="shared" si="35"/>
        <v>3336859.6401538458</v>
      </c>
    </row>
    <row r="95" spans="2:37" x14ac:dyDescent="0.25">
      <c r="B95" s="144"/>
      <c r="C95" s="207" t="s">
        <v>191</v>
      </c>
      <c r="D95" s="207"/>
      <c r="E95" s="207"/>
      <c r="F95" s="207"/>
      <c r="G95" s="207"/>
      <c r="H95" s="215">
        <f t="shared" si="23"/>
        <v>682539.47185326926</v>
      </c>
      <c r="I95" s="214">
        <f t="shared" ref="I95:N95" si="36">+$D19</f>
        <v>910052.62913769227</v>
      </c>
      <c r="J95" s="214">
        <f t="shared" si="36"/>
        <v>910052.62913769227</v>
      </c>
      <c r="K95" s="214">
        <f t="shared" si="36"/>
        <v>910052.62913769227</v>
      </c>
      <c r="L95" s="214">
        <f t="shared" si="36"/>
        <v>910052.62913769227</v>
      </c>
      <c r="M95" s="214">
        <f t="shared" si="36"/>
        <v>910052.62913769227</v>
      </c>
      <c r="N95" s="214">
        <f t="shared" si="36"/>
        <v>910052.62913769227</v>
      </c>
      <c r="O95" s="214">
        <f t="shared" ref="O95:AK95" si="37">+$D19</f>
        <v>910052.62913769227</v>
      </c>
      <c r="P95" s="214">
        <f t="shared" si="37"/>
        <v>910052.62913769227</v>
      </c>
      <c r="Q95" s="214">
        <f t="shared" si="37"/>
        <v>910052.62913769227</v>
      </c>
      <c r="R95" s="214">
        <f t="shared" si="37"/>
        <v>910052.62913769227</v>
      </c>
      <c r="S95" s="214">
        <f t="shared" si="37"/>
        <v>910052.62913769227</v>
      </c>
      <c r="T95" s="214">
        <f t="shared" si="37"/>
        <v>910052.62913769227</v>
      </c>
      <c r="U95" s="214">
        <f t="shared" si="37"/>
        <v>910052.62913769227</v>
      </c>
      <c r="V95" s="214">
        <f t="shared" si="37"/>
        <v>910052.62913769227</v>
      </c>
      <c r="W95" s="214">
        <f t="shared" si="37"/>
        <v>910052.62913769227</v>
      </c>
      <c r="X95" s="214">
        <f t="shared" si="37"/>
        <v>910052.62913769227</v>
      </c>
      <c r="Y95" s="214">
        <f t="shared" si="37"/>
        <v>910052.62913769227</v>
      </c>
      <c r="Z95" s="214">
        <f t="shared" si="37"/>
        <v>910052.62913769227</v>
      </c>
      <c r="AA95" s="214">
        <f t="shared" si="37"/>
        <v>910052.62913769227</v>
      </c>
      <c r="AB95" s="214">
        <f t="shared" si="37"/>
        <v>910052.62913769227</v>
      </c>
      <c r="AC95" s="214">
        <f t="shared" si="37"/>
        <v>910052.62913769227</v>
      </c>
      <c r="AD95" s="214">
        <f t="shared" si="37"/>
        <v>910052.62913769227</v>
      </c>
      <c r="AE95" s="214">
        <f t="shared" si="37"/>
        <v>910052.62913769227</v>
      </c>
      <c r="AF95" s="214">
        <f t="shared" si="37"/>
        <v>910052.62913769227</v>
      </c>
      <c r="AG95" s="214">
        <f t="shared" si="37"/>
        <v>910052.62913769227</v>
      </c>
      <c r="AH95" s="214">
        <f t="shared" si="37"/>
        <v>910052.62913769227</v>
      </c>
      <c r="AI95" s="214">
        <f t="shared" si="37"/>
        <v>910052.62913769227</v>
      </c>
      <c r="AJ95" s="214">
        <f t="shared" si="37"/>
        <v>910052.62913769227</v>
      </c>
      <c r="AK95" s="153">
        <f t="shared" si="37"/>
        <v>910052.62913769227</v>
      </c>
    </row>
    <row r="96" spans="2:37" x14ac:dyDescent="0.25">
      <c r="B96" s="144"/>
      <c r="C96" s="207" t="s">
        <v>389</v>
      </c>
      <c r="D96" s="207"/>
      <c r="E96" s="207"/>
      <c r="F96" s="207"/>
      <c r="G96" s="207"/>
      <c r="H96" s="215">
        <f t="shared" si="23"/>
        <v>91005.262914807696</v>
      </c>
      <c r="I96" s="214">
        <f t="shared" ref="I96:N96" si="38">+$D20</f>
        <v>121340.35055307693</v>
      </c>
      <c r="J96" s="214">
        <f t="shared" si="38"/>
        <v>121340.35055307693</v>
      </c>
      <c r="K96" s="214">
        <f t="shared" si="38"/>
        <v>121340.35055307693</v>
      </c>
      <c r="L96" s="214">
        <f t="shared" si="38"/>
        <v>121340.35055307693</v>
      </c>
      <c r="M96" s="214">
        <f t="shared" si="38"/>
        <v>121340.35055307693</v>
      </c>
      <c r="N96" s="214">
        <f t="shared" si="38"/>
        <v>121340.35055307693</v>
      </c>
      <c r="O96" s="214">
        <f t="shared" ref="O96:AK96" si="39">+$D20</f>
        <v>121340.35055307693</v>
      </c>
      <c r="P96" s="214">
        <f t="shared" si="39"/>
        <v>121340.35055307693</v>
      </c>
      <c r="Q96" s="214">
        <f t="shared" si="39"/>
        <v>121340.35055307693</v>
      </c>
      <c r="R96" s="214">
        <f t="shared" si="39"/>
        <v>121340.35055307693</v>
      </c>
      <c r="S96" s="214">
        <f t="shared" si="39"/>
        <v>121340.35055307693</v>
      </c>
      <c r="T96" s="214">
        <f t="shared" si="39"/>
        <v>121340.35055307693</v>
      </c>
      <c r="U96" s="214">
        <f t="shared" si="39"/>
        <v>121340.35055307693</v>
      </c>
      <c r="V96" s="214">
        <f t="shared" si="39"/>
        <v>121340.35055307693</v>
      </c>
      <c r="W96" s="214">
        <f t="shared" si="39"/>
        <v>121340.35055307693</v>
      </c>
      <c r="X96" s="214">
        <f t="shared" si="39"/>
        <v>121340.35055307693</v>
      </c>
      <c r="Y96" s="214">
        <f t="shared" si="39"/>
        <v>121340.35055307693</v>
      </c>
      <c r="Z96" s="214">
        <f t="shared" si="39"/>
        <v>121340.35055307693</v>
      </c>
      <c r="AA96" s="214">
        <f t="shared" si="39"/>
        <v>121340.35055307693</v>
      </c>
      <c r="AB96" s="214">
        <f t="shared" si="39"/>
        <v>121340.35055307693</v>
      </c>
      <c r="AC96" s="214">
        <f t="shared" si="39"/>
        <v>121340.35055307693</v>
      </c>
      <c r="AD96" s="214">
        <f t="shared" si="39"/>
        <v>121340.35055307693</v>
      </c>
      <c r="AE96" s="214">
        <f t="shared" si="39"/>
        <v>121340.35055307693</v>
      </c>
      <c r="AF96" s="214">
        <f t="shared" si="39"/>
        <v>121340.35055307693</v>
      </c>
      <c r="AG96" s="214">
        <f t="shared" si="39"/>
        <v>121340.35055307693</v>
      </c>
      <c r="AH96" s="214">
        <f t="shared" si="39"/>
        <v>121340.35055307693</v>
      </c>
      <c r="AI96" s="214">
        <f t="shared" si="39"/>
        <v>121340.35055307693</v>
      </c>
      <c r="AJ96" s="214">
        <f t="shared" si="39"/>
        <v>121340.35055307693</v>
      </c>
      <c r="AK96" s="153">
        <f t="shared" si="39"/>
        <v>121340.35055307693</v>
      </c>
    </row>
    <row r="97" spans="2:37" x14ac:dyDescent="0.25">
      <c r="B97" s="144"/>
      <c r="C97" s="207" t="s">
        <v>390</v>
      </c>
      <c r="D97" s="207"/>
      <c r="E97" s="207"/>
      <c r="F97" s="207"/>
      <c r="G97" s="207"/>
      <c r="H97" s="215">
        <f t="shared" si="23"/>
        <v>366165.8623759615</v>
      </c>
      <c r="I97" s="214">
        <f t="shared" ref="I97:N97" si="40">+$D21</f>
        <v>488221.14983461529</v>
      </c>
      <c r="J97" s="214">
        <f t="shared" si="40"/>
        <v>488221.14983461529</v>
      </c>
      <c r="K97" s="214">
        <f t="shared" si="40"/>
        <v>488221.14983461529</v>
      </c>
      <c r="L97" s="214">
        <f t="shared" si="40"/>
        <v>488221.14983461529</v>
      </c>
      <c r="M97" s="214">
        <f t="shared" si="40"/>
        <v>488221.14983461529</v>
      </c>
      <c r="N97" s="214">
        <f t="shared" si="40"/>
        <v>488221.14983461529</v>
      </c>
      <c r="O97" s="214">
        <f t="shared" ref="O97:AK97" si="41">+$D21</f>
        <v>488221.14983461529</v>
      </c>
      <c r="P97" s="214">
        <f t="shared" si="41"/>
        <v>488221.14983461529</v>
      </c>
      <c r="Q97" s="214">
        <f t="shared" si="41"/>
        <v>488221.14983461529</v>
      </c>
      <c r="R97" s="214">
        <f t="shared" si="41"/>
        <v>488221.14983461529</v>
      </c>
      <c r="S97" s="214">
        <f t="shared" si="41"/>
        <v>488221.14983461529</v>
      </c>
      <c r="T97" s="214">
        <f t="shared" si="41"/>
        <v>488221.14983461529</v>
      </c>
      <c r="U97" s="214">
        <f t="shared" si="41"/>
        <v>488221.14983461529</v>
      </c>
      <c r="V97" s="214">
        <f t="shared" si="41"/>
        <v>488221.14983461529</v>
      </c>
      <c r="W97" s="214">
        <f t="shared" si="41"/>
        <v>488221.14983461529</v>
      </c>
      <c r="X97" s="214">
        <f t="shared" si="41"/>
        <v>488221.14983461529</v>
      </c>
      <c r="Y97" s="214">
        <f t="shared" si="41"/>
        <v>488221.14983461529</v>
      </c>
      <c r="Z97" s="214">
        <f t="shared" si="41"/>
        <v>488221.14983461529</v>
      </c>
      <c r="AA97" s="214">
        <f t="shared" si="41"/>
        <v>488221.14983461529</v>
      </c>
      <c r="AB97" s="214">
        <f t="shared" si="41"/>
        <v>488221.14983461529</v>
      </c>
      <c r="AC97" s="214">
        <f t="shared" si="41"/>
        <v>488221.14983461529</v>
      </c>
      <c r="AD97" s="214">
        <f t="shared" si="41"/>
        <v>488221.14983461529</v>
      </c>
      <c r="AE97" s="214">
        <f t="shared" si="41"/>
        <v>488221.14983461529</v>
      </c>
      <c r="AF97" s="214">
        <f t="shared" si="41"/>
        <v>488221.14983461529</v>
      </c>
      <c r="AG97" s="214">
        <f t="shared" si="41"/>
        <v>488221.14983461529</v>
      </c>
      <c r="AH97" s="214">
        <f t="shared" si="41"/>
        <v>488221.14983461529</v>
      </c>
      <c r="AI97" s="214">
        <f t="shared" si="41"/>
        <v>488221.14983461529</v>
      </c>
      <c r="AJ97" s="214">
        <f t="shared" si="41"/>
        <v>488221.14983461529</v>
      </c>
      <c r="AK97" s="153">
        <f t="shared" si="41"/>
        <v>488221.14983461529</v>
      </c>
    </row>
    <row r="98" spans="2:37" x14ac:dyDescent="0.25">
      <c r="B98" s="144" t="s">
        <v>451</v>
      </c>
      <c r="C98" s="207" t="s">
        <v>435</v>
      </c>
      <c r="D98" s="207"/>
      <c r="E98" s="207"/>
      <c r="F98" s="207"/>
      <c r="G98" s="207"/>
      <c r="H98" s="211">
        <f>SUM(H81:H97)</f>
        <v>39025839.411776543</v>
      </c>
      <c r="I98" s="211">
        <f t="shared" ref="I98:AK98" si="42">SUM(I81:I97)</f>
        <v>52034452.549035408</v>
      </c>
      <c r="J98" s="211">
        <f t="shared" si="42"/>
        <v>52034452.549035408</v>
      </c>
      <c r="K98" s="211">
        <f t="shared" si="42"/>
        <v>52034452.549035408</v>
      </c>
      <c r="L98" s="211">
        <f t="shared" si="42"/>
        <v>52034452.549035408</v>
      </c>
      <c r="M98" s="211">
        <f t="shared" si="42"/>
        <v>52034452.549035408</v>
      </c>
      <c r="N98" s="211">
        <f t="shared" si="42"/>
        <v>52034452.549035408</v>
      </c>
      <c r="O98" s="211">
        <f t="shared" si="42"/>
        <v>52034452.549035408</v>
      </c>
      <c r="P98" s="211">
        <f t="shared" si="42"/>
        <v>52034452.549035408</v>
      </c>
      <c r="Q98" s="211">
        <f t="shared" si="42"/>
        <v>52034452.549035408</v>
      </c>
      <c r="R98" s="211">
        <f t="shared" si="42"/>
        <v>52034452.549035408</v>
      </c>
      <c r="S98" s="211">
        <f t="shared" si="42"/>
        <v>52034452.549035408</v>
      </c>
      <c r="T98" s="211">
        <f t="shared" si="42"/>
        <v>52034452.549035408</v>
      </c>
      <c r="U98" s="211">
        <f t="shared" si="42"/>
        <v>52034452.549035408</v>
      </c>
      <c r="V98" s="211">
        <f t="shared" si="42"/>
        <v>52034452.549035408</v>
      </c>
      <c r="W98" s="211">
        <f t="shared" si="42"/>
        <v>52034452.549035408</v>
      </c>
      <c r="X98" s="211">
        <f t="shared" si="42"/>
        <v>52034452.549035408</v>
      </c>
      <c r="Y98" s="211">
        <f t="shared" si="42"/>
        <v>52034452.549035408</v>
      </c>
      <c r="Z98" s="211">
        <f t="shared" si="42"/>
        <v>52034452.549035408</v>
      </c>
      <c r="AA98" s="211">
        <f t="shared" si="42"/>
        <v>52034452.549035408</v>
      </c>
      <c r="AB98" s="211">
        <f t="shared" si="42"/>
        <v>52034452.549035408</v>
      </c>
      <c r="AC98" s="211">
        <f t="shared" si="42"/>
        <v>52034452.549035408</v>
      </c>
      <c r="AD98" s="211">
        <f t="shared" si="42"/>
        <v>52034452.549035408</v>
      </c>
      <c r="AE98" s="211">
        <f t="shared" si="42"/>
        <v>52034452.549035408</v>
      </c>
      <c r="AF98" s="211">
        <f t="shared" si="42"/>
        <v>52034452.549035408</v>
      </c>
      <c r="AG98" s="211">
        <f t="shared" si="42"/>
        <v>52034452.549035408</v>
      </c>
      <c r="AH98" s="211">
        <f t="shared" si="42"/>
        <v>52034452.549035408</v>
      </c>
      <c r="AI98" s="211">
        <f t="shared" si="42"/>
        <v>52034452.549035408</v>
      </c>
      <c r="AJ98" s="211">
        <f t="shared" si="42"/>
        <v>52034452.549035408</v>
      </c>
      <c r="AK98" s="211">
        <f t="shared" si="42"/>
        <v>52034452.549035408</v>
      </c>
    </row>
    <row r="99" spans="2:37" x14ac:dyDescent="0.25">
      <c r="B99" s="144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207"/>
      <c r="O99" s="207"/>
      <c r="P99" s="207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  <c r="AC99" s="207"/>
      <c r="AD99" s="207"/>
      <c r="AE99" s="207"/>
      <c r="AF99" s="207"/>
      <c r="AG99" s="207"/>
      <c r="AH99" s="207"/>
      <c r="AI99" s="207"/>
      <c r="AJ99" s="207"/>
      <c r="AK99" s="81"/>
    </row>
    <row r="100" spans="2:37" x14ac:dyDescent="0.25">
      <c r="B100" s="144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207"/>
      <c r="O100" s="207"/>
      <c r="P100" s="207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  <c r="AA100" s="207"/>
      <c r="AB100" s="207"/>
      <c r="AC100" s="207"/>
      <c r="AD100" s="207"/>
      <c r="AE100" s="207"/>
      <c r="AF100" s="207"/>
      <c r="AG100" s="207"/>
      <c r="AH100" s="207"/>
      <c r="AI100" s="207"/>
      <c r="AJ100" s="207"/>
      <c r="AK100" s="81"/>
    </row>
    <row r="101" spans="2:37" x14ac:dyDescent="0.25">
      <c r="B101" s="144" t="s">
        <v>409</v>
      </c>
      <c r="C101" s="207"/>
      <c r="D101" s="207"/>
      <c r="E101" s="207"/>
      <c r="F101" s="207"/>
      <c r="G101" s="207"/>
      <c r="H101" s="216">
        <v>0.1429</v>
      </c>
      <c r="I101" s="217">
        <v>0.24490000000000001</v>
      </c>
      <c r="J101" s="217">
        <v>0.1749</v>
      </c>
      <c r="K101" s="217">
        <v>0.1249</v>
      </c>
      <c r="L101" s="217">
        <v>8.9300000000000004E-2</v>
      </c>
      <c r="M101" s="217">
        <v>8.9200000000000002E-2</v>
      </c>
      <c r="N101" s="217">
        <v>8.9300000000000004E-2</v>
      </c>
      <c r="O101" s="217">
        <v>4.4600000000000001E-2</v>
      </c>
      <c r="P101" s="218">
        <v>0</v>
      </c>
      <c r="Q101" s="218">
        <v>0</v>
      </c>
      <c r="R101" s="218">
        <v>0</v>
      </c>
      <c r="S101" s="218">
        <v>0</v>
      </c>
      <c r="T101" s="218">
        <v>0</v>
      </c>
      <c r="U101" s="218">
        <v>0</v>
      </c>
      <c r="V101" s="218">
        <v>0</v>
      </c>
      <c r="W101" s="218">
        <v>0</v>
      </c>
      <c r="X101" s="218">
        <v>0</v>
      </c>
      <c r="Y101" s="218">
        <v>0</v>
      </c>
      <c r="Z101" s="218">
        <v>0</v>
      </c>
      <c r="AA101" s="218">
        <v>0</v>
      </c>
      <c r="AB101" s="218">
        <v>0</v>
      </c>
      <c r="AC101" s="218">
        <v>0</v>
      </c>
      <c r="AD101" s="218">
        <v>0</v>
      </c>
      <c r="AE101" s="218">
        <v>0</v>
      </c>
      <c r="AF101" s="218">
        <v>0</v>
      </c>
      <c r="AG101" s="218">
        <v>0</v>
      </c>
      <c r="AH101" s="218">
        <v>0</v>
      </c>
      <c r="AI101" s="218">
        <v>0</v>
      </c>
      <c r="AJ101" s="218">
        <v>0</v>
      </c>
      <c r="AK101" s="154">
        <v>0</v>
      </c>
    </row>
    <row r="102" spans="2:37" x14ac:dyDescent="0.25">
      <c r="B102" s="144"/>
      <c r="C102" s="207"/>
      <c r="D102" s="207"/>
      <c r="E102" s="207"/>
      <c r="F102" s="207"/>
      <c r="G102" s="207"/>
      <c r="H102" s="219">
        <f t="shared" ref="H102:AK102" si="43">+H$101*$D$3</f>
        <v>66194823.349971905</v>
      </c>
      <c r="I102" s="219">
        <f t="shared" si="43"/>
        <v>113443752.5430939</v>
      </c>
      <c r="J102" s="219">
        <f t="shared" si="43"/>
        <v>81018016.822323903</v>
      </c>
      <c r="K102" s="219">
        <f t="shared" si="43"/>
        <v>57856777.021773905</v>
      </c>
      <c r="L102" s="219">
        <f t="shared" si="43"/>
        <v>41365974.283782303</v>
      </c>
      <c r="M102" s="219">
        <f t="shared" si="43"/>
        <v>41319651.804181203</v>
      </c>
      <c r="N102" s="219">
        <f t="shared" si="43"/>
        <v>41365974.283782303</v>
      </c>
      <c r="O102" s="219">
        <f t="shared" si="43"/>
        <v>20659825.902090602</v>
      </c>
      <c r="P102" s="219">
        <f t="shared" si="43"/>
        <v>0</v>
      </c>
      <c r="Q102" s="219">
        <f t="shared" si="43"/>
        <v>0</v>
      </c>
      <c r="R102" s="219">
        <f t="shared" si="43"/>
        <v>0</v>
      </c>
      <c r="S102" s="219">
        <f t="shared" si="43"/>
        <v>0</v>
      </c>
      <c r="T102" s="219">
        <f t="shared" si="43"/>
        <v>0</v>
      </c>
      <c r="U102" s="219">
        <f t="shared" si="43"/>
        <v>0</v>
      </c>
      <c r="V102" s="219">
        <f t="shared" si="43"/>
        <v>0</v>
      </c>
      <c r="W102" s="219">
        <f t="shared" si="43"/>
        <v>0</v>
      </c>
      <c r="X102" s="219">
        <f t="shared" si="43"/>
        <v>0</v>
      </c>
      <c r="Y102" s="219">
        <f t="shared" si="43"/>
        <v>0</v>
      </c>
      <c r="Z102" s="219">
        <f t="shared" si="43"/>
        <v>0</v>
      </c>
      <c r="AA102" s="219">
        <f t="shared" si="43"/>
        <v>0</v>
      </c>
      <c r="AB102" s="219">
        <f t="shared" si="43"/>
        <v>0</v>
      </c>
      <c r="AC102" s="219">
        <f t="shared" si="43"/>
        <v>0</v>
      </c>
      <c r="AD102" s="219">
        <f t="shared" si="43"/>
        <v>0</v>
      </c>
      <c r="AE102" s="219">
        <f t="shared" si="43"/>
        <v>0</v>
      </c>
      <c r="AF102" s="219">
        <f t="shared" si="43"/>
        <v>0</v>
      </c>
      <c r="AG102" s="219">
        <f t="shared" si="43"/>
        <v>0</v>
      </c>
      <c r="AH102" s="219">
        <f t="shared" si="43"/>
        <v>0</v>
      </c>
      <c r="AI102" s="219">
        <f t="shared" si="43"/>
        <v>0</v>
      </c>
      <c r="AJ102" s="219">
        <f t="shared" si="43"/>
        <v>0</v>
      </c>
      <c r="AK102" s="155">
        <f t="shared" si="43"/>
        <v>0</v>
      </c>
    </row>
    <row r="103" spans="2:37" x14ac:dyDescent="0.25">
      <c r="B103" s="144"/>
      <c r="C103" s="207"/>
      <c r="D103" s="207"/>
      <c r="E103" s="207"/>
      <c r="F103" s="207"/>
      <c r="G103" s="207"/>
      <c r="H103" s="220"/>
      <c r="I103" s="220"/>
      <c r="J103" s="220"/>
      <c r="K103" s="220"/>
      <c r="L103" s="220"/>
      <c r="M103" s="220"/>
      <c r="N103" s="220"/>
      <c r="O103" s="220"/>
      <c r="P103" s="220"/>
      <c r="Q103" s="220"/>
      <c r="R103" s="220"/>
      <c r="S103" s="220"/>
      <c r="T103" s="220"/>
      <c r="U103" s="220"/>
      <c r="V103" s="220"/>
      <c r="W103" s="220"/>
      <c r="X103" s="220"/>
      <c r="Y103" s="220"/>
      <c r="Z103" s="220"/>
      <c r="AA103" s="220"/>
      <c r="AB103" s="220"/>
      <c r="AC103" s="220"/>
      <c r="AD103" s="220"/>
      <c r="AE103" s="220"/>
      <c r="AF103" s="220"/>
      <c r="AG103" s="220"/>
      <c r="AH103" s="220"/>
      <c r="AI103" s="220"/>
      <c r="AJ103" s="220"/>
      <c r="AK103" s="156"/>
    </row>
    <row r="104" spans="2:37" x14ac:dyDescent="0.25">
      <c r="B104" s="144" t="s">
        <v>436</v>
      </c>
      <c r="C104" s="207"/>
      <c r="D104" s="207"/>
      <c r="E104" s="207"/>
      <c r="F104" s="207"/>
      <c r="G104" s="207"/>
      <c r="H104" s="221">
        <f t="shared" ref="H104:AK104" si="44">+H78-H67-H98-H102</f>
        <v>-28391690.610056981</v>
      </c>
      <c r="I104" s="221">
        <f t="shared" si="44"/>
        <v>-54093122.62098328</v>
      </c>
      <c r="J104" s="221">
        <f t="shared" si="44"/>
        <v>-20009742.204881333</v>
      </c>
      <c r="K104" s="221">
        <f t="shared" si="44"/>
        <v>4941753.8666271493</v>
      </c>
      <c r="L104" s="221">
        <f t="shared" si="44"/>
        <v>23366033.377253927</v>
      </c>
      <c r="M104" s="221">
        <f t="shared" si="44"/>
        <v>25500510.771301024</v>
      </c>
      <c r="N104" s="221">
        <f t="shared" si="44"/>
        <v>27709395.599301577</v>
      </c>
      <c r="O104" s="221">
        <f t="shared" si="44"/>
        <v>50851167.873203106</v>
      </c>
      <c r="P104" s="221">
        <f t="shared" si="44"/>
        <v>74141467.57888028</v>
      </c>
      <c r="Q104" s="221">
        <f t="shared" si="44"/>
        <v>76982379.286753803</v>
      </c>
      <c r="R104" s="221">
        <f t="shared" si="44"/>
        <v>80050563.931257188</v>
      </c>
      <c r="S104" s="221">
        <f t="shared" si="44"/>
        <v>80050563.931257188</v>
      </c>
      <c r="T104" s="221">
        <f t="shared" si="44"/>
        <v>80050563.931257188</v>
      </c>
      <c r="U104" s="221">
        <f t="shared" si="44"/>
        <v>80050563.931257188</v>
      </c>
      <c r="V104" s="221">
        <f t="shared" si="44"/>
        <v>80050563.931257188</v>
      </c>
      <c r="W104" s="221">
        <f t="shared" si="44"/>
        <v>80050563.931257188</v>
      </c>
      <c r="X104" s="221">
        <f t="shared" si="44"/>
        <v>80050563.931257188</v>
      </c>
      <c r="Y104" s="221">
        <f t="shared" si="44"/>
        <v>80050563.931257188</v>
      </c>
      <c r="Z104" s="221">
        <f t="shared" si="44"/>
        <v>80050563.931257188</v>
      </c>
      <c r="AA104" s="221">
        <f t="shared" si="44"/>
        <v>80050563.931257188</v>
      </c>
      <c r="AB104" s="221">
        <f t="shared" si="44"/>
        <v>80050563.931257188</v>
      </c>
      <c r="AC104" s="221">
        <f t="shared" si="44"/>
        <v>80050563.931257188</v>
      </c>
      <c r="AD104" s="221">
        <f t="shared" si="44"/>
        <v>80050563.931257159</v>
      </c>
      <c r="AE104" s="221">
        <f t="shared" si="44"/>
        <v>80050563.931257159</v>
      </c>
      <c r="AF104" s="221">
        <f t="shared" si="44"/>
        <v>80050563.931257159</v>
      </c>
      <c r="AG104" s="221">
        <f t="shared" si="44"/>
        <v>80050563.931257159</v>
      </c>
      <c r="AH104" s="221">
        <f t="shared" si="44"/>
        <v>80050563.931257159</v>
      </c>
      <c r="AI104" s="221">
        <f t="shared" si="44"/>
        <v>80050563.931257159</v>
      </c>
      <c r="AJ104" s="221">
        <f t="shared" si="44"/>
        <v>80050563.931257159</v>
      </c>
      <c r="AK104" s="157">
        <f t="shared" si="44"/>
        <v>80050563.931257159</v>
      </c>
    </row>
    <row r="105" spans="2:37" x14ac:dyDescent="0.25">
      <c r="B105" s="144" t="s">
        <v>437</v>
      </c>
      <c r="C105" s="207"/>
      <c r="D105" s="207"/>
      <c r="E105" s="207"/>
      <c r="F105" s="207"/>
      <c r="G105" s="207"/>
      <c r="H105" s="219">
        <v>0</v>
      </c>
      <c r="I105" s="220">
        <f t="shared" ref="I105:AK105" si="45">IF(H106&lt;0,H106,0)</f>
        <v>-28391690.610056981</v>
      </c>
      <c r="J105" s="220">
        <f t="shared" si="45"/>
        <v>-82484813.231040269</v>
      </c>
      <c r="K105" s="220">
        <f t="shared" si="45"/>
        <v>-102494555.43592161</v>
      </c>
      <c r="L105" s="220">
        <f t="shared" si="45"/>
        <v>-97552801.569294453</v>
      </c>
      <c r="M105" s="220">
        <f t="shared" si="45"/>
        <v>-74186768.192040533</v>
      </c>
      <c r="N105" s="220">
        <f t="shared" si="45"/>
        <v>-48686257.420739509</v>
      </c>
      <c r="O105" s="220">
        <f t="shared" si="45"/>
        <v>-20976861.821437933</v>
      </c>
      <c r="P105" s="220">
        <f t="shared" si="45"/>
        <v>0</v>
      </c>
      <c r="Q105" s="220">
        <f t="shared" si="45"/>
        <v>0</v>
      </c>
      <c r="R105" s="220">
        <f t="shared" si="45"/>
        <v>0</v>
      </c>
      <c r="S105" s="220">
        <f t="shared" si="45"/>
        <v>0</v>
      </c>
      <c r="T105" s="220">
        <f t="shared" si="45"/>
        <v>0</v>
      </c>
      <c r="U105" s="220">
        <f t="shared" si="45"/>
        <v>0</v>
      </c>
      <c r="V105" s="220">
        <f t="shared" si="45"/>
        <v>0</v>
      </c>
      <c r="W105" s="220">
        <f t="shared" si="45"/>
        <v>0</v>
      </c>
      <c r="X105" s="220">
        <f t="shared" si="45"/>
        <v>0</v>
      </c>
      <c r="Y105" s="220">
        <f t="shared" si="45"/>
        <v>0</v>
      </c>
      <c r="Z105" s="220">
        <f t="shared" si="45"/>
        <v>0</v>
      </c>
      <c r="AA105" s="220">
        <f t="shared" si="45"/>
        <v>0</v>
      </c>
      <c r="AB105" s="220">
        <f t="shared" si="45"/>
        <v>0</v>
      </c>
      <c r="AC105" s="220">
        <f t="shared" si="45"/>
        <v>0</v>
      </c>
      <c r="AD105" s="220">
        <f t="shared" si="45"/>
        <v>0</v>
      </c>
      <c r="AE105" s="220">
        <f t="shared" si="45"/>
        <v>0</v>
      </c>
      <c r="AF105" s="220">
        <f t="shared" si="45"/>
        <v>0</v>
      </c>
      <c r="AG105" s="220">
        <f t="shared" si="45"/>
        <v>0</v>
      </c>
      <c r="AH105" s="220">
        <f t="shared" si="45"/>
        <v>0</v>
      </c>
      <c r="AI105" s="220">
        <f t="shared" si="45"/>
        <v>0</v>
      </c>
      <c r="AJ105" s="220">
        <f t="shared" si="45"/>
        <v>0</v>
      </c>
      <c r="AK105" s="156">
        <f t="shared" si="45"/>
        <v>0</v>
      </c>
    </row>
    <row r="106" spans="2:37" x14ac:dyDescent="0.25">
      <c r="B106" s="144" t="s">
        <v>438</v>
      </c>
      <c r="C106" s="207"/>
      <c r="D106" s="207"/>
      <c r="E106" s="207"/>
      <c r="F106" s="207"/>
      <c r="G106" s="207"/>
      <c r="H106" s="219">
        <f t="shared" ref="H106:AK106" si="46">+H105+H104</f>
        <v>-28391690.610056981</v>
      </c>
      <c r="I106" s="219">
        <f t="shared" si="46"/>
        <v>-82484813.231040269</v>
      </c>
      <c r="J106" s="219">
        <f t="shared" si="46"/>
        <v>-102494555.43592161</v>
      </c>
      <c r="K106" s="219">
        <f t="shared" si="46"/>
        <v>-97552801.569294453</v>
      </c>
      <c r="L106" s="219">
        <f t="shared" si="46"/>
        <v>-74186768.192040533</v>
      </c>
      <c r="M106" s="219">
        <f t="shared" si="46"/>
        <v>-48686257.420739509</v>
      </c>
      <c r="N106" s="219">
        <f t="shared" si="46"/>
        <v>-20976861.821437933</v>
      </c>
      <c r="O106" s="219">
        <f t="shared" si="46"/>
        <v>29874306.051765174</v>
      </c>
      <c r="P106" s="219">
        <f t="shared" si="46"/>
        <v>74141467.57888028</v>
      </c>
      <c r="Q106" s="219">
        <f t="shared" si="46"/>
        <v>76982379.286753803</v>
      </c>
      <c r="R106" s="219">
        <f t="shared" si="46"/>
        <v>80050563.931257188</v>
      </c>
      <c r="S106" s="219">
        <f t="shared" si="46"/>
        <v>80050563.931257188</v>
      </c>
      <c r="T106" s="219">
        <f t="shared" si="46"/>
        <v>80050563.931257188</v>
      </c>
      <c r="U106" s="219">
        <f t="shared" si="46"/>
        <v>80050563.931257188</v>
      </c>
      <c r="V106" s="219">
        <f t="shared" si="46"/>
        <v>80050563.931257188</v>
      </c>
      <c r="W106" s="219">
        <f t="shared" si="46"/>
        <v>80050563.931257188</v>
      </c>
      <c r="X106" s="219">
        <f t="shared" si="46"/>
        <v>80050563.931257188</v>
      </c>
      <c r="Y106" s="219">
        <f t="shared" si="46"/>
        <v>80050563.931257188</v>
      </c>
      <c r="Z106" s="219">
        <f t="shared" si="46"/>
        <v>80050563.931257188</v>
      </c>
      <c r="AA106" s="219">
        <f t="shared" si="46"/>
        <v>80050563.931257188</v>
      </c>
      <c r="AB106" s="219">
        <f t="shared" si="46"/>
        <v>80050563.931257188</v>
      </c>
      <c r="AC106" s="219">
        <f t="shared" si="46"/>
        <v>80050563.931257188</v>
      </c>
      <c r="AD106" s="219">
        <f t="shared" si="46"/>
        <v>80050563.931257159</v>
      </c>
      <c r="AE106" s="219">
        <f t="shared" si="46"/>
        <v>80050563.931257159</v>
      </c>
      <c r="AF106" s="219">
        <f t="shared" si="46"/>
        <v>80050563.931257159</v>
      </c>
      <c r="AG106" s="219">
        <f t="shared" si="46"/>
        <v>80050563.931257159</v>
      </c>
      <c r="AH106" s="219">
        <f t="shared" si="46"/>
        <v>80050563.931257159</v>
      </c>
      <c r="AI106" s="219">
        <f t="shared" si="46"/>
        <v>80050563.931257159</v>
      </c>
      <c r="AJ106" s="219">
        <f t="shared" si="46"/>
        <v>80050563.931257159</v>
      </c>
      <c r="AK106" s="155">
        <f t="shared" si="46"/>
        <v>80050563.931257159</v>
      </c>
    </row>
    <row r="107" spans="2:37" x14ac:dyDescent="0.25">
      <c r="B107" s="144" t="s">
        <v>439</v>
      </c>
      <c r="C107" s="207"/>
      <c r="D107" s="207"/>
      <c r="E107" s="207"/>
      <c r="F107" s="207"/>
      <c r="G107" s="207"/>
      <c r="H107" s="207">
        <f t="shared" ref="H107:AK107" si="47">IF(H106*($D$51)&lt;0,0,H106*$D$51)</f>
        <v>0</v>
      </c>
      <c r="I107" s="207">
        <f t="shared" si="47"/>
        <v>0</v>
      </c>
      <c r="J107" s="207">
        <f t="shared" si="47"/>
        <v>0</v>
      </c>
      <c r="K107" s="207">
        <f t="shared" si="47"/>
        <v>0</v>
      </c>
      <c r="L107" s="207">
        <f t="shared" si="47"/>
        <v>0</v>
      </c>
      <c r="M107" s="207">
        <f t="shared" si="47"/>
        <v>0</v>
      </c>
      <c r="N107" s="207">
        <f t="shared" si="47"/>
        <v>0</v>
      </c>
      <c r="O107" s="207">
        <f t="shared" si="47"/>
        <v>10456007.118117809</v>
      </c>
      <c r="P107" s="215">
        <f t="shared" si="47"/>
        <v>25949513.652608097</v>
      </c>
      <c r="Q107" s="215">
        <f t="shared" si="47"/>
        <v>26943832.75036383</v>
      </c>
      <c r="R107" s="215">
        <f t="shared" si="47"/>
        <v>28017697.375940014</v>
      </c>
      <c r="S107" s="215">
        <f t="shared" si="47"/>
        <v>28017697.375940014</v>
      </c>
      <c r="T107" s="215">
        <f t="shared" si="47"/>
        <v>28017697.375940014</v>
      </c>
      <c r="U107" s="215">
        <f t="shared" si="47"/>
        <v>28017697.375940014</v>
      </c>
      <c r="V107" s="215">
        <f t="shared" si="47"/>
        <v>28017697.375940014</v>
      </c>
      <c r="W107" s="215">
        <f t="shared" si="47"/>
        <v>28017697.375940014</v>
      </c>
      <c r="X107" s="215">
        <f t="shared" si="47"/>
        <v>28017697.375940014</v>
      </c>
      <c r="Y107" s="215">
        <f t="shared" si="47"/>
        <v>28017697.375940014</v>
      </c>
      <c r="Z107" s="215">
        <f t="shared" si="47"/>
        <v>28017697.375940014</v>
      </c>
      <c r="AA107" s="215">
        <f t="shared" si="47"/>
        <v>28017697.375940014</v>
      </c>
      <c r="AB107" s="215">
        <f t="shared" si="47"/>
        <v>28017697.375940014</v>
      </c>
      <c r="AC107" s="215">
        <f t="shared" si="47"/>
        <v>28017697.375940014</v>
      </c>
      <c r="AD107" s="215">
        <f t="shared" si="47"/>
        <v>28017697.375940003</v>
      </c>
      <c r="AE107" s="215">
        <f t="shared" si="47"/>
        <v>28017697.375940003</v>
      </c>
      <c r="AF107" s="215">
        <f t="shared" si="47"/>
        <v>28017697.375940003</v>
      </c>
      <c r="AG107" s="215">
        <f t="shared" si="47"/>
        <v>28017697.375940003</v>
      </c>
      <c r="AH107" s="215">
        <f t="shared" si="47"/>
        <v>28017697.375940003</v>
      </c>
      <c r="AI107" s="215">
        <f t="shared" si="47"/>
        <v>28017697.375940003</v>
      </c>
      <c r="AJ107" s="215">
        <f t="shared" si="47"/>
        <v>28017697.375940003</v>
      </c>
      <c r="AK107" s="158">
        <f t="shared" si="47"/>
        <v>28017697.375940003</v>
      </c>
    </row>
    <row r="108" spans="2:37" x14ac:dyDescent="0.25">
      <c r="B108" s="144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207"/>
      <c r="O108" s="207"/>
      <c r="P108" s="207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  <c r="AA108" s="207"/>
      <c r="AB108" s="207"/>
      <c r="AC108" s="207"/>
      <c r="AD108" s="207"/>
      <c r="AE108" s="207"/>
      <c r="AF108" s="207"/>
      <c r="AG108" s="207"/>
      <c r="AH108" s="207"/>
      <c r="AI108" s="207"/>
      <c r="AJ108" s="207"/>
      <c r="AK108" s="81"/>
    </row>
    <row r="109" spans="2:37" x14ac:dyDescent="0.25">
      <c r="B109" s="144" t="s">
        <v>440</v>
      </c>
      <c r="C109" s="207"/>
      <c r="D109" s="207"/>
      <c r="E109" s="207"/>
      <c r="F109" s="207"/>
      <c r="G109" s="207"/>
      <c r="H109" s="211">
        <f t="shared" ref="H109:AK109" si="48">+H78-H66-H98-H107</f>
        <v>18617430.247647092</v>
      </c>
      <c r="I109" s="211">
        <f t="shared" si="48"/>
        <v>38630071.230461366</v>
      </c>
      <c r="J109" s="211">
        <f t="shared" si="48"/>
        <v>38630071.230461366</v>
      </c>
      <c r="K109" s="211">
        <f t="shared" si="48"/>
        <v>38630071.230461366</v>
      </c>
      <c r="L109" s="211">
        <f t="shared" si="48"/>
        <v>38630071.230461366</v>
      </c>
      <c r="M109" s="211">
        <f t="shared" si="48"/>
        <v>38630071.230461366</v>
      </c>
      <c r="N109" s="211">
        <f t="shared" si="48"/>
        <v>38630071.230461366</v>
      </c>
      <c r="O109" s="211">
        <f t="shared" si="48"/>
        <v>28174064.112343557</v>
      </c>
      <c r="P109" s="211">
        <f t="shared" si="48"/>
        <v>12680557.57785327</v>
      </c>
      <c r="Q109" s="211">
        <f t="shared" si="48"/>
        <v>11686238.480097536</v>
      </c>
      <c r="R109" s="211">
        <f t="shared" si="48"/>
        <v>52032866.555317178</v>
      </c>
      <c r="S109" s="211">
        <f t="shared" si="48"/>
        <v>52032866.555317178</v>
      </c>
      <c r="T109" s="211">
        <f t="shared" si="48"/>
        <v>52032866.555317178</v>
      </c>
      <c r="U109" s="211">
        <f t="shared" si="48"/>
        <v>52032866.555317178</v>
      </c>
      <c r="V109" s="211">
        <f t="shared" si="48"/>
        <v>52032866.555317178</v>
      </c>
      <c r="W109" s="211">
        <f t="shared" si="48"/>
        <v>52032866.555317178</v>
      </c>
      <c r="X109" s="211">
        <f t="shared" si="48"/>
        <v>52032866.555317178</v>
      </c>
      <c r="Y109" s="211">
        <f t="shared" si="48"/>
        <v>52032866.555317178</v>
      </c>
      <c r="Z109" s="211">
        <f t="shared" si="48"/>
        <v>52032866.555317178</v>
      </c>
      <c r="AA109" s="211">
        <f t="shared" si="48"/>
        <v>52032866.555317178</v>
      </c>
      <c r="AB109" s="211">
        <f t="shared" si="48"/>
        <v>52032866.555317178</v>
      </c>
      <c r="AC109" s="211">
        <f t="shared" si="48"/>
        <v>52032866.555317178</v>
      </c>
      <c r="AD109" s="211">
        <f t="shared" si="48"/>
        <v>52032866.555317186</v>
      </c>
      <c r="AE109" s="211">
        <f t="shared" si="48"/>
        <v>52032866.555317186</v>
      </c>
      <c r="AF109" s="211">
        <f t="shared" si="48"/>
        <v>52032866.555317186</v>
      </c>
      <c r="AG109" s="211">
        <f t="shared" si="48"/>
        <v>52032866.555317186</v>
      </c>
      <c r="AH109" s="211">
        <f t="shared" si="48"/>
        <v>52032866.555317186</v>
      </c>
      <c r="AI109" s="211">
        <f t="shared" si="48"/>
        <v>52032866.555317186</v>
      </c>
      <c r="AJ109" s="211">
        <f t="shared" si="48"/>
        <v>52032866.555317186</v>
      </c>
      <c r="AK109" s="152">
        <f t="shared" si="48"/>
        <v>52032866.555317186</v>
      </c>
    </row>
    <row r="110" spans="2:37" x14ac:dyDescent="0.25">
      <c r="B110" s="144" t="s">
        <v>441</v>
      </c>
      <c r="C110" s="207"/>
      <c r="D110" s="207"/>
      <c r="E110" s="207">
        <f t="shared" ref="E110:AK110" si="49">1/(1+$D$50)^E61</f>
        <v>1.2100000000000002</v>
      </c>
      <c r="F110" s="207">
        <f t="shared" si="49"/>
        <v>1.1000000000000001</v>
      </c>
      <c r="G110" s="207">
        <f t="shared" si="49"/>
        <v>1</v>
      </c>
      <c r="H110" s="207">
        <f t="shared" si="49"/>
        <v>0.90909090909090906</v>
      </c>
      <c r="I110" s="207">
        <f t="shared" si="49"/>
        <v>0.82644628099173545</v>
      </c>
      <c r="J110" s="207">
        <f t="shared" si="49"/>
        <v>0.75131480090157754</v>
      </c>
      <c r="K110" s="207">
        <f t="shared" si="49"/>
        <v>0.68301345536507052</v>
      </c>
      <c r="L110" s="207">
        <f t="shared" si="49"/>
        <v>0.62092132305915493</v>
      </c>
      <c r="M110" s="207">
        <f t="shared" si="49"/>
        <v>0.56447393005377722</v>
      </c>
      <c r="N110" s="207">
        <f t="shared" si="49"/>
        <v>0.51315811823070645</v>
      </c>
      <c r="O110" s="207">
        <f t="shared" si="49"/>
        <v>0.46650738020973315</v>
      </c>
      <c r="P110" s="207">
        <f t="shared" si="49"/>
        <v>0.42409761837248466</v>
      </c>
      <c r="Q110" s="207">
        <f t="shared" si="49"/>
        <v>0.38554328942953148</v>
      </c>
      <c r="R110" s="207">
        <f t="shared" si="49"/>
        <v>0.3504938994813922</v>
      </c>
      <c r="S110" s="207">
        <f t="shared" si="49"/>
        <v>0.31863081771035656</v>
      </c>
      <c r="T110" s="207">
        <f t="shared" si="49"/>
        <v>0.28966437973668779</v>
      </c>
      <c r="U110" s="207">
        <f t="shared" si="49"/>
        <v>0.26333125430607973</v>
      </c>
      <c r="V110" s="207">
        <f t="shared" si="49"/>
        <v>0.23939204936916339</v>
      </c>
      <c r="W110" s="207">
        <f t="shared" si="49"/>
        <v>0.21762913579014853</v>
      </c>
      <c r="X110" s="207">
        <f t="shared" si="49"/>
        <v>0.19784466890013502</v>
      </c>
      <c r="Y110" s="207">
        <f t="shared" si="49"/>
        <v>0.17985878990921364</v>
      </c>
      <c r="Z110" s="207">
        <f t="shared" si="49"/>
        <v>0.16350799082655781</v>
      </c>
      <c r="AA110" s="207">
        <f t="shared" si="49"/>
        <v>0.14864362802414349</v>
      </c>
      <c r="AB110" s="207">
        <f t="shared" si="49"/>
        <v>0.13513057093103953</v>
      </c>
      <c r="AC110" s="207">
        <f t="shared" si="49"/>
        <v>0.12284597357367227</v>
      </c>
      <c r="AD110" s="207">
        <f t="shared" si="49"/>
        <v>0.11167815779424752</v>
      </c>
      <c r="AE110" s="207">
        <f t="shared" si="49"/>
        <v>0.10152559799477048</v>
      </c>
      <c r="AF110" s="207">
        <f t="shared" si="49"/>
        <v>9.2295998177064048E-2</v>
      </c>
      <c r="AG110" s="207">
        <f t="shared" si="49"/>
        <v>8.3905452888240042E-2</v>
      </c>
      <c r="AH110" s="207">
        <f t="shared" si="49"/>
        <v>7.6277684443854576E-2</v>
      </c>
      <c r="AI110" s="207">
        <f t="shared" si="49"/>
        <v>6.9343349494413245E-2</v>
      </c>
      <c r="AJ110" s="207">
        <f t="shared" si="49"/>
        <v>6.3039408631284766E-2</v>
      </c>
      <c r="AK110" s="81">
        <f t="shared" si="49"/>
        <v>5.7308553301167964E-2</v>
      </c>
    </row>
    <row r="111" spans="2:37" x14ac:dyDescent="0.25">
      <c r="B111" s="144" t="s">
        <v>442</v>
      </c>
      <c r="C111" s="207"/>
      <c r="D111" s="214">
        <f>SUM(H111:AK111)</f>
        <v>363690751.89267665</v>
      </c>
      <c r="E111" s="207"/>
      <c r="F111" s="207"/>
      <c r="G111" s="207"/>
      <c r="H111" s="211">
        <f>+H110*H109</f>
        <v>16924936.588770084</v>
      </c>
      <c r="I111" s="211">
        <f t="shared" ref="I111:AK111" si="50">+I110*I109</f>
        <v>31925678.702860631</v>
      </c>
      <c r="J111" s="211">
        <f t="shared" si="50"/>
        <v>29023344.275327839</v>
      </c>
      <c r="K111" s="211">
        <f t="shared" si="50"/>
        <v>26384858.432116218</v>
      </c>
      <c r="L111" s="211">
        <f t="shared" si="50"/>
        <v>23986234.93828747</v>
      </c>
      <c r="M111" s="211">
        <f t="shared" si="50"/>
        <v>21805668.125715882</v>
      </c>
      <c r="N111" s="211">
        <f t="shared" si="50"/>
        <v>19823334.659741707</v>
      </c>
      <c r="O111" s="211">
        <f t="shared" si="50"/>
        <v>13143408.838910453</v>
      </c>
      <c r="P111" s="211">
        <f t="shared" si="50"/>
        <v>5377794.2684027348</v>
      </c>
      <c r="Q111" s="211">
        <f t="shared" si="50"/>
        <v>4505550.8246747721</v>
      </c>
      <c r="R111" s="211">
        <f t="shared" si="50"/>
        <v>18237202.300168034</v>
      </c>
      <c r="S111" s="211">
        <f t="shared" si="50"/>
        <v>16579274.818334576</v>
      </c>
      <c r="T111" s="211">
        <f t="shared" si="50"/>
        <v>15072068.016667798</v>
      </c>
      <c r="U111" s="211">
        <f t="shared" si="50"/>
        <v>13701880.015152538</v>
      </c>
      <c r="V111" s="211">
        <f t="shared" si="50"/>
        <v>12456254.559229581</v>
      </c>
      <c r="W111" s="211">
        <f t="shared" si="50"/>
        <v>11323867.781117801</v>
      </c>
      <c r="X111" s="211">
        <f t="shared" si="50"/>
        <v>10294425.255561637</v>
      </c>
      <c r="Y111" s="211">
        <f t="shared" si="50"/>
        <v>9358568.4141469412</v>
      </c>
      <c r="Z111" s="211">
        <f t="shared" si="50"/>
        <v>8507789.4674063083</v>
      </c>
      <c r="AA111" s="211">
        <f t="shared" si="50"/>
        <v>7734354.0612784633</v>
      </c>
      <c r="AB111" s="211">
        <f t="shared" si="50"/>
        <v>7031230.9647986023</v>
      </c>
      <c r="AC111" s="211">
        <f t="shared" si="50"/>
        <v>6392028.1498169098</v>
      </c>
      <c r="AD111" s="211">
        <f t="shared" si="50"/>
        <v>5810934.6816517366</v>
      </c>
      <c r="AE111" s="211">
        <f t="shared" si="50"/>
        <v>5282667.8924106704</v>
      </c>
      <c r="AF111" s="211">
        <f t="shared" si="50"/>
        <v>4802425.356736972</v>
      </c>
      <c r="AG111" s="211">
        <f t="shared" si="50"/>
        <v>4365841.2333972473</v>
      </c>
      <c r="AH111" s="211">
        <f t="shared" si="50"/>
        <v>3968946.5758156786</v>
      </c>
      <c r="AI111" s="211">
        <f t="shared" si="50"/>
        <v>3608133.250741526</v>
      </c>
      <c r="AJ111" s="211">
        <f t="shared" si="50"/>
        <v>3280121.1370377508</v>
      </c>
      <c r="AK111" s="152">
        <f t="shared" si="50"/>
        <v>2981928.3063979549</v>
      </c>
    </row>
    <row r="112" spans="2:37" x14ac:dyDescent="0.25">
      <c r="B112" s="144" t="s">
        <v>443</v>
      </c>
      <c r="C112" s="207"/>
      <c r="D112" s="207"/>
      <c r="E112" s="211">
        <f>+SUM(E62,E67,E63)*E110</f>
        <v>49180059.90693146</v>
      </c>
      <c r="F112" s="211">
        <f>+(F62+F67)*F110</f>
        <v>138922969.22288296</v>
      </c>
      <c r="G112" s="211">
        <f>+(G62+G67+G64)*G110</f>
        <v>104688803.898486</v>
      </c>
      <c r="H112" s="207"/>
      <c r="I112" s="207"/>
      <c r="J112" s="207"/>
      <c r="K112" s="207"/>
      <c r="L112" s="207"/>
      <c r="M112" s="207"/>
      <c r="N112" s="207"/>
      <c r="O112" s="207"/>
      <c r="P112" s="207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  <c r="AA112" s="207"/>
      <c r="AB112" s="207"/>
      <c r="AC112" s="207"/>
      <c r="AD112" s="207"/>
      <c r="AE112" s="207"/>
      <c r="AF112" s="207"/>
      <c r="AG112" s="207"/>
      <c r="AH112" s="207"/>
      <c r="AI112" s="207"/>
      <c r="AJ112" s="207"/>
      <c r="AK112" s="81"/>
    </row>
    <row r="113" spans="2:37" x14ac:dyDescent="0.25">
      <c r="B113" s="144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207"/>
      <c r="O113" s="207"/>
      <c r="P113" s="207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  <c r="AA113" s="207"/>
      <c r="AB113" s="207"/>
      <c r="AC113" s="207"/>
      <c r="AD113" s="207"/>
      <c r="AE113" s="207"/>
      <c r="AF113" s="207"/>
      <c r="AG113" s="207"/>
      <c r="AH113" s="207"/>
      <c r="AI113" s="207"/>
      <c r="AJ113" s="207"/>
      <c r="AK113" s="81"/>
    </row>
    <row r="114" spans="2:37" x14ac:dyDescent="0.25">
      <c r="B114" s="144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207"/>
      <c r="O114" s="207"/>
      <c r="P114" s="207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  <c r="AA114" s="207"/>
      <c r="AB114" s="207"/>
      <c r="AC114" s="207"/>
      <c r="AD114" s="207"/>
      <c r="AE114" s="207"/>
      <c r="AF114" s="207"/>
      <c r="AG114" s="207"/>
      <c r="AH114" s="207"/>
      <c r="AI114" s="207"/>
      <c r="AJ114" s="207"/>
      <c r="AK114" s="81"/>
    </row>
    <row r="115" spans="2:37" x14ac:dyDescent="0.25">
      <c r="B115" s="144" t="s">
        <v>444</v>
      </c>
      <c r="C115" s="207"/>
      <c r="D115" s="214">
        <f>SUM(H115:AK115)</f>
        <v>118234760.38569728</v>
      </c>
      <c r="E115" s="207"/>
      <c r="F115" s="207"/>
      <c r="G115" s="207"/>
      <c r="H115" s="211">
        <f>+H110*H107</f>
        <v>0</v>
      </c>
      <c r="I115" s="211">
        <f t="shared" ref="I115:AK115" si="51">+I110*I107</f>
        <v>0</v>
      </c>
      <c r="J115" s="211">
        <f t="shared" si="51"/>
        <v>0</v>
      </c>
      <c r="K115" s="211">
        <f t="shared" si="51"/>
        <v>0</v>
      </c>
      <c r="L115" s="211">
        <f t="shared" si="51"/>
        <v>0</v>
      </c>
      <c r="M115" s="211">
        <f t="shared" si="51"/>
        <v>0</v>
      </c>
      <c r="N115" s="211">
        <f t="shared" si="51"/>
        <v>0</v>
      </c>
      <c r="O115" s="211">
        <f t="shared" si="51"/>
        <v>4877804.4881274607</v>
      </c>
      <c r="P115" s="211">
        <f t="shared" si="51"/>
        <v>11005126.937995369</v>
      </c>
      <c r="Q115" s="211">
        <f t="shared" si="51"/>
        <v>10388013.908414412</v>
      </c>
      <c r="R115" s="211">
        <f t="shared" si="51"/>
        <v>9820032.0077827852</v>
      </c>
      <c r="S115" s="211">
        <f t="shared" si="51"/>
        <v>8927301.8252570778</v>
      </c>
      <c r="T115" s="211">
        <f t="shared" si="51"/>
        <v>8115728.9320518896</v>
      </c>
      <c r="U115" s="211">
        <f t="shared" si="51"/>
        <v>7377935.3927744422</v>
      </c>
      <c r="V115" s="211">
        <f t="shared" si="51"/>
        <v>6707213.9934313111</v>
      </c>
      <c r="W115" s="211">
        <f t="shared" si="51"/>
        <v>6097467.2667557374</v>
      </c>
      <c r="X115" s="211">
        <f t="shared" si="51"/>
        <v>5543152.0606870335</v>
      </c>
      <c r="Y115" s="211">
        <f t="shared" si="51"/>
        <v>5039229.1460791212</v>
      </c>
      <c r="Z115" s="211">
        <f t="shared" si="51"/>
        <v>4581117.4055264723</v>
      </c>
      <c r="AA115" s="211">
        <f t="shared" si="51"/>
        <v>4164652.1868422488</v>
      </c>
      <c r="AB115" s="211">
        <f t="shared" si="51"/>
        <v>3786047.4425838622</v>
      </c>
      <c r="AC115" s="211">
        <f t="shared" si="51"/>
        <v>3441861.3114398741</v>
      </c>
      <c r="AD115" s="211">
        <f t="shared" si="51"/>
        <v>3128964.828581702</v>
      </c>
      <c r="AE115" s="211">
        <f t="shared" si="51"/>
        <v>2844513.4805288208</v>
      </c>
      <c r="AF115" s="211">
        <f t="shared" si="51"/>
        <v>2585921.3459352907</v>
      </c>
      <c r="AG115" s="211">
        <f t="shared" si="51"/>
        <v>2350837.5872139004</v>
      </c>
      <c r="AH115" s="211">
        <f t="shared" si="51"/>
        <v>2137125.0792853641</v>
      </c>
      <c r="AI115" s="211">
        <f t="shared" si="51"/>
        <v>1942840.9811685125</v>
      </c>
      <c r="AJ115" s="211">
        <f t="shared" si="51"/>
        <v>1766219.0737895567</v>
      </c>
      <c r="AK115" s="152">
        <f t="shared" si="51"/>
        <v>1605653.7034450513</v>
      </c>
    </row>
    <row r="116" spans="2:37" x14ac:dyDescent="0.25">
      <c r="B116" s="144" t="s">
        <v>507</v>
      </c>
      <c r="C116" s="207"/>
      <c r="D116" s="214">
        <f t="shared" ref="D116:D127" si="52">SUM(H116:AK116)</f>
        <v>1203156728.3858986</v>
      </c>
      <c r="E116" s="207"/>
      <c r="F116" s="207"/>
      <c r="G116" s="207"/>
      <c r="H116" s="212">
        <f t="shared" ref="H116:AK116" si="53">+H110*H71</f>
        <v>89170225.993577287</v>
      </c>
      <c r="I116" s="212">
        <f t="shared" si="53"/>
        <v>108085122.4164573</v>
      </c>
      <c r="J116" s="212">
        <f t="shared" si="53"/>
        <v>98259202.196779341</v>
      </c>
      <c r="K116" s="212">
        <f t="shared" si="53"/>
        <v>89326547.451617584</v>
      </c>
      <c r="L116" s="212">
        <f t="shared" si="53"/>
        <v>81205952.228743255</v>
      </c>
      <c r="M116" s="212">
        <f t="shared" si="53"/>
        <v>73823592.935221136</v>
      </c>
      <c r="N116" s="212">
        <f t="shared" si="53"/>
        <v>67112357.213837385</v>
      </c>
      <c r="O116" s="212">
        <f t="shared" si="53"/>
        <v>61011233.830761261</v>
      </c>
      <c r="P116" s="212">
        <f t="shared" si="53"/>
        <v>55464758.027964778</v>
      </c>
      <c r="Q116" s="212">
        <f t="shared" si="53"/>
        <v>50422507.298149794</v>
      </c>
      <c r="R116" s="212">
        <f t="shared" si="53"/>
        <v>45838642.998317987</v>
      </c>
      <c r="S116" s="212">
        <f t="shared" si="53"/>
        <v>41671493.634834535</v>
      </c>
      <c r="T116" s="212">
        <f t="shared" si="53"/>
        <v>37883176.031667762</v>
      </c>
      <c r="U116" s="212">
        <f t="shared" si="53"/>
        <v>34439250.937879771</v>
      </c>
      <c r="V116" s="212">
        <f t="shared" si="53"/>
        <v>31308409.943527069</v>
      </c>
      <c r="W116" s="212">
        <f t="shared" si="53"/>
        <v>28462190.85775188</v>
      </c>
      <c r="X116" s="212">
        <f t="shared" si="53"/>
        <v>25874718.961592615</v>
      </c>
      <c r="Y116" s="212">
        <f t="shared" si="53"/>
        <v>23522471.783266012</v>
      </c>
      <c r="Z116" s="212">
        <f t="shared" si="53"/>
        <v>21384065.257514551</v>
      </c>
      <c r="AA116" s="212">
        <f t="shared" si="53"/>
        <v>19440059.325013231</v>
      </c>
      <c r="AB116" s="212">
        <f t="shared" si="53"/>
        <v>17672781.204557482</v>
      </c>
      <c r="AC116" s="212">
        <f t="shared" si="53"/>
        <v>16066164.73141589</v>
      </c>
      <c r="AD116" s="212">
        <f t="shared" si="53"/>
        <v>14605604.301287172</v>
      </c>
      <c r="AE116" s="212">
        <f t="shared" si="53"/>
        <v>13277822.092079248</v>
      </c>
      <c r="AF116" s="212">
        <f t="shared" si="53"/>
        <v>12070747.356435677</v>
      </c>
      <c r="AG116" s="212">
        <f t="shared" si="53"/>
        <v>10973406.687668797</v>
      </c>
      <c r="AH116" s="212">
        <f t="shared" si="53"/>
        <v>9975824.261517087</v>
      </c>
      <c r="AI116" s="212">
        <f t="shared" si="53"/>
        <v>9068931.1468337141</v>
      </c>
      <c r="AJ116" s="212">
        <f t="shared" si="53"/>
        <v>8244482.8607579228</v>
      </c>
      <c r="AK116" s="159">
        <f t="shared" si="53"/>
        <v>7494984.4188708384</v>
      </c>
    </row>
    <row r="117" spans="2:37" x14ac:dyDescent="0.25">
      <c r="B117" s="144" t="s">
        <v>482</v>
      </c>
      <c r="C117" s="207"/>
      <c r="D117" s="214">
        <f t="shared" si="52"/>
        <v>0</v>
      </c>
      <c r="E117" s="207"/>
      <c r="F117" s="207"/>
      <c r="G117" s="207"/>
      <c r="H117" s="212">
        <f>+$H$110*H73</f>
        <v>0</v>
      </c>
      <c r="I117" s="212">
        <f>+$H$110*I73</f>
        <v>0</v>
      </c>
      <c r="J117" s="212">
        <f t="shared" ref="J117:AK117" si="54">+$H$110*J73</f>
        <v>0</v>
      </c>
      <c r="K117" s="212">
        <f t="shared" si="54"/>
        <v>0</v>
      </c>
      <c r="L117" s="212">
        <f t="shared" si="54"/>
        <v>0</v>
      </c>
      <c r="M117" s="212">
        <f t="shared" si="54"/>
        <v>0</v>
      </c>
      <c r="N117" s="212">
        <f t="shared" si="54"/>
        <v>0</v>
      </c>
      <c r="O117" s="212">
        <f t="shared" si="54"/>
        <v>0</v>
      </c>
      <c r="P117" s="212">
        <f t="shared" si="54"/>
        <v>0</v>
      </c>
      <c r="Q117" s="212">
        <f t="shared" si="54"/>
        <v>0</v>
      </c>
      <c r="R117" s="212">
        <f t="shared" si="54"/>
        <v>0</v>
      </c>
      <c r="S117" s="212">
        <f t="shared" si="54"/>
        <v>0</v>
      </c>
      <c r="T117" s="212">
        <f t="shared" si="54"/>
        <v>0</v>
      </c>
      <c r="U117" s="212">
        <f t="shared" si="54"/>
        <v>0</v>
      </c>
      <c r="V117" s="212">
        <f t="shared" si="54"/>
        <v>0</v>
      </c>
      <c r="W117" s="212">
        <f t="shared" si="54"/>
        <v>0</v>
      </c>
      <c r="X117" s="212">
        <f t="shared" si="54"/>
        <v>0</v>
      </c>
      <c r="Y117" s="212">
        <f t="shared" si="54"/>
        <v>0</v>
      </c>
      <c r="Z117" s="212">
        <f t="shared" si="54"/>
        <v>0</v>
      </c>
      <c r="AA117" s="212">
        <f t="shared" si="54"/>
        <v>0</v>
      </c>
      <c r="AB117" s="212">
        <f t="shared" si="54"/>
        <v>0</v>
      </c>
      <c r="AC117" s="212">
        <f t="shared" si="54"/>
        <v>0</v>
      </c>
      <c r="AD117" s="212">
        <f t="shared" si="54"/>
        <v>0</v>
      </c>
      <c r="AE117" s="212">
        <f t="shared" si="54"/>
        <v>0</v>
      </c>
      <c r="AF117" s="212">
        <f t="shared" si="54"/>
        <v>0</v>
      </c>
      <c r="AG117" s="212">
        <f t="shared" si="54"/>
        <v>0</v>
      </c>
      <c r="AH117" s="212">
        <f t="shared" si="54"/>
        <v>0</v>
      </c>
      <c r="AI117" s="212">
        <f t="shared" si="54"/>
        <v>0</v>
      </c>
      <c r="AJ117" s="212">
        <f t="shared" si="54"/>
        <v>0</v>
      </c>
      <c r="AK117" s="159">
        <f t="shared" si="54"/>
        <v>0</v>
      </c>
    </row>
    <row r="118" spans="2:37" x14ac:dyDescent="0.25">
      <c r="B118" s="144" t="s">
        <v>483</v>
      </c>
      <c r="C118" s="207"/>
      <c r="D118" s="214">
        <f t="shared" si="52"/>
        <v>28568299.897670206</v>
      </c>
      <c r="E118" s="207"/>
      <c r="F118" s="207"/>
      <c r="G118" s="207"/>
      <c r="H118" s="212">
        <f t="shared" ref="H118:I119" si="55">+$H$110*H74</f>
        <v>720209.24111773598</v>
      </c>
      <c r="I118" s="212">
        <f t="shared" si="55"/>
        <v>960278.9881569813</v>
      </c>
      <c r="J118" s="212">
        <f t="shared" ref="J118:AK118" si="56">+$H$110*J74</f>
        <v>960278.9881569813</v>
      </c>
      <c r="K118" s="212">
        <f t="shared" si="56"/>
        <v>960278.9881569813</v>
      </c>
      <c r="L118" s="212">
        <f t="shared" si="56"/>
        <v>960278.9881569813</v>
      </c>
      <c r="M118" s="212">
        <f t="shared" si="56"/>
        <v>960278.9881569813</v>
      </c>
      <c r="N118" s="212">
        <f t="shared" si="56"/>
        <v>960278.9881569813</v>
      </c>
      <c r="O118" s="212">
        <f t="shared" si="56"/>
        <v>960278.9881569813</v>
      </c>
      <c r="P118" s="212">
        <f t="shared" si="56"/>
        <v>960278.9881569813</v>
      </c>
      <c r="Q118" s="212">
        <f t="shared" si="56"/>
        <v>960278.9881569813</v>
      </c>
      <c r="R118" s="212">
        <f t="shared" si="56"/>
        <v>960278.9881569813</v>
      </c>
      <c r="S118" s="212">
        <f t="shared" si="56"/>
        <v>960278.9881569813</v>
      </c>
      <c r="T118" s="212">
        <f t="shared" si="56"/>
        <v>960278.9881569813</v>
      </c>
      <c r="U118" s="212">
        <f t="shared" si="56"/>
        <v>960278.9881569813</v>
      </c>
      <c r="V118" s="212">
        <f t="shared" si="56"/>
        <v>960278.9881569813</v>
      </c>
      <c r="W118" s="212">
        <f t="shared" si="56"/>
        <v>960278.9881569813</v>
      </c>
      <c r="X118" s="212">
        <f t="shared" si="56"/>
        <v>960278.9881569813</v>
      </c>
      <c r="Y118" s="212">
        <f t="shared" si="56"/>
        <v>960278.9881569813</v>
      </c>
      <c r="Z118" s="212">
        <f t="shared" si="56"/>
        <v>960278.9881569813</v>
      </c>
      <c r="AA118" s="212">
        <f t="shared" si="56"/>
        <v>960278.9881569813</v>
      </c>
      <c r="AB118" s="212">
        <f t="shared" si="56"/>
        <v>960278.9881569813</v>
      </c>
      <c r="AC118" s="212">
        <f t="shared" si="56"/>
        <v>960278.9881569813</v>
      </c>
      <c r="AD118" s="212">
        <f t="shared" si="56"/>
        <v>960278.9881569813</v>
      </c>
      <c r="AE118" s="212">
        <f t="shared" si="56"/>
        <v>960278.9881569813</v>
      </c>
      <c r="AF118" s="212">
        <f t="shared" si="56"/>
        <v>960278.9881569813</v>
      </c>
      <c r="AG118" s="212">
        <f t="shared" si="56"/>
        <v>960278.9881569813</v>
      </c>
      <c r="AH118" s="212">
        <f t="shared" si="56"/>
        <v>960278.9881569813</v>
      </c>
      <c r="AI118" s="212">
        <f t="shared" si="56"/>
        <v>960278.9881569813</v>
      </c>
      <c r="AJ118" s="212">
        <f t="shared" si="56"/>
        <v>960278.9881569813</v>
      </c>
      <c r="AK118" s="159">
        <f t="shared" si="56"/>
        <v>960278.9881569813</v>
      </c>
    </row>
    <row r="119" spans="2:37" x14ac:dyDescent="0.25">
      <c r="B119" s="144" t="s">
        <v>484</v>
      </c>
      <c r="C119" s="207"/>
      <c r="D119" s="214">
        <f t="shared" si="52"/>
        <v>6645351.3316778811</v>
      </c>
      <c r="E119" s="207"/>
      <c r="F119" s="207"/>
      <c r="G119" s="207"/>
      <c r="H119" s="212">
        <f t="shared" si="55"/>
        <v>167529.86550448442</v>
      </c>
      <c r="I119" s="212">
        <f t="shared" si="55"/>
        <v>223373.15400597922</v>
      </c>
      <c r="J119" s="212">
        <f t="shared" ref="J119:AK119" si="57">+$H$110*J75</f>
        <v>223373.15400597922</v>
      </c>
      <c r="K119" s="212">
        <f t="shared" si="57"/>
        <v>223373.15400597922</v>
      </c>
      <c r="L119" s="212">
        <f t="shared" si="57"/>
        <v>223373.15400597922</v>
      </c>
      <c r="M119" s="212">
        <f t="shared" si="57"/>
        <v>223373.15400597922</v>
      </c>
      <c r="N119" s="212">
        <f t="shared" si="57"/>
        <v>223373.15400597922</v>
      </c>
      <c r="O119" s="212">
        <f t="shared" si="57"/>
        <v>223373.15400597922</v>
      </c>
      <c r="P119" s="212">
        <f t="shared" si="57"/>
        <v>223373.15400597922</v>
      </c>
      <c r="Q119" s="212">
        <f t="shared" si="57"/>
        <v>223373.15400597922</v>
      </c>
      <c r="R119" s="212">
        <f t="shared" si="57"/>
        <v>223373.15400597922</v>
      </c>
      <c r="S119" s="212">
        <f t="shared" si="57"/>
        <v>223373.15400597922</v>
      </c>
      <c r="T119" s="212">
        <f t="shared" si="57"/>
        <v>223373.15400597922</v>
      </c>
      <c r="U119" s="212">
        <f t="shared" si="57"/>
        <v>223373.15400597922</v>
      </c>
      <c r="V119" s="212">
        <f t="shared" si="57"/>
        <v>223373.15400597922</v>
      </c>
      <c r="W119" s="212">
        <f t="shared" si="57"/>
        <v>223373.15400597922</v>
      </c>
      <c r="X119" s="212">
        <f t="shared" si="57"/>
        <v>223373.15400597922</v>
      </c>
      <c r="Y119" s="212">
        <f t="shared" si="57"/>
        <v>223373.15400597922</v>
      </c>
      <c r="Z119" s="212">
        <f t="shared" si="57"/>
        <v>223373.15400597922</v>
      </c>
      <c r="AA119" s="212">
        <f t="shared" si="57"/>
        <v>223373.15400597922</v>
      </c>
      <c r="AB119" s="212">
        <f t="shared" si="57"/>
        <v>223373.15400597922</v>
      </c>
      <c r="AC119" s="212">
        <f t="shared" si="57"/>
        <v>223373.15400597922</v>
      </c>
      <c r="AD119" s="212">
        <f t="shared" si="57"/>
        <v>223373.15400597922</v>
      </c>
      <c r="AE119" s="212">
        <f t="shared" si="57"/>
        <v>223373.15400597922</v>
      </c>
      <c r="AF119" s="212">
        <f t="shared" si="57"/>
        <v>223373.15400597922</v>
      </c>
      <c r="AG119" s="212">
        <f t="shared" si="57"/>
        <v>223373.15400597922</v>
      </c>
      <c r="AH119" s="212">
        <f t="shared" si="57"/>
        <v>223373.15400597922</v>
      </c>
      <c r="AI119" s="212">
        <f t="shared" si="57"/>
        <v>223373.15400597922</v>
      </c>
      <c r="AJ119" s="212">
        <f t="shared" si="57"/>
        <v>223373.15400597922</v>
      </c>
      <c r="AK119" s="159">
        <f t="shared" si="57"/>
        <v>223373.15400597922</v>
      </c>
    </row>
    <row r="120" spans="2:37" x14ac:dyDescent="0.25">
      <c r="B120" s="144" t="s">
        <v>485</v>
      </c>
      <c r="C120" s="207"/>
      <c r="D120" s="214">
        <f t="shared" si="52"/>
        <v>27.04545454545455</v>
      </c>
      <c r="E120" s="207"/>
      <c r="F120" s="207"/>
      <c r="G120" s="207"/>
      <c r="H120" s="212">
        <f>+$H$110*H76</f>
        <v>0.68181818181818177</v>
      </c>
      <c r="I120" s="212">
        <f>+$H$110*I76</f>
        <v>0.90909090909090906</v>
      </c>
      <c r="J120" s="212">
        <f t="shared" ref="J120:AK120" si="58">+$H$110*J76</f>
        <v>0.90909090909090906</v>
      </c>
      <c r="K120" s="212">
        <f t="shared" si="58"/>
        <v>0.90909090909090906</v>
      </c>
      <c r="L120" s="212">
        <f t="shared" si="58"/>
        <v>0.90909090909090906</v>
      </c>
      <c r="M120" s="212">
        <f t="shared" si="58"/>
        <v>0.90909090909090906</v>
      </c>
      <c r="N120" s="212">
        <f t="shared" si="58"/>
        <v>0.90909090909090906</v>
      </c>
      <c r="O120" s="212">
        <f t="shared" si="58"/>
        <v>0.90909090909090906</v>
      </c>
      <c r="P120" s="212">
        <f t="shared" si="58"/>
        <v>0.90909090909090906</v>
      </c>
      <c r="Q120" s="212">
        <f t="shared" si="58"/>
        <v>0.90909090909090906</v>
      </c>
      <c r="R120" s="212">
        <f t="shared" si="58"/>
        <v>0.90909090909090906</v>
      </c>
      <c r="S120" s="212">
        <f t="shared" si="58"/>
        <v>0.90909090909090906</v>
      </c>
      <c r="T120" s="212">
        <f t="shared" si="58"/>
        <v>0.90909090909090906</v>
      </c>
      <c r="U120" s="212">
        <f t="shared" si="58"/>
        <v>0.90909090909090906</v>
      </c>
      <c r="V120" s="212">
        <f t="shared" si="58"/>
        <v>0.90909090909090906</v>
      </c>
      <c r="W120" s="212">
        <f t="shared" si="58"/>
        <v>0.90909090909090906</v>
      </c>
      <c r="X120" s="212">
        <f t="shared" si="58"/>
        <v>0.90909090909090906</v>
      </c>
      <c r="Y120" s="212">
        <f t="shared" si="58"/>
        <v>0.90909090909090906</v>
      </c>
      <c r="Z120" s="212">
        <f t="shared" si="58"/>
        <v>0.90909090909090906</v>
      </c>
      <c r="AA120" s="212">
        <f t="shared" si="58"/>
        <v>0.90909090909090906</v>
      </c>
      <c r="AB120" s="212">
        <f t="shared" si="58"/>
        <v>0.90909090909090906</v>
      </c>
      <c r="AC120" s="212">
        <f t="shared" si="58"/>
        <v>0.90909090909090906</v>
      </c>
      <c r="AD120" s="212">
        <f t="shared" si="58"/>
        <v>0.90909090909090906</v>
      </c>
      <c r="AE120" s="212">
        <f t="shared" si="58"/>
        <v>0.90909090909090906</v>
      </c>
      <c r="AF120" s="212">
        <f t="shared" si="58"/>
        <v>0.90909090909090906</v>
      </c>
      <c r="AG120" s="212">
        <f t="shared" si="58"/>
        <v>0.90909090909090906</v>
      </c>
      <c r="AH120" s="212">
        <f t="shared" si="58"/>
        <v>0.90909090909090906</v>
      </c>
      <c r="AI120" s="212">
        <f t="shared" si="58"/>
        <v>0.90909090909090906</v>
      </c>
      <c r="AJ120" s="212">
        <f t="shared" si="58"/>
        <v>0.90909090909090906</v>
      </c>
      <c r="AK120" s="159">
        <f t="shared" si="58"/>
        <v>0.90909090909090906</v>
      </c>
    </row>
    <row r="121" spans="2:37" x14ac:dyDescent="0.25">
      <c r="B121" s="144" t="str">
        <f t="shared" ref="B121:B128" si="59">CONCATENATE("NPV ", B5)</f>
        <v>NPV Electricity</v>
      </c>
      <c r="C121" s="207"/>
      <c r="D121" s="214">
        <f t="shared" si="52"/>
        <v>54103640.757077374</v>
      </c>
      <c r="E121" s="207"/>
      <c r="F121" s="207"/>
      <c r="G121" s="207"/>
      <c r="H121" s="212">
        <f t="shared" ref="H121:AK121" si="60">H81*H$110</f>
        <v>4009813.3182167835</v>
      </c>
      <c r="I121" s="212">
        <f t="shared" si="60"/>
        <v>4860379.7796567064</v>
      </c>
      <c r="J121" s="212">
        <f t="shared" si="60"/>
        <v>4418527.072415187</v>
      </c>
      <c r="K121" s="212">
        <f t="shared" si="60"/>
        <v>4016842.7931047156</v>
      </c>
      <c r="L121" s="212">
        <f t="shared" si="60"/>
        <v>3651675.2664588317</v>
      </c>
      <c r="M121" s="212">
        <f t="shared" si="60"/>
        <v>3319704.7876898469</v>
      </c>
      <c r="N121" s="212">
        <f t="shared" si="60"/>
        <v>3017913.4433544059</v>
      </c>
      <c r="O121" s="212">
        <f t="shared" si="60"/>
        <v>2743557.6757767326</v>
      </c>
      <c r="P121" s="212">
        <f t="shared" si="60"/>
        <v>2494143.3416152112</v>
      </c>
      <c r="Q121" s="212">
        <f t="shared" si="60"/>
        <v>2267403.0378320101</v>
      </c>
      <c r="R121" s="212">
        <f t="shared" si="60"/>
        <v>2061275.4889381907</v>
      </c>
      <c r="S121" s="212">
        <f t="shared" si="60"/>
        <v>1873886.8081256282</v>
      </c>
      <c r="T121" s="212">
        <f t="shared" si="60"/>
        <v>1703533.4619323893</v>
      </c>
      <c r="U121" s="212">
        <f t="shared" si="60"/>
        <v>1548666.7835748987</v>
      </c>
      <c r="V121" s="212">
        <f t="shared" si="60"/>
        <v>1407878.894158999</v>
      </c>
      <c r="W121" s="212">
        <f t="shared" si="60"/>
        <v>1279889.9037809081</v>
      </c>
      <c r="X121" s="212">
        <f t="shared" si="60"/>
        <v>1163536.2761644619</v>
      </c>
      <c r="Y121" s="212">
        <f t="shared" si="60"/>
        <v>1057760.2510586015</v>
      </c>
      <c r="Z121" s="212">
        <f t="shared" si="60"/>
        <v>961600.22823509213</v>
      </c>
      <c r="AA121" s="212">
        <f t="shared" si="60"/>
        <v>874182.02566826565</v>
      </c>
      <c r="AB121" s="212">
        <f t="shared" si="60"/>
        <v>794710.93242569605</v>
      </c>
      <c r="AC121" s="212">
        <f t="shared" si="60"/>
        <v>722464.48402335984</v>
      </c>
      <c r="AD121" s="212">
        <f t="shared" si="60"/>
        <v>656785.89456669078</v>
      </c>
      <c r="AE121" s="212">
        <f t="shared" si="60"/>
        <v>597078.08596971899</v>
      </c>
      <c r="AF121" s="212">
        <f t="shared" si="60"/>
        <v>542798.25997247163</v>
      </c>
      <c r="AG121" s="212">
        <f t="shared" si="60"/>
        <v>493452.96361133782</v>
      </c>
      <c r="AH121" s="212">
        <f t="shared" si="60"/>
        <v>448593.60328303435</v>
      </c>
      <c r="AI121" s="212">
        <f t="shared" si="60"/>
        <v>407812.36662094027</v>
      </c>
      <c r="AJ121" s="212">
        <f t="shared" si="60"/>
        <v>370738.51510994567</v>
      </c>
      <c r="AK121" s="159">
        <f t="shared" si="60"/>
        <v>337035.01373631426</v>
      </c>
    </row>
    <row r="122" spans="2:37" x14ac:dyDescent="0.25">
      <c r="B122" s="144" t="str">
        <f t="shared" si="59"/>
        <v>NPV Ammonia</v>
      </c>
      <c r="C122" s="207"/>
      <c r="D122" s="214">
        <f t="shared" si="52"/>
        <v>34768437.903311022</v>
      </c>
      <c r="E122" s="207"/>
      <c r="F122" s="207"/>
      <c r="G122" s="207"/>
      <c r="H122" s="212">
        <f t="shared" ref="H122:AK122" si="61">H82*H$110</f>
        <v>2576812.6397307692</v>
      </c>
      <c r="I122" s="212">
        <f t="shared" si="61"/>
        <v>3123409.2602797197</v>
      </c>
      <c r="J122" s="212">
        <f t="shared" si="61"/>
        <v>2839462.963890654</v>
      </c>
      <c r="K122" s="212">
        <f t="shared" si="61"/>
        <v>2581329.9671733221</v>
      </c>
      <c r="L122" s="212">
        <f t="shared" si="61"/>
        <v>2346663.6065212013</v>
      </c>
      <c r="M122" s="212">
        <f t="shared" si="61"/>
        <v>2133330.5513829105</v>
      </c>
      <c r="N122" s="212">
        <f t="shared" si="61"/>
        <v>1939391.4103480999</v>
      </c>
      <c r="O122" s="212">
        <f t="shared" si="61"/>
        <v>1763083.1003164544</v>
      </c>
      <c r="P122" s="212">
        <f t="shared" si="61"/>
        <v>1602802.8184695041</v>
      </c>
      <c r="Q122" s="212">
        <f t="shared" si="61"/>
        <v>1457093.4713359126</v>
      </c>
      <c r="R122" s="212">
        <f t="shared" si="61"/>
        <v>1324630.4284871931</v>
      </c>
      <c r="S122" s="212">
        <f t="shared" si="61"/>
        <v>1204209.480442903</v>
      </c>
      <c r="T122" s="212">
        <f t="shared" si="61"/>
        <v>1094735.89131173</v>
      </c>
      <c r="U122" s="212">
        <f t="shared" si="61"/>
        <v>995214.44664702693</v>
      </c>
      <c r="V122" s="212">
        <f t="shared" si="61"/>
        <v>904740.40604275174</v>
      </c>
      <c r="W122" s="212">
        <f t="shared" si="61"/>
        <v>822491.27822068334</v>
      </c>
      <c r="X122" s="212">
        <f t="shared" si="61"/>
        <v>747719.34383698483</v>
      </c>
      <c r="Y122" s="212">
        <f t="shared" si="61"/>
        <v>679744.8580336225</v>
      </c>
      <c r="Z122" s="212">
        <f t="shared" si="61"/>
        <v>617949.87093965674</v>
      </c>
      <c r="AA122" s="212">
        <f t="shared" si="61"/>
        <v>561772.60994514253</v>
      </c>
      <c r="AB122" s="212">
        <f t="shared" si="61"/>
        <v>510702.37267740228</v>
      </c>
      <c r="AC122" s="212">
        <f t="shared" si="61"/>
        <v>464274.88425218378</v>
      </c>
      <c r="AD122" s="212">
        <f t="shared" si="61"/>
        <v>422068.07659289433</v>
      </c>
      <c r="AE122" s="212">
        <f t="shared" si="61"/>
        <v>383698.25144808582</v>
      </c>
      <c r="AF122" s="212">
        <f t="shared" si="61"/>
        <v>348816.59222553245</v>
      </c>
      <c r="AG122" s="212">
        <f t="shared" si="61"/>
        <v>317105.99293230224</v>
      </c>
      <c r="AH122" s="212">
        <f t="shared" si="61"/>
        <v>288278.17539300199</v>
      </c>
      <c r="AI122" s="212">
        <f t="shared" si="61"/>
        <v>262071.0685390927</v>
      </c>
      <c r="AJ122" s="212">
        <f t="shared" si="61"/>
        <v>238246.42594462971</v>
      </c>
      <c r="AK122" s="159">
        <f t="shared" si="61"/>
        <v>216587.65994966336</v>
      </c>
    </row>
    <row r="123" spans="2:37" x14ac:dyDescent="0.25">
      <c r="B123" s="144" t="str">
        <f t="shared" si="59"/>
        <v>NPV DAP</v>
      </c>
      <c r="C123" s="207"/>
      <c r="D123" s="214">
        <f t="shared" si="52"/>
        <v>16118520.345261011</v>
      </c>
      <c r="E123" s="207"/>
      <c r="F123" s="207"/>
      <c r="G123" s="207"/>
      <c r="H123" s="212">
        <f t="shared" ref="H123:AK123" si="62">H83*H$110</f>
        <v>1194600.8927674824</v>
      </c>
      <c r="I123" s="212">
        <f t="shared" si="62"/>
        <v>1448001.0821424027</v>
      </c>
      <c r="J123" s="212">
        <f t="shared" si="62"/>
        <v>1316364.6201294567</v>
      </c>
      <c r="K123" s="212">
        <f t="shared" si="62"/>
        <v>1196695.1092085971</v>
      </c>
      <c r="L123" s="212">
        <f t="shared" si="62"/>
        <v>1087904.6447350881</v>
      </c>
      <c r="M123" s="212">
        <f t="shared" si="62"/>
        <v>989004.2224864437</v>
      </c>
      <c r="N123" s="212">
        <f t="shared" si="62"/>
        <v>899094.74771494861</v>
      </c>
      <c r="O123" s="212">
        <f t="shared" si="62"/>
        <v>817358.86155904422</v>
      </c>
      <c r="P123" s="212">
        <f t="shared" si="62"/>
        <v>743053.51050822204</v>
      </c>
      <c r="Q123" s="212">
        <f t="shared" si="62"/>
        <v>675503.19137111085</v>
      </c>
      <c r="R123" s="212">
        <f t="shared" si="62"/>
        <v>614093.8103373734</v>
      </c>
      <c r="S123" s="212">
        <f t="shared" si="62"/>
        <v>558267.10030670313</v>
      </c>
      <c r="T123" s="212">
        <f t="shared" si="62"/>
        <v>507515.54573336651</v>
      </c>
      <c r="U123" s="212">
        <f t="shared" si="62"/>
        <v>461377.76884851488</v>
      </c>
      <c r="V123" s="212">
        <f t="shared" si="62"/>
        <v>419434.33531683171</v>
      </c>
      <c r="W123" s="212">
        <f t="shared" si="62"/>
        <v>381303.94119711971</v>
      </c>
      <c r="X123" s="212">
        <f t="shared" si="62"/>
        <v>346639.94654283609</v>
      </c>
      <c r="Y123" s="212">
        <f t="shared" si="62"/>
        <v>315127.22412985098</v>
      </c>
      <c r="Z123" s="212">
        <f t="shared" si="62"/>
        <v>286479.2946635008</v>
      </c>
      <c r="AA123" s="212">
        <f t="shared" si="62"/>
        <v>260435.72242136442</v>
      </c>
      <c r="AB123" s="212">
        <f t="shared" si="62"/>
        <v>236759.74765578582</v>
      </c>
      <c r="AC123" s="212">
        <f t="shared" si="62"/>
        <v>215236.13423253252</v>
      </c>
      <c r="AD123" s="212">
        <f t="shared" si="62"/>
        <v>195669.21293866591</v>
      </c>
      <c r="AE123" s="212">
        <f t="shared" si="62"/>
        <v>177881.1026715145</v>
      </c>
      <c r="AF123" s="212">
        <f t="shared" si="62"/>
        <v>161710.0933377404</v>
      </c>
      <c r="AG123" s="212">
        <f t="shared" si="62"/>
        <v>147009.17576158218</v>
      </c>
      <c r="AH123" s="212">
        <f t="shared" si="62"/>
        <v>133644.70523780197</v>
      </c>
      <c r="AI123" s="212">
        <f t="shared" si="62"/>
        <v>121495.18657981996</v>
      </c>
      <c r="AJ123" s="212">
        <f t="shared" si="62"/>
        <v>110450.16961801813</v>
      </c>
      <c r="AK123" s="159">
        <f t="shared" si="62"/>
        <v>100409.24510728921</v>
      </c>
    </row>
    <row r="124" spans="2:37" x14ac:dyDescent="0.25">
      <c r="B124" s="144" t="str">
        <f t="shared" si="59"/>
        <v>NPV Cultivation CO2</v>
      </c>
      <c r="C124" s="207"/>
      <c r="D124" s="214">
        <f t="shared" si="52"/>
        <v>175921464.86155123</v>
      </c>
      <c r="E124" s="207"/>
      <c r="F124" s="207"/>
      <c r="G124" s="207"/>
      <c r="H124" s="212">
        <f t="shared" ref="H124:AK124" si="63">H84*H$110</f>
        <v>13038165.692569928</v>
      </c>
      <c r="I124" s="212">
        <f t="shared" si="63"/>
        <v>15803837.203115063</v>
      </c>
      <c r="J124" s="212">
        <f t="shared" si="63"/>
        <v>14367124.730104599</v>
      </c>
      <c r="K124" s="212">
        <f t="shared" si="63"/>
        <v>13061022.481913274</v>
      </c>
      <c r="L124" s="212">
        <f t="shared" si="63"/>
        <v>11873656.801739337</v>
      </c>
      <c r="M124" s="212">
        <f t="shared" si="63"/>
        <v>10794233.456126671</v>
      </c>
      <c r="N124" s="212">
        <f t="shared" si="63"/>
        <v>9812939.5055696983</v>
      </c>
      <c r="O124" s="212">
        <f t="shared" si="63"/>
        <v>8920854.0959724542</v>
      </c>
      <c r="P124" s="212">
        <f t="shared" si="63"/>
        <v>8109867.3599749571</v>
      </c>
      <c r="Q124" s="212">
        <f t="shared" si="63"/>
        <v>7372606.6908863243</v>
      </c>
      <c r="R124" s="212">
        <f t="shared" si="63"/>
        <v>6702369.7189875664</v>
      </c>
      <c r="S124" s="212">
        <f t="shared" si="63"/>
        <v>6093063.3808977883</v>
      </c>
      <c r="T124" s="212">
        <f t="shared" si="63"/>
        <v>5539148.5280888984</v>
      </c>
      <c r="U124" s="212">
        <f t="shared" si="63"/>
        <v>5035589.5709899059</v>
      </c>
      <c r="V124" s="212">
        <f t="shared" si="63"/>
        <v>4577808.7008999148</v>
      </c>
      <c r="W124" s="212">
        <f t="shared" si="63"/>
        <v>4161644.273545377</v>
      </c>
      <c r="X124" s="212">
        <f t="shared" si="63"/>
        <v>3783312.9759503426</v>
      </c>
      <c r="Y124" s="212">
        <f t="shared" si="63"/>
        <v>3439375.4326821291</v>
      </c>
      <c r="Z124" s="212">
        <f t="shared" si="63"/>
        <v>3126704.9388019349</v>
      </c>
      <c r="AA124" s="212">
        <f t="shared" si="63"/>
        <v>2842459.0352744865</v>
      </c>
      <c r="AB124" s="212">
        <f t="shared" si="63"/>
        <v>2584053.6684313514</v>
      </c>
      <c r="AC124" s="212">
        <f t="shared" si="63"/>
        <v>2349139.6985739553</v>
      </c>
      <c r="AD124" s="212">
        <f t="shared" si="63"/>
        <v>2135581.5441581411</v>
      </c>
      <c r="AE124" s="212">
        <f t="shared" si="63"/>
        <v>1941437.7674164921</v>
      </c>
      <c r="AF124" s="212">
        <f t="shared" si="63"/>
        <v>1764943.4249240833</v>
      </c>
      <c r="AG124" s="212">
        <f t="shared" si="63"/>
        <v>1604494.0226582575</v>
      </c>
      <c r="AH124" s="212">
        <f t="shared" si="63"/>
        <v>1458630.9296893249</v>
      </c>
      <c r="AI124" s="212">
        <f t="shared" si="63"/>
        <v>1326028.117899386</v>
      </c>
      <c r="AJ124" s="212">
        <f t="shared" si="63"/>
        <v>1205480.1071812601</v>
      </c>
      <c r="AK124" s="159">
        <f t="shared" si="63"/>
        <v>1095891.006528418</v>
      </c>
    </row>
    <row r="125" spans="2:37" x14ac:dyDescent="0.25">
      <c r="B125" s="144" t="str">
        <f t="shared" si="59"/>
        <v>NPV Labor</v>
      </c>
      <c r="C125" s="207"/>
      <c r="D125" s="214">
        <f t="shared" si="52"/>
        <v>40121702.427610449</v>
      </c>
      <c r="E125" s="207"/>
      <c r="F125" s="207"/>
      <c r="G125" s="207"/>
      <c r="H125" s="212">
        <f t="shared" ref="H125:AK125" si="64">H85*H$110</f>
        <v>2973562.1206363635</v>
      </c>
      <c r="I125" s="212">
        <f t="shared" si="64"/>
        <v>3604317.7219834705</v>
      </c>
      <c r="J125" s="212">
        <f t="shared" si="64"/>
        <v>3276652.4745304273</v>
      </c>
      <c r="K125" s="212">
        <f t="shared" si="64"/>
        <v>2978774.9768458433</v>
      </c>
      <c r="L125" s="212">
        <f t="shared" si="64"/>
        <v>2707977.2516780389</v>
      </c>
      <c r="M125" s="212">
        <f t="shared" si="64"/>
        <v>2461797.5015254896</v>
      </c>
      <c r="N125" s="212">
        <f t="shared" si="64"/>
        <v>2237997.7286595358</v>
      </c>
      <c r="O125" s="212">
        <f t="shared" si="64"/>
        <v>2034543.3896904869</v>
      </c>
      <c r="P125" s="212">
        <f t="shared" si="64"/>
        <v>1849584.8997186245</v>
      </c>
      <c r="Q125" s="212">
        <f t="shared" si="64"/>
        <v>1681440.8179260222</v>
      </c>
      <c r="R125" s="212">
        <f t="shared" si="64"/>
        <v>1528582.5617509291</v>
      </c>
      <c r="S125" s="212">
        <f t="shared" si="64"/>
        <v>1389620.5106826627</v>
      </c>
      <c r="T125" s="212">
        <f t="shared" si="64"/>
        <v>1263291.3733478752</v>
      </c>
      <c r="U125" s="212">
        <f t="shared" si="64"/>
        <v>1148446.7030435225</v>
      </c>
      <c r="V125" s="212">
        <f t="shared" si="64"/>
        <v>1044042.4573122934</v>
      </c>
      <c r="W125" s="212">
        <f t="shared" si="64"/>
        <v>949129.50664753933</v>
      </c>
      <c r="X125" s="212">
        <f t="shared" si="64"/>
        <v>862845.00604321761</v>
      </c>
      <c r="Y125" s="212">
        <f t="shared" si="64"/>
        <v>784404.55094837956</v>
      </c>
      <c r="Z125" s="212">
        <f t="shared" si="64"/>
        <v>713095.04631670844</v>
      </c>
      <c r="AA125" s="212">
        <f t="shared" si="64"/>
        <v>648268.22392428061</v>
      </c>
      <c r="AB125" s="212">
        <f t="shared" si="64"/>
        <v>589334.74902207323</v>
      </c>
      <c r="AC125" s="212">
        <f t="shared" si="64"/>
        <v>535758.86274733918</v>
      </c>
      <c r="AD125" s="212">
        <f t="shared" si="64"/>
        <v>487053.5115884901</v>
      </c>
      <c r="AE125" s="212">
        <f t="shared" si="64"/>
        <v>442775.91962590016</v>
      </c>
      <c r="AF125" s="212">
        <f t="shared" si="64"/>
        <v>402523.56329627277</v>
      </c>
      <c r="AG125" s="212">
        <f t="shared" si="64"/>
        <v>365930.51208752068</v>
      </c>
      <c r="AH125" s="212">
        <f t="shared" si="64"/>
        <v>332664.10189774603</v>
      </c>
      <c r="AI125" s="212">
        <f t="shared" si="64"/>
        <v>302421.91081613273</v>
      </c>
      <c r="AJ125" s="212">
        <f t="shared" si="64"/>
        <v>274929.00983284792</v>
      </c>
      <c r="AK125" s="159">
        <f t="shared" si="64"/>
        <v>249935.4634844072</v>
      </c>
    </row>
    <row r="126" spans="2:37" x14ac:dyDescent="0.25">
      <c r="B126" s="144" t="str">
        <f t="shared" si="59"/>
        <v>NPV Labor Burdens</v>
      </c>
      <c r="C126" s="207"/>
      <c r="D126" s="214">
        <f t="shared" si="52"/>
        <v>36109532.185401388</v>
      </c>
      <c r="E126" s="207"/>
      <c r="F126" s="207"/>
      <c r="G126" s="207"/>
      <c r="H126" s="212">
        <f t="shared" ref="H126:AK126" si="65">H86*H$110</f>
        <v>2676205.9086136366</v>
      </c>
      <c r="I126" s="212">
        <f t="shared" si="65"/>
        <v>3243885.9498347109</v>
      </c>
      <c r="J126" s="212">
        <f t="shared" si="65"/>
        <v>2948987.2271224642</v>
      </c>
      <c r="K126" s="212">
        <f t="shared" si="65"/>
        <v>2680897.4792022402</v>
      </c>
      <c r="L126" s="212">
        <f t="shared" si="65"/>
        <v>2437179.5265474906</v>
      </c>
      <c r="M126" s="212">
        <f t="shared" si="65"/>
        <v>2215617.7514068098</v>
      </c>
      <c r="N126" s="212">
        <f t="shared" si="65"/>
        <v>2014197.9558243721</v>
      </c>
      <c r="O126" s="212">
        <f t="shared" si="65"/>
        <v>1831089.0507494293</v>
      </c>
      <c r="P126" s="212">
        <f t="shared" si="65"/>
        <v>1664626.4097722082</v>
      </c>
      <c r="Q126" s="212">
        <f t="shared" si="65"/>
        <v>1513296.7361565528</v>
      </c>
      <c r="R126" s="212">
        <f t="shared" si="65"/>
        <v>1375724.3055968659</v>
      </c>
      <c r="S126" s="212">
        <f t="shared" si="65"/>
        <v>1250658.4596335145</v>
      </c>
      <c r="T126" s="212">
        <f t="shared" si="65"/>
        <v>1136962.2360304678</v>
      </c>
      <c r="U126" s="212">
        <f t="shared" si="65"/>
        <v>1033602.0327549705</v>
      </c>
      <c r="V126" s="212">
        <f t="shared" si="65"/>
        <v>939638.21159542771</v>
      </c>
      <c r="W126" s="212">
        <f t="shared" si="65"/>
        <v>854216.55599584337</v>
      </c>
      <c r="X126" s="212">
        <f t="shared" si="65"/>
        <v>776560.50545076665</v>
      </c>
      <c r="Y126" s="212">
        <f t="shared" si="65"/>
        <v>705964.09586433321</v>
      </c>
      <c r="Z126" s="212">
        <f t="shared" si="65"/>
        <v>641785.54169484822</v>
      </c>
      <c r="AA126" s="212">
        <f t="shared" si="65"/>
        <v>583441.40154077124</v>
      </c>
      <c r="AB126" s="212">
        <f t="shared" si="65"/>
        <v>530401.27412797383</v>
      </c>
      <c r="AC126" s="212">
        <f t="shared" si="65"/>
        <v>482182.97647997609</v>
      </c>
      <c r="AD126" s="212">
        <f t="shared" si="65"/>
        <v>438348.16043634189</v>
      </c>
      <c r="AE126" s="212">
        <f t="shared" si="65"/>
        <v>398498.32766940177</v>
      </c>
      <c r="AF126" s="212">
        <f t="shared" si="65"/>
        <v>362271.20697218331</v>
      </c>
      <c r="AG126" s="212">
        <f t="shared" si="65"/>
        <v>329337.46088380303</v>
      </c>
      <c r="AH126" s="212">
        <f t="shared" si="65"/>
        <v>299397.69171254814</v>
      </c>
      <c r="AI126" s="212">
        <f t="shared" si="65"/>
        <v>272179.71973868011</v>
      </c>
      <c r="AJ126" s="212">
        <f t="shared" si="65"/>
        <v>247436.10885334556</v>
      </c>
      <c r="AK126" s="159">
        <f t="shared" si="65"/>
        <v>224941.91713940504</v>
      </c>
    </row>
    <row r="127" spans="2:37" x14ac:dyDescent="0.25">
      <c r="B127" s="144" t="str">
        <f t="shared" si="59"/>
        <v>NPV Maintenance</v>
      </c>
      <c r="C127" s="207"/>
      <c r="D127" s="214">
        <f t="shared" si="52"/>
        <v>25020579.560224131</v>
      </c>
      <c r="E127" s="207"/>
      <c r="F127" s="207"/>
      <c r="G127" s="207"/>
      <c r="H127" s="212">
        <f t="shared" ref="H127:AK127" si="66">H87*H$110</f>
        <v>1854364.1748723777</v>
      </c>
      <c r="I127" s="212">
        <f t="shared" si="66"/>
        <v>2247714.1513604578</v>
      </c>
      <c r="J127" s="212">
        <f t="shared" si="66"/>
        <v>2043376.5012367791</v>
      </c>
      <c r="K127" s="212">
        <f t="shared" si="66"/>
        <v>1857615.0011243448</v>
      </c>
      <c r="L127" s="212">
        <f t="shared" si="66"/>
        <v>1688740.9101130406</v>
      </c>
      <c r="M127" s="212">
        <f t="shared" si="66"/>
        <v>1535219.0091936733</v>
      </c>
      <c r="N127" s="212">
        <f t="shared" si="66"/>
        <v>1395653.6447215208</v>
      </c>
      <c r="O127" s="212">
        <f t="shared" si="66"/>
        <v>1268776.040655928</v>
      </c>
      <c r="P127" s="212">
        <f t="shared" si="66"/>
        <v>1153432.7642326618</v>
      </c>
      <c r="Q127" s="212">
        <f t="shared" si="66"/>
        <v>1048575.2402115107</v>
      </c>
      <c r="R127" s="212">
        <f t="shared" si="66"/>
        <v>953250.2183741004</v>
      </c>
      <c r="S127" s="212">
        <f t="shared" si="66"/>
        <v>866591.1076128186</v>
      </c>
      <c r="T127" s="212">
        <f t="shared" si="66"/>
        <v>787810.09782983514</v>
      </c>
      <c r="U127" s="212">
        <f t="shared" si="66"/>
        <v>716190.9980271227</v>
      </c>
      <c r="V127" s="212">
        <f t="shared" si="66"/>
        <v>651082.72547920235</v>
      </c>
      <c r="W127" s="212">
        <f t="shared" si="66"/>
        <v>591893.38679927494</v>
      </c>
      <c r="X127" s="212">
        <f t="shared" si="66"/>
        <v>538084.89709024993</v>
      </c>
      <c r="Y127" s="212">
        <f t="shared" si="66"/>
        <v>489168.08826386346</v>
      </c>
      <c r="Z127" s="212">
        <f t="shared" si="66"/>
        <v>444698.26205805759</v>
      </c>
      <c r="AA127" s="212">
        <f t="shared" si="66"/>
        <v>404271.14732550696</v>
      </c>
      <c r="AB127" s="212">
        <f t="shared" si="66"/>
        <v>367519.22484136996</v>
      </c>
      <c r="AC127" s="212">
        <f t="shared" si="66"/>
        <v>334108.38621942716</v>
      </c>
      <c r="AD127" s="212">
        <f t="shared" si="66"/>
        <v>303734.89656311559</v>
      </c>
      <c r="AE127" s="212">
        <f t="shared" si="66"/>
        <v>276122.63323919603</v>
      </c>
      <c r="AF127" s="212">
        <f t="shared" si="66"/>
        <v>251020.57567199631</v>
      </c>
      <c r="AG127" s="212">
        <f t="shared" si="66"/>
        <v>228200.52333817846</v>
      </c>
      <c r="AH127" s="212">
        <f t="shared" si="66"/>
        <v>207455.02121652587</v>
      </c>
      <c r="AI127" s="212">
        <f t="shared" si="66"/>
        <v>188595.47383320529</v>
      </c>
      <c r="AJ127" s="212">
        <f t="shared" si="66"/>
        <v>171450.43075745937</v>
      </c>
      <c r="AK127" s="159">
        <f t="shared" si="66"/>
        <v>155864.02796132668</v>
      </c>
    </row>
    <row r="128" spans="2:37" x14ac:dyDescent="0.25">
      <c r="B128" s="144" t="str">
        <f t="shared" si="59"/>
        <v>NPV Property Tax and Insurance</v>
      </c>
      <c r="C128" s="207"/>
      <c r="D128" s="214">
        <f>SUM(H128:AK128)</f>
        <v>25923508.040014189</v>
      </c>
      <c r="E128" s="207"/>
      <c r="F128" s="207"/>
      <c r="G128" s="207"/>
      <c r="H128" s="212">
        <f>H88*H$110</f>
        <v>1921283.4171451048</v>
      </c>
      <c r="I128" s="212">
        <f>I88*I$110</f>
        <v>2328828.3844183087</v>
      </c>
      <c r="J128" s="212">
        <f t="shared" ref="J128:K128" si="67">J88*J$110</f>
        <v>2117116.7131075528</v>
      </c>
      <c r="K128" s="212">
        <f t="shared" si="67"/>
        <v>1924651.5573705025</v>
      </c>
      <c r="L128" s="212">
        <f t="shared" ref="L128:AK128" si="68">L88*L$110</f>
        <v>1749683.2339731839</v>
      </c>
      <c r="M128" s="212">
        <f t="shared" si="68"/>
        <v>1590621.1217938035</v>
      </c>
      <c r="N128" s="212">
        <f t="shared" si="68"/>
        <v>1446019.2016307302</v>
      </c>
      <c r="O128" s="212">
        <f t="shared" si="68"/>
        <v>1314562.9105733912</v>
      </c>
      <c r="P128" s="212">
        <f t="shared" si="68"/>
        <v>1195057.1914303557</v>
      </c>
      <c r="Q128" s="212">
        <f t="shared" si="68"/>
        <v>1086415.6285730505</v>
      </c>
      <c r="R128" s="212">
        <f t="shared" si="68"/>
        <v>987650.57143004565</v>
      </c>
      <c r="S128" s="212">
        <f t="shared" si="68"/>
        <v>897864.15584549611</v>
      </c>
      <c r="T128" s="212">
        <f t="shared" si="68"/>
        <v>816240.14167772373</v>
      </c>
      <c r="U128" s="212">
        <f t="shared" si="68"/>
        <v>742036.49243429408</v>
      </c>
      <c r="V128" s="212">
        <f t="shared" si="68"/>
        <v>674578.62948572193</v>
      </c>
      <c r="W128" s="212">
        <f t="shared" si="68"/>
        <v>613253.29953247448</v>
      </c>
      <c r="X128" s="212">
        <f t="shared" si="68"/>
        <v>557502.99957497674</v>
      </c>
      <c r="Y128" s="212">
        <f t="shared" si="68"/>
        <v>506820.90870452428</v>
      </c>
      <c r="Z128" s="212">
        <f t="shared" si="68"/>
        <v>460746.2806404765</v>
      </c>
      <c r="AA128" s="212">
        <f t="shared" si="68"/>
        <v>418860.25512770598</v>
      </c>
      <c r="AB128" s="212">
        <f t="shared" si="68"/>
        <v>380782.05011609633</v>
      </c>
      <c r="AC128" s="212">
        <f t="shared" si="68"/>
        <v>346165.50010554201</v>
      </c>
      <c r="AD128" s="212">
        <f t="shared" si="68"/>
        <v>314695.90918685636</v>
      </c>
      <c r="AE128" s="212">
        <f t="shared" si="68"/>
        <v>286087.19016986946</v>
      </c>
      <c r="AF128" s="212">
        <f t="shared" si="68"/>
        <v>260079.26379079037</v>
      </c>
      <c r="AG128" s="212">
        <f t="shared" si="68"/>
        <v>236435.69435526396</v>
      </c>
      <c r="AH128" s="212">
        <f t="shared" si="68"/>
        <v>214941.54032296722</v>
      </c>
      <c r="AI128" s="212">
        <f t="shared" si="68"/>
        <v>195401.40029360654</v>
      </c>
      <c r="AJ128" s="212">
        <f t="shared" si="68"/>
        <v>177637.63663055139</v>
      </c>
      <c r="AK128" s="159">
        <f t="shared" si="68"/>
        <v>161488.76057322853</v>
      </c>
    </row>
    <row r="129" spans="2:37" x14ac:dyDescent="0.25">
      <c r="B129" s="144" t="str">
        <f t="shared" ref="B129:B137" si="69">CONCATENATE("NPV ", B13)</f>
        <v>NPV WHE Annual Hexane</v>
      </c>
      <c r="C129" s="207"/>
      <c r="D129" s="214">
        <f t="shared" ref="D129:D137" si="70">SUM(H129:AK129)</f>
        <v>2403239.6258373791</v>
      </c>
      <c r="E129" s="207"/>
      <c r="F129" s="207"/>
      <c r="G129" s="207"/>
      <c r="H129" s="212">
        <f t="shared" ref="H129:I137" si="71">H89*H$110</f>
        <v>178112.63943986016</v>
      </c>
      <c r="I129" s="212">
        <f t="shared" si="71"/>
        <v>215894.10841195166</v>
      </c>
      <c r="J129" s="212">
        <f t="shared" ref="J129:K129" si="72">J89*J$110</f>
        <v>196267.37128359237</v>
      </c>
      <c r="K129" s="212">
        <f t="shared" si="72"/>
        <v>178424.882985084</v>
      </c>
      <c r="L129" s="212">
        <f t="shared" ref="L129:AK129" si="73">L89*L$110</f>
        <v>162204.43907734906</v>
      </c>
      <c r="M129" s="212">
        <f t="shared" si="73"/>
        <v>147458.58097940823</v>
      </c>
      <c r="N129" s="212">
        <f t="shared" si="73"/>
        <v>134053.25543582565</v>
      </c>
      <c r="O129" s="212">
        <f t="shared" si="73"/>
        <v>121866.59585075059</v>
      </c>
      <c r="P129" s="212">
        <f t="shared" si="73"/>
        <v>110787.81440977326</v>
      </c>
      <c r="Q129" s="212">
        <f t="shared" si="73"/>
        <v>100716.19491797568</v>
      </c>
      <c r="R129" s="212">
        <f t="shared" si="73"/>
        <v>91560.177198159698</v>
      </c>
      <c r="S129" s="212">
        <f t="shared" si="73"/>
        <v>83236.524725599724</v>
      </c>
      <c r="T129" s="212">
        <f t="shared" si="73"/>
        <v>75669.567932363381</v>
      </c>
      <c r="U129" s="212">
        <f t="shared" si="73"/>
        <v>68790.51630214852</v>
      </c>
      <c r="V129" s="212">
        <f t="shared" si="73"/>
        <v>62536.833001953193</v>
      </c>
      <c r="W129" s="212">
        <f t="shared" si="73"/>
        <v>56851.666365411991</v>
      </c>
      <c r="X129" s="212">
        <f t="shared" si="73"/>
        <v>51683.333059465447</v>
      </c>
      <c r="Y129" s="212">
        <f t="shared" si="73"/>
        <v>46984.848235877675</v>
      </c>
      <c r="Z129" s="212">
        <f t="shared" si="73"/>
        <v>42713.49839625242</v>
      </c>
      <c r="AA129" s="212">
        <f t="shared" si="73"/>
        <v>38830.45308750221</v>
      </c>
      <c r="AB129" s="212">
        <f t="shared" si="73"/>
        <v>35300.411897729275</v>
      </c>
      <c r="AC129" s="212">
        <f t="shared" si="73"/>
        <v>32091.283543390244</v>
      </c>
      <c r="AD129" s="212">
        <f t="shared" si="73"/>
        <v>29173.894130354765</v>
      </c>
      <c r="AE129" s="212">
        <f t="shared" si="73"/>
        <v>26521.721936686154</v>
      </c>
      <c r="AF129" s="212">
        <f t="shared" si="73"/>
        <v>24110.656306078316</v>
      </c>
      <c r="AG129" s="212">
        <f t="shared" si="73"/>
        <v>21918.778460071197</v>
      </c>
      <c r="AH129" s="212">
        <f t="shared" si="73"/>
        <v>19926.162236428358</v>
      </c>
      <c r="AI129" s="212">
        <f t="shared" si="73"/>
        <v>18114.692942207595</v>
      </c>
      <c r="AJ129" s="212">
        <f t="shared" si="73"/>
        <v>16467.902674734178</v>
      </c>
      <c r="AK129" s="159">
        <f t="shared" si="73"/>
        <v>14970.820613394706</v>
      </c>
    </row>
    <row r="130" spans="2:37" x14ac:dyDescent="0.25">
      <c r="B130" s="144" t="str">
        <f t="shared" si="69"/>
        <v>NPV Supplemental Electricity</v>
      </c>
      <c r="C130" s="207"/>
      <c r="D130" s="214">
        <f t="shared" si="70"/>
        <v>4877688.9124508807</v>
      </c>
      <c r="E130" s="207"/>
      <c r="F130" s="207"/>
      <c r="G130" s="207"/>
      <c r="H130" s="212">
        <f t="shared" si="71"/>
        <v>361502.88020506996</v>
      </c>
      <c r="I130" s="212">
        <f t="shared" si="71"/>
        <v>438185.30933947867</v>
      </c>
      <c r="J130" s="212">
        <f t="shared" ref="J130:K130" si="74">J90*J$110</f>
        <v>398350.28121770784</v>
      </c>
      <c r="K130" s="212">
        <f t="shared" si="74"/>
        <v>362136.61928882531</v>
      </c>
      <c r="L130" s="212">
        <f t="shared" ref="L130:AK130" si="75">L90*L$110</f>
        <v>329215.10844438663</v>
      </c>
      <c r="M130" s="212">
        <f t="shared" si="75"/>
        <v>299286.46222216962</v>
      </c>
      <c r="N130" s="212">
        <f t="shared" si="75"/>
        <v>272078.60202015418</v>
      </c>
      <c r="O130" s="212">
        <f t="shared" si="75"/>
        <v>247344.18365468559</v>
      </c>
      <c r="P130" s="212">
        <f t="shared" si="75"/>
        <v>224858.34877698691</v>
      </c>
      <c r="Q130" s="212">
        <f t="shared" si="75"/>
        <v>204416.6807063517</v>
      </c>
      <c r="R130" s="212">
        <f t="shared" si="75"/>
        <v>185833.34609668335</v>
      </c>
      <c r="S130" s="212">
        <f t="shared" si="75"/>
        <v>168939.40554243943</v>
      </c>
      <c r="T130" s="212">
        <f t="shared" si="75"/>
        <v>153581.27776585403</v>
      </c>
      <c r="U130" s="212">
        <f t="shared" si="75"/>
        <v>139619.34342350363</v>
      </c>
      <c r="V130" s="212">
        <f t="shared" si="75"/>
        <v>126926.67583954874</v>
      </c>
      <c r="W130" s="212">
        <f t="shared" si="75"/>
        <v>115387.88712686248</v>
      </c>
      <c r="X130" s="212">
        <f t="shared" si="75"/>
        <v>104898.07920623862</v>
      </c>
      <c r="Y130" s="212">
        <f t="shared" si="75"/>
        <v>95361.89018748964</v>
      </c>
      <c r="Z130" s="212">
        <f t="shared" si="75"/>
        <v>86692.627443172387</v>
      </c>
      <c r="AA130" s="212">
        <f t="shared" si="75"/>
        <v>78811.479493793086</v>
      </c>
      <c r="AB130" s="212">
        <f t="shared" si="75"/>
        <v>71646.799539811895</v>
      </c>
      <c r="AC130" s="212">
        <f t="shared" si="75"/>
        <v>65133.454127101708</v>
      </c>
      <c r="AD130" s="212">
        <f t="shared" si="75"/>
        <v>59212.231024637913</v>
      </c>
      <c r="AE130" s="212">
        <f t="shared" si="75"/>
        <v>53829.300931489022</v>
      </c>
      <c r="AF130" s="212">
        <f t="shared" si="75"/>
        <v>48935.728119535459</v>
      </c>
      <c r="AG130" s="212">
        <f t="shared" si="75"/>
        <v>44487.025563214054</v>
      </c>
      <c r="AH130" s="212">
        <f t="shared" si="75"/>
        <v>40442.750512012768</v>
      </c>
      <c r="AI130" s="212">
        <f t="shared" si="75"/>
        <v>36766.136829102514</v>
      </c>
      <c r="AJ130" s="212">
        <f t="shared" si="75"/>
        <v>33423.760753729555</v>
      </c>
      <c r="AK130" s="159">
        <f t="shared" si="75"/>
        <v>30385.237048845051</v>
      </c>
    </row>
    <row r="131" spans="2:37" x14ac:dyDescent="0.25">
      <c r="B131" s="144" t="str">
        <f t="shared" si="69"/>
        <v>NPV Supplemental Natural Gas</v>
      </c>
      <c r="C131" s="207"/>
      <c r="D131" s="214">
        <f t="shared" si="70"/>
        <v>13923950.604095871</v>
      </c>
      <c r="E131" s="207"/>
      <c r="F131" s="207"/>
      <c r="G131" s="207"/>
      <c r="H131" s="212">
        <f t="shared" si="71"/>
        <v>1031953.5209318183</v>
      </c>
      <c r="I131" s="212">
        <f t="shared" si="71"/>
        <v>1250852.7526446283</v>
      </c>
      <c r="J131" s="212">
        <f t="shared" ref="J131:K131" si="76">J91*J$110</f>
        <v>1137138.8660405709</v>
      </c>
      <c r="K131" s="212">
        <f t="shared" si="76"/>
        <v>1033762.6054914282</v>
      </c>
      <c r="L131" s="212">
        <f t="shared" ref="L131:AK131" si="77">L91*L$110</f>
        <v>939784.18681038904</v>
      </c>
      <c r="M131" s="212">
        <f t="shared" si="77"/>
        <v>854349.26073671738</v>
      </c>
      <c r="N131" s="212">
        <f t="shared" si="77"/>
        <v>776681.14612428832</v>
      </c>
      <c r="O131" s="212">
        <f t="shared" si="77"/>
        <v>706073.7692038985</v>
      </c>
      <c r="P131" s="212">
        <f t="shared" si="77"/>
        <v>641885.2447308168</v>
      </c>
      <c r="Q131" s="212">
        <f t="shared" si="77"/>
        <v>583532.04066437879</v>
      </c>
      <c r="R131" s="212">
        <f t="shared" si="77"/>
        <v>530483.67333125346</v>
      </c>
      <c r="S131" s="212">
        <f t="shared" si="77"/>
        <v>482257.88484659407</v>
      </c>
      <c r="T131" s="212">
        <f t="shared" si="77"/>
        <v>438416.25895144913</v>
      </c>
      <c r="U131" s="212">
        <f t="shared" si="77"/>
        <v>398560.23541040818</v>
      </c>
      <c r="V131" s="212">
        <f t="shared" si="77"/>
        <v>362327.48673673469</v>
      </c>
      <c r="W131" s="212">
        <f t="shared" si="77"/>
        <v>329388.62430612248</v>
      </c>
      <c r="X131" s="212">
        <f t="shared" si="77"/>
        <v>299444.20391465677</v>
      </c>
      <c r="Y131" s="212">
        <f t="shared" si="77"/>
        <v>272222.00355877884</v>
      </c>
      <c r="Z131" s="212">
        <f t="shared" si="77"/>
        <v>247474.54868979889</v>
      </c>
      <c r="AA131" s="212">
        <f t="shared" si="77"/>
        <v>224976.86244527178</v>
      </c>
      <c r="AB131" s="212">
        <f t="shared" si="77"/>
        <v>204524.4204047925</v>
      </c>
      <c r="AC131" s="212">
        <f t="shared" si="77"/>
        <v>185931.29127708406</v>
      </c>
      <c r="AD131" s="212">
        <f t="shared" si="77"/>
        <v>169028.44661553093</v>
      </c>
      <c r="AE131" s="212">
        <f t="shared" si="77"/>
        <v>153662.22419593725</v>
      </c>
      <c r="AF131" s="212">
        <f t="shared" si="77"/>
        <v>139692.93108721563</v>
      </c>
      <c r="AG131" s="212">
        <f t="shared" si="77"/>
        <v>126993.57371565058</v>
      </c>
      <c r="AH131" s="212">
        <f t="shared" si="77"/>
        <v>115448.70337786415</v>
      </c>
      <c r="AI131" s="212">
        <f t="shared" si="77"/>
        <v>104953.36670714922</v>
      </c>
      <c r="AJ131" s="212">
        <f t="shared" si="77"/>
        <v>95412.151551953837</v>
      </c>
      <c r="AK131" s="159">
        <f t="shared" si="77"/>
        <v>86738.319592685293</v>
      </c>
    </row>
    <row r="132" spans="2:37" x14ac:dyDescent="0.25">
      <c r="B132" s="144" t="str">
        <f t="shared" si="69"/>
        <v>NPV Labor</v>
      </c>
      <c r="C132" s="207"/>
      <c r="D132" s="214">
        <f t="shared" si="70"/>
        <v>4728237.5511460099</v>
      </c>
      <c r="E132" s="207"/>
      <c r="F132" s="207"/>
      <c r="G132" s="207"/>
      <c r="H132" s="212">
        <f t="shared" si="71"/>
        <v>350426.50806818175</v>
      </c>
      <c r="I132" s="212">
        <f t="shared" si="71"/>
        <v>424759.40371900814</v>
      </c>
      <c r="J132" s="212">
        <f t="shared" ref="J132:K132" si="78">J92*J$110</f>
        <v>386144.91247182555</v>
      </c>
      <c r="K132" s="212">
        <f t="shared" si="78"/>
        <v>351040.82951984141</v>
      </c>
      <c r="L132" s="212">
        <f t="shared" ref="L132:AK132" si="79">L92*L$110</f>
        <v>319128.02683621942</v>
      </c>
      <c r="M132" s="212">
        <f t="shared" si="79"/>
        <v>290116.38803292677</v>
      </c>
      <c r="N132" s="212">
        <f t="shared" si="79"/>
        <v>263742.17093902425</v>
      </c>
      <c r="O132" s="212">
        <f t="shared" si="79"/>
        <v>239765.60994456752</v>
      </c>
      <c r="P132" s="212">
        <f t="shared" si="79"/>
        <v>217968.73631324319</v>
      </c>
      <c r="Q132" s="212">
        <f t="shared" si="79"/>
        <v>198153.39664840288</v>
      </c>
      <c r="R132" s="212">
        <f t="shared" si="79"/>
        <v>180139.45149854803</v>
      </c>
      <c r="S132" s="212">
        <f t="shared" si="79"/>
        <v>163763.13772595278</v>
      </c>
      <c r="T132" s="212">
        <f t="shared" si="79"/>
        <v>148875.57975086616</v>
      </c>
      <c r="U132" s="212">
        <f t="shared" si="79"/>
        <v>135341.43613715103</v>
      </c>
      <c r="V132" s="212">
        <f t="shared" si="79"/>
        <v>123037.66921559183</v>
      </c>
      <c r="W132" s="212">
        <f t="shared" si="79"/>
        <v>111852.42655962893</v>
      </c>
      <c r="X132" s="212">
        <f t="shared" si="79"/>
        <v>101684.02414511722</v>
      </c>
      <c r="Y132" s="212">
        <f t="shared" si="79"/>
        <v>92440.021950106544</v>
      </c>
      <c r="Z132" s="212">
        <f t="shared" si="79"/>
        <v>84036.383591005928</v>
      </c>
      <c r="AA132" s="212">
        <f t="shared" si="79"/>
        <v>76396.712355459953</v>
      </c>
      <c r="AB132" s="212">
        <f t="shared" si="79"/>
        <v>69451.556686781769</v>
      </c>
      <c r="AC132" s="212">
        <f t="shared" si="79"/>
        <v>63137.778806165232</v>
      </c>
      <c r="AD132" s="212">
        <f t="shared" si="79"/>
        <v>57397.980732877477</v>
      </c>
      <c r="AE132" s="212">
        <f t="shared" si="79"/>
        <v>52179.982484434076</v>
      </c>
      <c r="AF132" s="212">
        <f t="shared" si="79"/>
        <v>47436.347713121875</v>
      </c>
      <c r="AG132" s="212">
        <f t="shared" si="79"/>
        <v>43123.952466474431</v>
      </c>
      <c r="AH132" s="212">
        <f t="shared" si="79"/>
        <v>39203.593151340392</v>
      </c>
      <c r="AI132" s="212">
        <f t="shared" si="79"/>
        <v>35639.630137582171</v>
      </c>
      <c r="AJ132" s="212">
        <f t="shared" si="79"/>
        <v>32399.663761438333</v>
      </c>
      <c r="AK132" s="159">
        <f t="shared" si="79"/>
        <v>29454.239783125755</v>
      </c>
    </row>
    <row r="133" spans="2:37" x14ac:dyDescent="0.25">
      <c r="B133" s="144" t="str">
        <f t="shared" si="69"/>
        <v>NPV Labor Burden</v>
      </c>
      <c r="C133" s="207"/>
      <c r="D133" s="214">
        <f t="shared" si="70"/>
        <v>0</v>
      </c>
      <c r="E133" s="207"/>
      <c r="F133" s="207"/>
      <c r="G133" s="207"/>
      <c r="H133" s="212">
        <f t="shared" si="71"/>
        <v>0</v>
      </c>
      <c r="I133" s="212">
        <f t="shared" si="71"/>
        <v>0</v>
      </c>
      <c r="J133" s="212">
        <f t="shared" ref="J133:K133" si="80">J93*J$110</f>
        <v>0</v>
      </c>
      <c r="K133" s="212">
        <f t="shared" si="80"/>
        <v>0</v>
      </c>
      <c r="L133" s="212">
        <f t="shared" ref="L133:AK133" si="81">L93*L$110</f>
        <v>0</v>
      </c>
      <c r="M133" s="212">
        <f t="shared" si="81"/>
        <v>0</v>
      </c>
      <c r="N133" s="212">
        <f t="shared" si="81"/>
        <v>0</v>
      </c>
      <c r="O133" s="212">
        <f t="shared" si="81"/>
        <v>0</v>
      </c>
      <c r="P133" s="212">
        <f t="shared" si="81"/>
        <v>0</v>
      </c>
      <c r="Q133" s="212">
        <f t="shared" si="81"/>
        <v>0</v>
      </c>
      <c r="R133" s="212">
        <f t="shared" si="81"/>
        <v>0</v>
      </c>
      <c r="S133" s="212">
        <f t="shared" si="81"/>
        <v>0</v>
      </c>
      <c r="T133" s="212">
        <f t="shared" si="81"/>
        <v>0</v>
      </c>
      <c r="U133" s="212">
        <f t="shared" si="81"/>
        <v>0</v>
      </c>
      <c r="V133" s="212">
        <f t="shared" si="81"/>
        <v>0</v>
      </c>
      <c r="W133" s="212">
        <f t="shared" si="81"/>
        <v>0</v>
      </c>
      <c r="X133" s="212">
        <f t="shared" si="81"/>
        <v>0</v>
      </c>
      <c r="Y133" s="212">
        <f t="shared" si="81"/>
        <v>0</v>
      </c>
      <c r="Z133" s="212">
        <f t="shared" si="81"/>
        <v>0</v>
      </c>
      <c r="AA133" s="212">
        <f t="shared" si="81"/>
        <v>0</v>
      </c>
      <c r="AB133" s="212">
        <f t="shared" si="81"/>
        <v>0</v>
      </c>
      <c r="AC133" s="212">
        <f t="shared" si="81"/>
        <v>0</v>
      </c>
      <c r="AD133" s="212">
        <f t="shared" si="81"/>
        <v>0</v>
      </c>
      <c r="AE133" s="212">
        <f t="shared" si="81"/>
        <v>0</v>
      </c>
      <c r="AF133" s="212">
        <f t="shared" si="81"/>
        <v>0</v>
      </c>
      <c r="AG133" s="212">
        <f t="shared" si="81"/>
        <v>0</v>
      </c>
      <c r="AH133" s="212">
        <f t="shared" si="81"/>
        <v>0</v>
      </c>
      <c r="AI133" s="212">
        <f t="shared" si="81"/>
        <v>0</v>
      </c>
      <c r="AJ133" s="212">
        <f t="shared" si="81"/>
        <v>0</v>
      </c>
      <c r="AK133" s="159">
        <f t="shared" si="81"/>
        <v>0</v>
      </c>
    </row>
    <row r="134" spans="2:37" x14ac:dyDescent="0.25">
      <c r="B134" s="144" t="str">
        <f t="shared" si="69"/>
        <v>NPV Equipment Maintenance</v>
      </c>
      <c r="C134" s="207"/>
      <c r="D134" s="214">
        <f t="shared" si="70"/>
        <v>30697913.225131657</v>
      </c>
      <c r="E134" s="207"/>
      <c r="F134" s="207"/>
      <c r="G134" s="207"/>
      <c r="H134" s="212">
        <f t="shared" si="71"/>
        <v>2275131.5728321676</v>
      </c>
      <c r="I134" s="212">
        <f t="shared" si="71"/>
        <v>2757735.2397965663</v>
      </c>
      <c r="J134" s="212">
        <f t="shared" ref="J134:K134" si="82">J94*J$110</f>
        <v>2507032.0361786964</v>
      </c>
      <c r="K134" s="212">
        <f t="shared" si="82"/>
        <v>2279120.0328897242</v>
      </c>
      <c r="L134" s="212">
        <f t="shared" ref="L134:AK134" si="83">L94*L$110</f>
        <v>2071927.3026270214</v>
      </c>
      <c r="M134" s="212">
        <f t="shared" si="83"/>
        <v>1883570.2751154741</v>
      </c>
      <c r="N134" s="212">
        <f t="shared" si="83"/>
        <v>1712336.6137413399</v>
      </c>
      <c r="O134" s="212">
        <f t="shared" si="83"/>
        <v>1556669.6488557635</v>
      </c>
      <c r="P134" s="212">
        <f t="shared" si="83"/>
        <v>1415154.2262325122</v>
      </c>
      <c r="Q134" s="212">
        <f t="shared" si="83"/>
        <v>1286503.8420295564</v>
      </c>
      <c r="R134" s="212">
        <f t="shared" si="83"/>
        <v>1169548.9472995966</v>
      </c>
      <c r="S134" s="212">
        <f t="shared" si="83"/>
        <v>1063226.3157269061</v>
      </c>
      <c r="T134" s="212">
        <f t="shared" si="83"/>
        <v>966569.37793355098</v>
      </c>
      <c r="U134" s="212">
        <f t="shared" si="83"/>
        <v>878699.43448504608</v>
      </c>
      <c r="V134" s="212">
        <f t="shared" si="83"/>
        <v>798817.66771367821</v>
      </c>
      <c r="W134" s="212">
        <f t="shared" si="83"/>
        <v>726197.87973970745</v>
      </c>
      <c r="X134" s="212">
        <f t="shared" si="83"/>
        <v>660179.89067246136</v>
      </c>
      <c r="Y134" s="212">
        <f t="shared" si="83"/>
        <v>600163.53697496478</v>
      </c>
      <c r="Z134" s="212">
        <f t="shared" si="83"/>
        <v>545603.21543178603</v>
      </c>
      <c r="AA134" s="212">
        <f t="shared" si="83"/>
        <v>496002.92311980558</v>
      </c>
      <c r="AB134" s="212">
        <f t="shared" si="83"/>
        <v>450911.74829073227</v>
      </c>
      <c r="AC134" s="212">
        <f t="shared" si="83"/>
        <v>409919.77117339289</v>
      </c>
      <c r="AD134" s="212">
        <f t="shared" si="83"/>
        <v>372654.33743035718</v>
      </c>
      <c r="AE134" s="212">
        <f t="shared" si="83"/>
        <v>338776.67039123381</v>
      </c>
      <c r="AF134" s="212">
        <f t="shared" si="83"/>
        <v>307978.79126475792</v>
      </c>
      <c r="AG134" s="212">
        <f t="shared" si="83"/>
        <v>279980.71933159814</v>
      </c>
      <c r="AH134" s="212">
        <f t="shared" si="83"/>
        <v>254527.92666508918</v>
      </c>
      <c r="AI134" s="212">
        <f t="shared" si="83"/>
        <v>231389.02424099014</v>
      </c>
      <c r="AJ134" s="212">
        <f t="shared" si="83"/>
        <v>210353.65840090011</v>
      </c>
      <c r="AK134" s="159">
        <f t="shared" si="83"/>
        <v>191230.59854627281</v>
      </c>
    </row>
    <row r="135" spans="2:37" x14ac:dyDescent="0.25">
      <c r="B135" s="144" t="str">
        <f t="shared" si="69"/>
        <v>NPV Property Tax and Insurance</v>
      </c>
      <c r="C135" s="207"/>
      <c r="D135" s="214">
        <f t="shared" si="70"/>
        <v>8372158.1523530222</v>
      </c>
      <c r="E135" s="207"/>
      <c r="F135" s="207"/>
      <c r="G135" s="207"/>
      <c r="H135" s="212">
        <f t="shared" si="71"/>
        <v>620490.42895751749</v>
      </c>
      <c r="I135" s="212">
        <f t="shared" si="71"/>
        <v>752109.61085759685</v>
      </c>
      <c r="J135" s="212">
        <f t="shared" ref="J135:K135" si="84">J95*J$110</f>
        <v>683736.00987054245</v>
      </c>
      <c r="K135" s="212">
        <f t="shared" si="84"/>
        <v>621578.19079140224</v>
      </c>
      <c r="L135" s="212">
        <f t="shared" ref="L135:AK135" si="85">L95*L$110</f>
        <v>565071.08253763837</v>
      </c>
      <c r="M135" s="212">
        <f t="shared" si="85"/>
        <v>513700.98412512575</v>
      </c>
      <c r="N135" s="212">
        <f t="shared" si="85"/>
        <v>467000.89465920517</v>
      </c>
      <c r="O135" s="212">
        <f t="shared" si="85"/>
        <v>424546.26787200471</v>
      </c>
      <c r="P135" s="212">
        <f t="shared" si="85"/>
        <v>385951.15261091333</v>
      </c>
      <c r="Q135" s="212">
        <f t="shared" si="85"/>
        <v>350864.68419173936</v>
      </c>
      <c r="R135" s="212">
        <f t="shared" si="85"/>
        <v>318967.89471976302</v>
      </c>
      <c r="S135" s="212">
        <f t="shared" si="85"/>
        <v>289970.81338160275</v>
      </c>
      <c r="T135" s="212">
        <f t="shared" si="85"/>
        <v>263609.83034691162</v>
      </c>
      <c r="U135" s="212">
        <f t="shared" si="85"/>
        <v>239645.3003153741</v>
      </c>
      <c r="V135" s="212">
        <f t="shared" si="85"/>
        <v>217859.36392306737</v>
      </c>
      <c r="W135" s="212">
        <f t="shared" si="85"/>
        <v>198053.96720278851</v>
      </c>
      <c r="X135" s="212">
        <f t="shared" si="85"/>
        <v>180049.06109344409</v>
      </c>
      <c r="Y135" s="212">
        <f t="shared" si="85"/>
        <v>163680.9646304037</v>
      </c>
      <c r="Z135" s="212">
        <f t="shared" si="85"/>
        <v>148800.87693673061</v>
      </c>
      <c r="AA135" s="212">
        <f t="shared" si="85"/>
        <v>135273.52448793693</v>
      </c>
      <c r="AB135" s="212">
        <f t="shared" si="85"/>
        <v>122975.93135266994</v>
      </c>
      <c r="AC135" s="212">
        <f t="shared" si="85"/>
        <v>111796.30122969992</v>
      </c>
      <c r="AD135" s="212">
        <f t="shared" si="85"/>
        <v>101633.00111790901</v>
      </c>
      <c r="AE135" s="212">
        <f t="shared" si="85"/>
        <v>92393.637379917302</v>
      </c>
      <c r="AF135" s="212">
        <f t="shared" si="85"/>
        <v>83994.215799924787</v>
      </c>
      <c r="AG135" s="212">
        <f t="shared" si="85"/>
        <v>76358.377999931632</v>
      </c>
      <c r="AH135" s="212">
        <f t="shared" si="85"/>
        <v>69416.707272665109</v>
      </c>
      <c r="AI135" s="212">
        <f t="shared" si="85"/>
        <v>63106.097520604635</v>
      </c>
      <c r="AJ135" s="212">
        <f t="shared" si="85"/>
        <v>57369.17956418603</v>
      </c>
      <c r="AK135" s="159">
        <f t="shared" si="85"/>
        <v>52153.799603805477</v>
      </c>
    </row>
    <row r="136" spans="2:37" x14ac:dyDescent="0.25">
      <c r="B136" s="144" t="str">
        <f t="shared" si="69"/>
        <v>NPV Misc. Supplies</v>
      </c>
      <c r="C136" s="207"/>
      <c r="D136" s="214">
        <f t="shared" si="70"/>
        <v>1116287.7536598083</v>
      </c>
      <c r="E136" s="207"/>
      <c r="F136" s="207"/>
      <c r="G136" s="207"/>
      <c r="H136" s="212">
        <f t="shared" si="71"/>
        <v>82732.057195279718</v>
      </c>
      <c r="I136" s="212">
        <f t="shared" si="71"/>
        <v>100281.28144882389</v>
      </c>
      <c r="J136" s="212">
        <f t="shared" ref="J136:K136" si="86">J96*J$110</f>
        <v>91164.801317112622</v>
      </c>
      <c r="K136" s="212">
        <f t="shared" si="86"/>
        <v>82877.092106466022</v>
      </c>
      <c r="L136" s="212">
        <f t="shared" ref="L136:AK136" si="87">L96*L$110</f>
        <v>75342.811005878189</v>
      </c>
      <c r="M136" s="212">
        <f t="shared" si="87"/>
        <v>68493.464550798351</v>
      </c>
      <c r="N136" s="212">
        <f t="shared" si="87"/>
        <v>62266.785955271218</v>
      </c>
      <c r="O136" s="212">
        <f t="shared" si="87"/>
        <v>56606.169050246564</v>
      </c>
      <c r="P136" s="212">
        <f t="shared" si="87"/>
        <v>51460.153682042328</v>
      </c>
      <c r="Q136" s="212">
        <f t="shared" si="87"/>
        <v>46781.957892765749</v>
      </c>
      <c r="R136" s="212">
        <f t="shared" si="87"/>
        <v>42529.052629787038</v>
      </c>
      <c r="S136" s="212">
        <f t="shared" si="87"/>
        <v>38662.775117988218</v>
      </c>
      <c r="T136" s="212">
        <f t="shared" si="87"/>
        <v>35147.977379989294</v>
      </c>
      <c r="U136" s="212">
        <f t="shared" si="87"/>
        <v>31952.706709081165</v>
      </c>
      <c r="V136" s="212">
        <f t="shared" si="87"/>
        <v>29047.915190073785</v>
      </c>
      <c r="W136" s="212">
        <f t="shared" si="87"/>
        <v>26407.195627339803</v>
      </c>
      <c r="X136" s="212">
        <f t="shared" si="87"/>
        <v>24006.541479399821</v>
      </c>
      <c r="Y136" s="212">
        <f t="shared" si="87"/>
        <v>21824.128617636197</v>
      </c>
      <c r="Z136" s="212">
        <f t="shared" si="87"/>
        <v>19840.116925123813</v>
      </c>
      <c r="AA136" s="212">
        <f t="shared" si="87"/>
        <v>18036.46993193074</v>
      </c>
      <c r="AB136" s="212">
        <f t="shared" si="87"/>
        <v>16396.790847209762</v>
      </c>
      <c r="AC136" s="212">
        <f t="shared" si="87"/>
        <v>14906.173497463418</v>
      </c>
      <c r="AD136" s="212">
        <f t="shared" si="87"/>
        <v>13551.066815875834</v>
      </c>
      <c r="AE136" s="212">
        <f t="shared" si="87"/>
        <v>12319.151650796215</v>
      </c>
      <c r="AF136" s="212">
        <f t="shared" si="87"/>
        <v>11199.228773451101</v>
      </c>
      <c r="AG136" s="212">
        <f t="shared" si="87"/>
        <v>10181.117066773728</v>
      </c>
      <c r="AH136" s="212">
        <f t="shared" si="87"/>
        <v>9255.5609697942982</v>
      </c>
      <c r="AI136" s="212">
        <f t="shared" si="87"/>
        <v>8414.1463361766328</v>
      </c>
      <c r="AJ136" s="212">
        <f t="shared" si="87"/>
        <v>7649.2239419787575</v>
      </c>
      <c r="AK136" s="159">
        <f t="shared" si="87"/>
        <v>6953.8399472534147</v>
      </c>
    </row>
    <row r="137" spans="2:37" x14ac:dyDescent="0.25">
      <c r="B137" s="144" t="str">
        <f t="shared" si="69"/>
        <v>NPV Fixed OPEX Contingency</v>
      </c>
      <c r="C137" s="207"/>
      <c r="D137" s="214">
        <f t="shared" si="70"/>
        <v>4491459.6682304647</v>
      </c>
      <c r="E137" s="207"/>
      <c r="F137" s="207"/>
      <c r="G137" s="207"/>
      <c r="H137" s="212">
        <f t="shared" si="71"/>
        <v>332878.05670541956</v>
      </c>
      <c r="I137" s="212">
        <f t="shared" si="71"/>
        <v>403488.55358232663</v>
      </c>
      <c r="J137" s="212">
        <f t="shared" ref="J137:K137" si="88">J97*J$110</f>
        <v>366807.77598393324</v>
      </c>
      <c r="K137" s="212">
        <f t="shared" si="88"/>
        <v>333461.6145308484</v>
      </c>
      <c r="L137" s="212">
        <f t="shared" ref="L137:AK137" si="89">L97*L$110</f>
        <v>303146.92230077123</v>
      </c>
      <c r="M137" s="212">
        <f t="shared" si="89"/>
        <v>275588.11118251929</v>
      </c>
      <c r="N137" s="212">
        <f t="shared" si="89"/>
        <v>250534.64652956298</v>
      </c>
      <c r="O137" s="212">
        <f t="shared" si="89"/>
        <v>227758.76957232997</v>
      </c>
      <c r="P137" s="212">
        <f t="shared" si="89"/>
        <v>207053.42688393634</v>
      </c>
      <c r="Q137" s="212">
        <f t="shared" si="89"/>
        <v>188230.38807630574</v>
      </c>
      <c r="R137" s="212">
        <f t="shared" si="89"/>
        <v>171118.53461482338</v>
      </c>
      <c r="S137" s="212">
        <f t="shared" si="89"/>
        <v>155562.30419529398</v>
      </c>
      <c r="T137" s="212">
        <f t="shared" si="89"/>
        <v>141420.27654117634</v>
      </c>
      <c r="U137" s="212">
        <f t="shared" si="89"/>
        <v>128563.88776470574</v>
      </c>
      <c r="V137" s="212">
        <f t="shared" si="89"/>
        <v>116876.26160427794</v>
      </c>
      <c r="W137" s="212">
        <f t="shared" si="89"/>
        <v>106251.14691297994</v>
      </c>
      <c r="X137" s="212">
        <f t="shared" si="89"/>
        <v>96591.951739072669</v>
      </c>
      <c r="Y137" s="212">
        <f t="shared" si="89"/>
        <v>87810.865217338782</v>
      </c>
      <c r="Z137" s="212">
        <f t="shared" si="89"/>
        <v>79828.059288489792</v>
      </c>
      <c r="AA137" s="212">
        <f t="shared" si="89"/>
        <v>72570.962989536187</v>
      </c>
      <c r="AB137" s="212">
        <f t="shared" si="89"/>
        <v>65973.602717760165</v>
      </c>
      <c r="AC137" s="212">
        <f t="shared" si="89"/>
        <v>59976.002470691041</v>
      </c>
      <c r="AD137" s="212">
        <f t="shared" si="89"/>
        <v>54523.638609719128</v>
      </c>
      <c r="AE137" s="212">
        <f t="shared" si="89"/>
        <v>49566.944190653761</v>
      </c>
      <c r="AF137" s="212">
        <f t="shared" si="89"/>
        <v>45060.858355139768</v>
      </c>
      <c r="AG137" s="212">
        <f t="shared" si="89"/>
        <v>40964.416686490695</v>
      </c>
      <c r="AH137" s="212">
        <f t="shared" si="89"/>
        <v>37240.378805900633</v>
      </c>
      <c r="AI137" s="212">
        <f t="shared" si="89"/>
        <v>33854.889823546022</v>
      </c>
      <c r="AJ137" s="212">
        <f t="shared" si="89"/>
        <v>30777.172566860019</v>
      </c>
      <c r="AK137" s="159">
        <f t="shared" si="89"/>
        <v>27979.247788054563</v>
      </c>
    </row>
    <row r="138" spans="2:37" x14ac:dyDescent="0.25">
      <c r="B138" s="144" t="s">
        <v>452</v>
      </c>
      <c r="C138" s="207"/>
      <c r="D138" s="214">
        <f>SUM(E138:G138)</f>
        <v>199520184.13785791</v>
      </c>
      <c r="E138" s="215">
        <f>E62*E110</f>
        <v>17936064.101545926</v>
      </c>
      <c r="F138" s="215">
        <f>F62*F110</f>
        <v>122291346.14690401</v>
      </c>
      <c r="G138" s="215">
        <f>G62*G110</f>
        <v>59292773.889408007</v>
      </c>
      <c r="H138" s="207"/>
      <c r="I138" s="207"/>
      <c r="J138" s="207"/>
      <c r="K138" s="207"/>
      <c r="L138" s="207"/>
      <c r="M138" s="207"/>
      <c r="N138" s="207"/>
      <c r="O138" s="207"/>
      <c r="P138" s="207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  <c r="AA138" s="207"/>
      <c r="AB138" s="207"/>
      <c r="AC138" s="207"/>
      <c r="AD138" s="207"/>
      <c r="AE138" s="207"/>
      <c r="AF138" s="207"/>
      <c r="AG138" s="207"/>
      <c r="AH138" s="207"/>
      <c r="AI138" s="207"/>
      <c r="AJ138" s="207"/>
      <c r="AK138" s="81"/>
    </row>
    <row r="139" spans="2:37" ht="15.75" thickBot="1" x14ac:dyDescent="0.3">
      <c r="B139" s="146" t="s">
        <v>445</v>
      </c>
      <c r="C139" s="147"/>
      <c r="D139" s="160">
        <f>E139</f>
        <v>29091668.113200016</v>
      </c>
      <c r="E139" s="161">
        <f>E63*E110</f>
        <v>29091668.113200016</v>
      </c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62"/>
    </row>
  </sheetData>
  <mergeCells count="16">
    <mergeCell ref="B2:D2"/>
    <mergeCell ref="B23:D23"/>
    <mergeCell ref="B24:D24"/>
    <mergeCell ref="B29:D29"/>
    <mergeCell ref="B30:D30"/>
    <mergeCell ref="L6:M6"/>
    <mergeCell ref="B54:D54"/>
    <mergeCell ref="B59:D59"/>
    <mergeCell ref="B33:D33"/>
    <mergeCell ref="B38:D38"/>
    <mergeCell ref="B39:D39"/>
    <mergeCell ref="B48:D48"/>
    <mergeCell ref="B49:D49"/>
    <mergeCell ref="B53:D53"/>
    <mergeCell ref="B43:D43"/>
    <mergeCell ref="B32:D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olve_MLSP">
                <anchor moveWithCells="1" sizeWithCells="1">
                  <from>
                    <xdr:col>4</xdr:col>
                    <xdr:colOff>200025</xdr:colOff>
                    <xdr:row>53</xdr:row>
                    <xdr:rowOff>142875</xdr:rowOff>
                  </from>
                  <to>
                    <xdr:col>5</xdr:col>
                    <xdr:colOff>771525</xdr:colOff>
                    <xdr:row>56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8E5FA-61EF-4C7A-AB4E-1EBB6C530D8F}">
  <sheetPr codeName="Sheet9"/>
  <dimension ref="B1:AK169"/>
  <sheetViews>
    <sheetView topLeftCell="A48" zoomScale="70" zoomScaleNormal="70" workbookViewId="0">
      <selection activeCell="D67" sqref="D67"/>
    </sheetView>
  </sheetViews>
  <sheetFormatPr defaultRowHeight="15" x14ac:dyDescent="0.25"/>
  <cols>
    <col min="2" max="2" width="42.5703125" bestFit="1" customWidth="1"/>
    <col min="3" max="3" width="33.28515625" bestFit="1" customWidth="1"/>
    <col min="4" max="4" width="19.7109375" bestFit="1" customWidth="1"/>
    <col min="5" max="5" width="17.28515625" bestFit="1" customWidth="1"/>
    <col min="6" max="6" width="31.140625" bestFit="1" customWidth="1"/>
    <col min="7" max="7" width="27.28515625" customWidth="1"/>
    <col min="8" max="9" width="21.7109375" bestFit="1" customWidth="1"/>
    <col min="10" max="10" width="21.42578125" bestFit="1" customWidth="1"/>
    <col min="11" max="11" width="20.7109375" bestFit="1" customWidth="1"/>
    <col min="12" max="12" width="26.7109375" bestFit="1" customWidth="1"/>
    <col min="13" max="13" width="20.7109375" bestFit="1" customWidth="1"/>
    <col min="14" max="15" width="21.42578125" bestFit="1" customWidth="1"/>
    <col min="16" max="16" width="20.7109375" bestFit="1" customWidth="1"/>
    <col min="17" max="37" width="21.42578125" bestFit="1" customWidth="1"/>
  </cols>
  <sheetData>
    <row r="1" spans="2:13" ht="15.75" thickBot="1" x14ac:dyDescent="0.3"/>
    <row r="2" spans="2:13" ht="21.75" thickBot="1" x14ac:dyDescent="0.4">
      <c r="B2" s="358" t="s">
        <v>403</v>
      </c>
      <c r="C2" s="359"/>
      <c r="D2" s="360"/>
      <c r="F2" s="163"/>
      <c r="G2" s="163"/>
    </row>
    <row r="3" spans="2:13" x14ac:dyDescent="0.25">
      <c r="B3" s="197" t="s">
        <v>446</v>
      </c>
      <c r="C3" s="198"/>
      <c r="D3" s="199">
        <f>IF(G4="Include Cultivation", 'CAPEX &amp; OPEX'!C60+'CAPEX &amp; OPEX'!C91, 'CAPEX &amp; OPEX'!C91)</f>
        <v>523837510.37716156</v>
      </c>
      <c r="E3" s="113"/>
      <c r="F3" s="168" t="s">
        <v>488</v>
      </c>
      <c r="G3" s="56" t="str">
        <f>'Model Inputs'!C34</f>
        <v>Maximum Jet</v>
      </c>
      <c r="H3" s="207"/>
      <c r="I3" s="163"/>
      <c r="J3" s="163"/>
      <c r="K3" s="163"/>
      <c r="L3" s="163"/>
      <c r="M3" s="163"/>
    </row>
    <row r="4" spans="2:13" x14ac:dyDescent="0.25">
      <c r="B4" s="165" t="s">
        <v>124</v>
      </c>
      <c r="C4" s="166"/>
      <c r="D4" s="167">
        <f>IF(G4="Include Cultivation", 'CAPEX &amp; OPEX'!C61, 0)</f>
        <v>24042700.920000009</v>
      </c>
      <c r="E4" s="115"/>
      <c r="F4" s="168" t="s">
        <v>499</v>
      </c>
      <c r="G4" s="56" t="s">
        <v>500</v>
      </c>
      <c r="H4" s="163"/>
      <c r="I4" s="163"/>
      <c r="J4" s="163"/>
      <c r="K4" s="163"/>
      <c r="L4" s="163"/>
      <c r="M4" s="163"/>
    </row>
    <row r="5" spans="2:13" x14ac:dyDescent="0.25">
      <c r="B5" s="116" t="s">
        <v>184</v>
      </c>
      <c r="C5" s="200"/>
      <c r="D5" s="118">
        <f>IF(G4="Include Cultivation", 'CAPEX &amp; OPEX'!H3, 0)</f>
        <v>5881059.5333846156</v>
      </c>
      <c r="F5" s="163"/>
      <c r="G5" s="163"/>
      <c r="H5" s="163"/>
      <c r="I5" s="163"/>
      <c r="J5" s="163"/>
      <c r="K5" s="163"/>
      <c r="L5" s="163"/>
      <c r="M5" s="163"/>
    </row>
    <row r="6" spans="2:13" x14ac:dyDescent="0.25">
      <c r="B6" s="164" t="s">
        <v>185</v>
      </c>
      <c r="C6" s="201"/>
      <c r="D6" s="118">
        <f>IF(G4="Include Cultivation", 'CAPEX &amp; OPEX'!H4,0)</f>
        <v>3779325.2049384615</v>
      </c>
      <c r="F6" s="224" t="s">
        <v>505</v>
      </c>
      <c r="G6" s="224" t="s">
        <v>504</v>
      </c>
      <c r="H6" s="224" t="s">
        <v>515</v>
      </c>
      <c r="I6" s="224" t="s">
        <v>525</v>
      </c>
      <c r="J6" s="241" t="s">
        <v>517</v>
      </c>
      <c r="K6" s="163"/>
      <c r="L6" s="397" t="s">
        <v>236</v>
      </c>
      <c r="M6" s="398"/>
    </row>
    <row r="7" spans="2:13" x14ac:dyDescent="0.25">
      <c r="B7" s="116" t="s">
        <v>186</v>
      </c>
      <c r="C7" s="200"/>
      <c r="D7" s="118">
        <f>IF(G4="Include Cultivation", 'CAPEX &amp; OPEX'!H5,0)</f>
        <v>1752081.3093923074</v>
      </c>
      <c r="E7" s="115"/>
      <c r="F7" s="256" t="s">
        <v>521</v>
      </c>
      <c r="G7" s="257">
        <f>D136</f>
        <v>1074291097.7629058</v>
      </c>
      <c r="H7" s="26"/>
      <c r="I7" s="26"/>
      <c r="J7" s="248"/>
      <c r="K7" s="163"/>
      <c r="L7" s="8" t="s">
        <v>326</v>
      </c>
      <c r="M7" s="249">
        <f>J8+J9+J15</f>
        <v>-5.2050472620602049E-2</v>
      </c>
    </row>
    <row r="8" spans="2:13" x14ac:dyDescent="0.25">
      <c r="B8" s="164" t="s">
        <v>187</v>
      </c>
      <c r="C8" s="201"/>
      <c r="D8" s="118">
        <f>IF(G4="Include Cultivation", 'CAPEX &amp; OPEX'!H6,0)</f>
        <v>19122643.015769228</v>
      </c>
      <c r="E8" s="115"/>
      <c r="F8" s="259" t="s">
        <v>510</v>
      </c>
      <c r="G8" s="255">
        <f>D137</f>
        <v>28568299.897670206</v>
      </c>
      <c r="H8" s="247"/>
      <c r="I8" s="247"/>
      <c r="J8" s="249">
        <f>G8/SUM($G$8:$G$15)*($G$44-$G$43)*-1</f>
        <v>-4.2227757126234257E-2</v>
      </c>
      <c r="K8" s="163"/>
      <c r="L8" s="7" t="s">
        <v>526</v>
      </c>
      <c r="M8" s="232">
        <f>J10</f>
        <v>0</v>
      </c>
    </row>
    <row r="9" spans="2:13" x14ac:dyDescent="0.25">
      <c r="B9" s="116" t="s">
        <v>188</v>
      </c>
      <c r="C9" s="200"/>
      <c r="D9" s="118">
        <f>IF(G4="Include Cultivation", 'CAPEX &amp; OPEX'!H7,0)</f>
        <v>4361224.4435999999</v>
      </c>
      <c r="E9" s="115"/>
      <c r="F9" s="259" t="s">
        <v>511</v>
      </c>
      <c r="G9" s="255">
        <f t="shared" ref="G9:G15" si="0">D138</f>
        <v>6645351.3316778811</v>
      </c>
      <c r="H9" s="247"/>
      <c r="I9" s="247"/>
      <c r="J9" s="232">
        <f t="shared" ref="J9:J15" si="1">G9/SUM($G$8:$G$15)*($G$44-$G$43)*-1</f>
        <v>-9.8227154943677907E-3</v>
      </c>
      <c r="K9" s="163"/>
      <c r="L9" s="7" t="s">
        <v>527</v>
      </c>
      <c r="M9" s="232">
        <f>J11+J12+J13</f>
        <v>-0.66922862216359502</v>
      </c>
    </row>
    <row r="10" spans="2:13" x14ac:dyDescent="0.25">
      <c r="B10" s="164" t="s">
        <v>189</v>
      </c>
      <c r="C10" s="201"/>
      <c r="D10" s="118">
        <f>IF(G4="Include Cultivation", 'CAPEX &amp; OPEX'!H8,0)</f>
        <v>3925101.9993000007</v>
      </c>
      <c r="E10" s="115"/>
      <c r="F10" s="259" t="s">
        <v>509</v>
      </c>
      <c r="G10" s="255">
        <f t="shared" si="0"/>
        <v>0</v>
      </c>
      <c r="H10" s="247"/>
      <c r="I10" s="247"/>
      <c r="J10" s="232">
        <f t="shared" si="1"/>
        <v>0</v>
      </c>
      <c r="K10" s="163"/>
      <c r="L10" s="6" t="str">
        <f>B56</f>
        <v>Diesel</v>
      </c>
      <c r="M10" s="251">
        <f>J14</f>
        <v>-0.9801478450884904</v>
      </c>
    </row>
    <row r="11" spans="2:13" x14ac:dyDescent="0.25">
      <c r="B11" s="116" t="s">
        <v>190</v>
      </c>
      <c r="C11" s="200"/>
      <c r="D11" s="118">
        <f>IF(G4="Include Cultivation", 'CAPEX &amp; OPEX'!H9,0)</f>
        <v>2719734.123146154</v>
      </c>
      <c r="E11" s="115"/>
      <c r="F11" s="259" t="s">
        <v>522</v>
      </c>
      <c r="G11" s="255">
        <f t="shared" si="0"/>
        <v>139277220.43098703</v>
      </c>
      <c r="H11" s="247"/>
      <c r="I11" s="247"/>
      <c r="J11" s="232">
        <f t="shared" si="1"/>
        <v>-0.20587030585100888</v>
      </c>
      <c r="K11" s="163"/>
      <c r="L11" s="7" t="s">
        <v>514</v>
      </c>
      <c r="M11" s="232">
        <f>J16</f>
        <v>0.37611624340821764</v>
      </c>
    </row>
    <row r="12" spans="2:13" x14ac:dyDescent="0.25">
      <c r="B12" s="165" t="s">
        <v>191</v>
      </c>
      <c r="C12" s="166"/>
      <c r="D12" s="167">
        <f>IF(G4="Include Cultivation", 'CAPEX &amp; OPEX'!H10,0)</f>
        <v>2817882.3451461536</v>
      </c>
      <c r="F12" s="259" t="s">
        <v>523</v>
      </c>
      <c r="G12" s="255">
        <f t="shared" si="0"/>
        <v>138159504.60577559</v>
      </c>
      <c r="H12" s="254"/>
      <c r="I12" s="253"/>
      <c r="J12" s="232">
        <f t="shared" si="1"/>
        <v>-0.2042181728024117</v>
      </c>
      <c r="K12" s="163"/>
      <c r="L12" s="7" t="s">
        <v>528</v>
      </c>
      <c r="M12" s="232">
        <f>J17</f>
        <v>2.9170582217506866</v>
      </c>
    </row>
    <row r="13" spans="2:13" x14ac:dyDescent="0.25">
      <c r="B13" s="164" t="s">
        <v>501</v>
      </c>
      <c r="C13" s="201"/>
      <c r="D13" s="118">
        <f>IF(G4="Include Cultivation", 0, 'Process Model Outputs'!C80*1000*'Model Inputs'!C49)</f>
        <v>0</v>
      </c>
      <c r="F13" s="259" t="s">
        <v>524</v>
      </c>
      <c r="G13" s="255">
        <f t="shared" si="0"/>
        <v>175315807.40111536</v>
      </c>
      <c r="H13" s="254"/>
      <c r="I13" s="253"/>
      <c r="J13" s="232">
        <f t="shared" si="1"/>
        <v>-0.2591401435101745</v>
      </c>
      <c r="K13" s="207"/>
      <c r="L13" s="7" t="s">
        <v>59</v>
      </c>
      <c r="M13" s="232">
        <f>J19+J20+J21</f>
        <v>2.9323286564930378</v>
      </c>
    </row>
    <row r="14" spans="2:13" x14ac:dyDescent="0.25">
      <c r="B14" s="116" t="s">
        <v>396</v>
      </c>
      <c r="C14" s="200"/>
      <c r="D14" s="118">
        <f>'CAPEX &amp; OPEX'!H68</f>
        <v>261231.87117846153</v>
      </c>
      <c r="F14" s="259" t="str">
        <f>CONCATENATE("Sales (",B56,")")</f>
        <v>Sales (Diesel)</v>
      </c>
      <c r="G14" s="255">
        <f t="shared" si="0"/>
        <v>663098385.70960486</v>
      </c>
      <c r="H14" s="254"/>
      <c r="I14" s="253"/>
      <c r="J14" s="232">
        <f t="shared" si="1"/>
        <v>-0.9801478450884904</v>
      </c>
      <c r="K14" s="163"/>
      <c r="L14" s="7" t="s">
        <v>529</v>
      </c>
      <c r="M14" s="232">
        <f>J18</f>
        <v>0.69948749714446357</v>
      </c>
    </row>
    <row r="15" spans="2:13" x14ac:dyDescent="0.25">
      <c r="B15" s="164" t="s">
        <v>397</v>
      </c>
      <c r="C15" s="201"/>
      <c r="D15" s="118">
        <f>'CAPEX &amp; OPEX'!H69</f>
        <v>55658.367296461533</v>
      </c>
      <c r="F15" s="260" t="s">
        <v>512</v>
      </c>
      <c r="G15" s="258">
        <f t="shared" si="0"/>
        <v>0</v>
      </c>
      <c r="H15" s="250"/>
      <c r="I15" s="226"/>
      <c r="J15" s="251">
        <f t="shared" si="1"/>
        <v>0</v>
      </c>
      <c r="K15" s="163"/>
      <c r="L15" s="7" t="s">
        <v>530</v>
      </c>
      <c r="M15" s="232">
        <f>J22+J23</f>
        <v>0.98556760243002373</v>
      </c>
    </row>
    <row r="16" spans="2:13" x14ac:dyDescent="0.25">
      <c r="B16" s="116" t="s">
        <v>398</v>
      </c>
      <c r="C16" s="200"/>
      <c r="D16" s="118">
        <f>'CAPEX &amp; OPEX'!H70</f>
        <v>74211.156395307684</v>
      </c>
      <c r="F16" s="7" t="s">
        <v>124</v>
      </c>
      <c r="G16" s="252">
        <f>D169</f>
        <v>29091668.113200016</v>
      </c>
      <c r="H16" s="254">
        <f>G16/SUM($G$16:$G$41)</f>
        <v>3.088836192817869E-2</v>
      </c>
      <c r="I16" s="253">
        <f>H16*$D$65</f>
        <v>0.32356195229507656</v>
      </c>
      <c r="J16" s="232">
        <f>I16/SUM($I$16:$I$41)*$G$44</f>
        <v>0.37611624340821764</v>
      </c>
      <c r="K16" s="163"/>
      <c r="L16" s="7" t="s">
        <v>531</v>
      </c>
      <c r="M16" s="232">
        <f>J24</f>
        <v>0.32348252961877977</v>
      </c>
    </row>
    <row r="17" spans="2:13" x14ac:dyDescent="0.25">
      <c r="B17" s="116" t="s">
        <v>399</v>
      </c>
      <c r="C17" s="200"/>
      <c r="D17" s="118">
        <f>'CAPEX &amp; OPEX'!H71</f>
        <v>112352.4696653846</v>
      </c>
      <c r="F17" s="7" t="s">
        <v>446</v>
      </c>
      <c r="G17" s="252">
        <f>D168</f>
        <v>225627292.46965104</v>
      </c>
      <c r="H17" s="254">
        <f t="shared" ref="H17:H41" si="2">G17/SUM($G$16:$G$41)</f>
        <v>0.239561975049323</v>
      </c>
      <c r="I17" s="253">
        <f t="shared" ref="I17:I41" si="3">H17*$D$65</f>
        <v>2.5094610236326598</v>
      </c>
      <c r="J17" s="232">
        <f t="shared" ref="J17:J41" si="4">I17/SUM($I$16:$I$41)*$G$44</f>
        <v>2.9170582217506866</v>
      </c>
      <c r="K17" s="163"/>
      <c r="L17" s="7" t="s">
        <v>532</v>
      </c>
      <c r="M17" s="232">
        <f>J25</f>
        <v>0.3351561836204503</v>
      </c>
    </row>
    <row r="18" spans="2:13" x14ac:dyDescent="0.25">
      <c r="B18" s="164" t="s">
        <v>400</v>
      </c>
      <c r="C18" s="201"/>
      <c r="D18" s="118">
        <f>'CAPEX &amp; OPEX'!H72</f>
        <v>0</v>
      </c>
      <c r="F18" s="7" t="s">
        <v>184</v>
      </c>
      <c r="G18" s="252">
        <f>D145</f>
        <v>54103640.757077374</v>
      </c>
      <c r="H18" s="254">
        <f t="shared" si="2"/>
        <v>5.7445067461720761E-2</v>
      </c>
      <c r="I18" s="253">
        <f t="shared" si="3"/>
        <v>0.60174891180228796</v>
      </c>
      <c r="J18" s="232">
        <f t="shared" si="4"/>
        <v>0.69948749714446357</v>
      </c>
      <c r="K18" s="163"/>
      <c r="L18" s="7" t="s">
        <v>536</v>
      </c>
      <c r="M18" s="232">
        <f>J26+J27+J28+J29+J30+J31+J32</f>
        <v>0.53776060483752319</v>
      </c>
    </row>
    <row r="19" spans="2:13" x14ac:dyDescent="0.25">
      <c r="B19" s="116" t="s">
        <v>401</v>
      </c>
      <c r="C19" s="200"/>
      <c r="D19" s="118">
        <f>'CAPEX &amp; OPEX'!H73</f>
        <v>4017859.4465230773</v>
      </c>
      <c r="F19" s="261" t="s">
        <v>185</v>
      </c>
      <c r="G19" s="252">
        <f t="shared" ref="G19:G40" si="5">D146</f>
        <v>34768437.903311022</v>
      </c>
      <c r="H19" s="254">
        <f t="shared" si="2"/>
        <v>3.6915727536008462E-2</v>
      </c>
      <c r="I19" s="253">
        <f t="shared" si="3"/>
        <v>0.38669984830264892</v>
      </c>
      <c r="J19" s="232">
        <f t="shared" si="4"/>
        <v>0.44950926163741367</v>
      </c>
      <c r="K19" s="163"/>
      <c r="L19" s="7" t="s">
        <v>533</v>
      </c>
      <c r="M19" s="232">
        <f>J33</f>
        <v>8.8150689755006312E-2</v>
      </c>
    </row>
    <row r="20" spans="2:13" x14ac:dyDescent="0.25">
      <c r="B20" s="164" t="s">
        <v>339</v>
      </c>
      <c r="C20" s="201"/>
      <c r="D20" s="118">
        <f>IF(G4="Include Cultivation", 'CAPEX &amp; OPEX'!H74, SUM('Process Model Outputs'!C32:C34)*'Model Inputs'!C40)</f>
        <v>741141.84524307703</v>
      </c>
      <c r="F20" s="7" t="s">
        <v>186</v>
      </c>
      <c r="G20" s="252">
        <f t="shared" si="5"/>
        <v>16118520.345261011</v>
      </c>
      <c r="H20" s="254">
        <f t="shared" si="2"/>
        <v>1.7113995946668622E-2</v>
      </c>
      <c r="I20" s="253">
        <f t="shared" si="3"/>
        <v>0.17927263196895069</v>
      </c>
      <c r="J20" s="232">
        <f t="shared" si="4"/>
        <v>0.20839084572148467</v>
      </c>
      <c r="K20" s="193"/>
      <c r="L20" s="7" t="s">
        <v>534</v>
      </c>
      <c r="M20" s="232">
        <f>J34</f>
        <v>0.37258425532129752</v>
      </c>
    </row>
    <row r="21" spans="2:13" x14ac:dyDescent="0.25">
      <c r="B21" s="116" t="s">
        <v>346</v>
      </c>
      <c r="C21" s="200"/>
      <c r="D21" s="118">
        <f>IF(G4="Include Cultivation",'CAPEX &amp; OPEX'!H75,SUM('Process Model Outputs'!C39:C40)*3412/983*0.022*'Model Inputs'!C44)</f>
        <v>3132565.193361538</v>
      </c>
      <c r="F21" s="261" t="s">
        <v>187</v>
      </c>
      <c r="G21" s="252">
        <f t="shared" si="5"/>
        <v>175921464.86155123</v>
      </c>
      <c r="H21" s="254">
        <f t="shared" si="2"/>
        <v>0.18678632852659904</v>
      </c>
      <c r="I21" s="253">
        <f t="shared" si="3"/>
        <v>1.9566252577790733</v>
      </c>
      <c r="J21" s="232">
        <f t="shared" si="4"/>
        <v>2.2744285491341394</v>
      </c>
      <c r="K21" s="163"/>
      <c r="L21" s="7" t="s">
        <v>535</v>
      </c>
      <c r="M21" s="232">
        <f>J35+J36</f>
        <v>0.12225953759517107</v>
      </c>
    </row>
    <row r="22" spans="2:13" x14ac:dyDescent="0.25">
      <c r="B22" s="164" t="s">
        <v>188</v>
      </c>
      <c r="C22" s="201"/>
      <c r="D22" s="118">
        <f>'CAPEX &amp; OPEX'!H77</f>
        <v>1027917.7570099999</v>
      </c>
      <c r="F22" s="7" t="s">
        <v>188</v>
      </c>
      <c r="G22" s="252">
        <f t="shared" si="5"/>
        <v>40121702.427610449</v>
      </c>
      <c r="H22" s="254">
        <f t="shared" si="2"/>
        <v>4.2599608277409218E-2</v>
      </c>
      <c r="I22" s="253">
        <f t="shared" si="3"/>
        <v>0.44623966959768047</v>
      </c>
      <c r="J22" s="232">
        <f t="shared" si="4"/>
        <v>0.51871979074888808</v>
      </c>
      <c r="K22" s="163"/>
      <c r="L22" s="7" t="s">
        <v>537</v>
      </c>
      <c r="M22" s="232">
        <f>J37</f>
        <v>0.79338978703245222</v>
      </c>
    </row>
    <row r="23" spans="2:13" x14ac:dyDescent="0.25">
      <c r="B23" s="164" t="s">
        <v>199</v>
      </c>
      <c r="C23" s="201"/>
      <c r="D23" s="118">
        <f>'CAPEX &amp; OPEX'!H78</f>
        <v>0</v>
      </c>
      <c r="F23" s="261" t="s">
        <v>189</v>
      </c>
      <c r="G23" s="252">
        <f t="shared" si="5"/>
        <v>36109532.185401388</v>
      </c>
      <c r="H23" s="254">
        <f t="shared" si="2"/>
        <v>3.8339647450254366E-2</v>
      </c>
      <c r="I23" s="253">
        <f t="shared" si="3"/>
        <v>0.40161570264405161</v>
      </c>
      <c r="J23" s="232">
        <f t="shared" si="4"/>
        <v>0.46684781168113559</v>
      </c>
      <c r="K23" s="207"/>
      <c r="L23" s="7" t="s">
        <v>538</v>
      </c>
      <c r="M23" s="232">
        <f>J38+J39+J40</f>
        <v>0.36131746005399545</v>
      </c>
    </row>
    <row r="24" spans="2:13" x14ac:dyDescent="0.25">
      <c r="B24" s="164" t="s">
        <v>388</v>
      </c>
      <c r="C24" s="201"/>
      <c r="D24" s="118">
        <f>'CAPEX &amp; OPEX'!H79</f>
        <v>6670558.9303100007</v>
      </c>
      <c r="F24" s="7" t="s">
        <v>190</v>
      </c>
      <c r="G24" s="252">
        <f t="shared" si="5"/>
        <v>25020579.560224131</v>
      </c>
      <c r="H24" s="254">
        <f t="shared" si="2"/>
        <v>2.6565844010791647E-2</v>
      </c>
      <c r="I24" s="253">
        <f t="shared" si="3"/>
        <v>0.27828268693836339</v>
      </c>
      <c r="J24" s="232">
        <f t="shared" si="4"/>
        <v>0.32348252961877977</v>
      </c>
      <c r="K24" s="207"/>
      <c r="L24" s="6" t="s">
        <v>539</v>
      </c>
      <c r="M24" s="251">
        <f>J41</f>
        <v>1.3319736091329359</v>
      </c>
    </row>
    <row r="25" spans="2:13" x14ac:dyDescent="0.25">
      <c r="B25" s="164" t="s">
        <v>191</v>
      </c>
      <c r="C25" s="201"/>
      <c r="D25" s="118">
        <f>'CAPEX &amp; OPEX'!H80</f>
        <v>1819243.3446323078</v>
      </c>
      <c r="F25" s="261" t="s">
        <v>191</v>
      </c>
      <c r="G25" s="252">
        <f t="shared" si="5"/>
        <v>25923508.040014189</v>
      </c>
      <c r="H25" s="254">
        <f t="shared" si="2"/>
        <v>2.7524537117370872E-2</v>
      </c>
      <c r="I25" s="253">
        <f t="shared" si="3"/>
        <v>0.28832519466142981</v>
      </c>
      <c r="J25" s="232">
        <f t="shared" si="4"/>
        <v>0.3351561836204503</v>
      </c>
      <c r="K25" s="207"/>
      <c r="L25" s="262" t="s">
        <v>520</v>
      </c>
      <c r="M25" s="263">
        <f>SUM(M7:M24)</f>
        <v>10.475205938321354</v>
      </c>
    </row>
    <row r="26" spans="2:13" x14ac:dyDescent="0.25">
      <c r="B26" s="164" t="s">
        <v>389</v>
      </c>
      <c r="C26" s="201"/>
      <c r="D26" s="118">
        <f>'CAPEX &amp; OPEX'!H81</f>
        <v>242565.7792839231</v>
      </c>
      <c r="F26" s="261" t="s">
        <v>501</v>
      </c>
      <c r="G26" s="252">
        <f t="shared" si="5"/>
        <v>0</v>
      </c>
      <c r="H26" s="254">
        <f t="shared" si="2"/>
        <v>0</v>
      </c>
      <c r="I26" s="253">
        <f t="shared" si="3"/>
        <v>0</v>
      </c>
      <c r="J26" s="232">
        <f t="shared" si="4"/>
        <v>0</v>
      </c>
      <c r="K26" s="207"/>
      <c r="L26" s="207"/>
      <c r="M26" s="207"/>
    </row>
    <row r="27" spans="2:13" x14ac:dyDescent="0.25">
      <c r="B27" s="165" t="s">
        <v>390</v>
      </c>
      <c r="C27" s="166"/>
      <c r="D27" s="167">
        <f>'CAPEX &amp; OPEX'!H82</f>
        <v>976028.58112284623</v>
      </c>
      <c r="F27" s="7" t="s">
        <v>396</v>
      </c>
      <c r="G27" s="252">
        <f t="shared" si="5"/>
        <v>2403239.6258373791</v>
      </c>
      <c r="H27" s="254">
        <f t="shared" si="2"/>
        <v>2.5516630766636481E-3</v>
      </c>
      <c r="I27" s="253">
        <f t="shared" si="3"/>
        <v>2.6729196213262377E-2</v>
      </c>
      <c r="J27" s="232">
        <f t="shared" si="4"/>
        <v>3.1070664513376336E-2</v>
      </c>
      <c r="K27" s="207"/>
      <c r="L27" s="207"/>
      <c r="M27" s="207"/>
    </row>
    <row r="28" spans="2:13" x14ac:dyDescent="0.25">
      <c r="B28" s="116" t="s">
        <v>113</v>
      </c>
      <c r="C28" s="202"/>
      <c r="D28" s="120">
        <f>0.05*D3</f>
        <v>26191875.518858079</v>
      </c>
      <c r="E28" s="115"/>
      <c r="F28" s="261" t="s">
        <v>397</v>
      </c>
      <c r="G28" s="252">
        <f t="shared" si="5"/>
        <v>512037.03894494835</v>
      </c>
      <c r="H28" s="254">
        <f t="shared" si="2"/>
        <v>5.436603125686068E-4</v>
      </c>
      <c r="I28" s="253">
        <f t="shared" si="3"/>
        <v>5.6949537346483127E-3</v>
      </c>
      <c r="J28" s="232">
        <f t="shared" si="4"/>
        <v>6.6199520365921452E-3</v>
      </c>
      <c r="K28" s="163"/>
      <c r="L28" s="163"/>
      <c r="M28" s="163"/>
    </row>
    <row r="29" spans="2:13" x14ac:dyDescent="0.25">
      <c r="B29" s="361"/>
      <c r="C29" s="387"/>
      <c r="D29" s="363"/>
      <c r="F29" s="7" t="s">
        <v>398</v>
      </c>
      <c r="G29" s="252">
        <f t="shared" si="5"/>
        <v>682716.05192683369</v>
      </c>
      <c r="H29" s="254">
        <f t="shared" si="2"/>
        <v>7.2488041675839289E-4</v>
      </c>
      <c r="I29" s="253">
        <f t="shared" si="3"/>
        <v>7.593271646200374E-3</v>
      </c>
      <c r="J29" s="232">
        <f t="shared" si="4"/>
        <v>8.826602715459245E-3</v>
      </c>
      <c r="K29" s="163"/>
      <c r="L29" s="163"/>
      <c r="M29" s="163"/>
    </row>
    <row r="30" spans="2:13" x14ac:dyDescent="0.25">
      <c r="B30" s="373" t="s">
        <v>404</v>
      </c>
      <c r="C30" s="395"/>
      <c r="D30" s="375"/>
      <c r="F30" s="7" t="s">
        <v>399</v>
      </c>
      <c r="G30" s="252">
        <f t="shared" si="5"/>
        <v>1033602.4694938016</v>
      </c>
      <c r="H30" s="254">
        <f t="shared" si="2"/>
        <v>1.0974374877148287E-3</v>
      </c>
      <c r="I30" s="253">
        <f t="shared" si="3"/>
        <v>1.149588368824684E-2</v>
      </c>
      <c r="J30" s="232">
        <f t="shared" si="4"/>
        <v>1.3363093394671051E-2</v>
      </c>
    </row>
    <row r="31" spans="2:13" x14ac:dyDescent="0.25">
      <c r="B31" s="121" t="s">
        <v>405</v>
      </c>
      <c r="C31" s="203"/>
      <c r="D31" s="123">
        <v>0.4</v>
      </c>
      <c r="F31" s="261" t="s">
        <v>400</v>
      </c>
      <c r="G31" s="252">
        <f t="shared" si="5"/>
        <v>0</v>
      </c>
      <c r="H31" s="254">
        <f t="shared" si="2"/>
        <v>0</v>
      </c>
      <c r="I31" s="253">
        <f t="shared" si="3"/>
        <v>0</v>
      </c>
      <c r="J31" s="232">
        <f t="shared" si="4"/>
        <v>0</v>
      </c>
    </row>
    <row r="32" spans="2:13" x14ac:dyDescent="0.25">
      <c r="B32" s="121" t="s">
        <v>406</v>
      </c>
      <c r="C32" s="203"/>
      <c r="D32" s="123">
        <v>0.08</v>
      </c>
      <c r="F32" s="7" t="s">
        <v>401</v>
      </c>
      <c r="G32" s="252">
        <f t="shared" si="5"/>
        <v>36962867.46854426</v>
      </c>
      <c r="H32" s="254">
        <f t="shared" si="2"/>
        <v>3.9245684497330478E-2</v>
      </c>
      <c r="I32" s="253">
        <f t="shared" si="3"/>
        <v>0.41110662729992248</v>
      </c>
      <c r="J32" s="232">
        <f t="shared" si="4"/>
        <v>0.47788029217742439</v>
      </c>
      <c r="M32" s="124"/>
    </row>
    <row r="33" spans="2:10" x14ac:dyDescent="0.25">
      <c r="B33" s="121" t="s">
        <v>407</v>
      </c>
      <c r="C33" s="203"/>
      <c r="D33" s="125">
        <v>10</v>
      </c>
      <c r="F33" s="261" t="s">
        <v>339</v>
      </c>
      <c r="G33" s="252">
        <f t="shared" si="5"/>
        <v>6818239.4545480404</v>
      </c>
      <c r="H33" s="254">
        <f t="shared" si="2"/>
        <v>7.2393321402394331E-3</v>
      </c>
      <c r="I33" s="253">
        <f t="shared" si="3"/>
        <v>7.5833495024916736E-2</v>
      </c>
      <c r="J33" s="232">
        <f t="shared" si="4"/>
        <v>8.8150689755006312E-2</v>
      </c>
    </row>
    <row r="34" spans="2:10" x14ac:dyDescent="0.25">
      <c r="B34" s="121" t="s">
        <v>408</v>
      </c>
      <c r="C34" s="203"/>
      <c r="D34" s="126">
        <f>-PMT(D32,D33,D3*(1-D31))</f>
        <v>46840341.799114391</v>
      </c>
      <c r="F34" s="7" t="s">
        <v>346</v>
      </c>
      <c r="G34" s="252">
        <f t="shared" si="5"/>
        <v>28818477.505229022</v>
      </c>
      <c r="H34" s="254">
        <f t="shared" si="2"/>
        <v>3.059829913970083E-2</v>
      </c>
      <c r="I34" s="253">
        <f t="shared" si="3"/>
        <v>0.32052348485072724</v>
      </c>
      <c r="J34" s="232">
        <f t="shared" si="4"/>
        <v>0.37258425532129752</v>
      </c>
    </row>
    <row r="35" spans="2:10" x14ac:dyDescent="0.25">
      <c r="B35" s="361"/>
      <c r="C35" s="387"/>
      <c r="D35" s="363"/>
      <c r="F35" s="261" t="s">
        <v>188</v>
      </c>
      <c r="G35" s="252">
        <f t="shared" si="5"/>
        <v>9456475.1023840159</v>
      </c>
      <c r="H35" s="254">
        <f t="shared" si="2"/>
        <v>1.0040504531767063E-2</v>
      </c>
      <c r="I35" s="253">
        <f t="shared" si="3"/>
        <v>0.10517635269490878</v>
      </c>
      <c r="J35" s="232">
        <f t="shared" si="4"/>
        <v>0.12225953759517107</v>
      </c>
    </row>
    <row r="36" spans="2:10" x14ac:dyDescent="0.25">
      <c r="B36" s="364" t="s">
        <v>409</v>
      </c>
      <c r="C36" s="396"/>
      <c r="D36" s="366"/>
      <c r="F36" s="261" t="s">
        <v>199</v>
      </c>
      <c r="G36" s="252">
        <f t="shared" si="5"/>
        <v>0</v>
      </c>
      <c r="H36" s="254">
        <f t="shared" si="2"/>
        <v>0</v>
      </c>
      <c r="I36" s="253">
        <f t="shared" si="3"/>
        <v>0</v>
      </c>
      <c r="J36" s="232">
        <f t="shared" si="4"/>
        <v>0</v>
      </c>
    </row>
    <row r="37" spans="2:10" x14ac:dyDescent="0.25">
      <c r="B37" s="127" t="s">
        <v>410</v>
      </c>
      <c r="C37" s="204" t="s">
        <v>411</v>
      </c>
      <c r="D37" s="129">
        <v>7</v>
      </c>
      <c r="F37" s="261" t="s">
        <v>388</v>
      </c>
      <c r="G37" s="252">
        <f t="shared" si="5"/>
        <v>61366752.362512432</v>
      </c>
      <c r="H37" s="254">
        <f t="shared" si="2"/>
        <v>6.5156746940548543E-2</v>
      </c>
      <c r="I37" s="253">
        <f t="shared" si="3"/>
        <v>0.68253034247333566</v>
      </c>
      <c r="J37" s="232">
        <f t="shared" si="4"/>
        <v>0.79338978703245222</v>
      </c>
    </row>
    <row r="38" spans="2:10" x14ac:dyDescent="0.25">
      <c r="B38" s="361"/>
      <c r="C38" s="387"/>
      <c r="D38" s="363"/>
      <c r="F38" s="261" t="s">
        <v>191</v>
      </c>
      <c r="G38" s="252">
        <f t="shared" si="5"/>
        <v>16736387.007979162</v>
      </c>
      <c r="H38" s="254">
        <f t="shared" si="2"/>
        <v>1.7770021892899411E-2</v>
      </c>
      <c r="I38" s="253">
        <f t="shared" si="3"/>
        <v>0.18614463885660035</v>
      </c>
      <c r="J38" s="232">
        <f t="shared" si="4"/>
        <v>0.21637903282730683</v>
      </c>
    </row>
    <row r="39" spans="2:10" x14ac:dyDescent="0.25">
      <c r="B39" s="384" t="s">
        <v>412</v>
      </c>
      <c r="C39" s="385"/>
      <c r="D39" s="386"/>
      <c r="F39" s="261" t="s">
        <v>389</v>
      </c>
      <c r="G39" s="252">
        <f t="shared" si="5"/>
        <v>2231518.2677270179</v>
      </c>
      <c r="H39" s="254">
        <f t="shared" si="2"/>
        <v>2.3693362523828326E-3</v>
      </c>
      <c r="I39" s="253">
        <f t="shared" si="3"/>
        <v>2.4819285180840707E-2</v>
      </c>
      <c r="J39" s="232">
        <f t="shared" si="4"/>
        <v>2.8850537710261848E-2</v>
      </c>
    </row>
    <row r="40" spans="2:10" x14ac:dyDescent="0.25">
      <c r="B40" s="130" t="s">
        <v>413</v>
      </c>
      <c r="C40" s="205"/>
      <c r="D40" s="131">
        <v>3</v>
      </c>
      <c r="F40" s="261" t="s">
        <v>390</v>
      </c>
      <c r="G40" s="252">
        <f t="shared" si="5"/>
        <v>8979113.2740531135</v>
      </c>
      <c r="H40" s="254">
        <f t="shared" si="2"/>
        <v>9.5336609617521946E-3</v>
      </c>
      <c r="I40" s="253">
        <f t="shared" si="3"/>
        <v>9.9867061920489039E-2</v>
      </c>
      <c r="J40" s="232">
        <f t="shared" si="4"/>
        <v>0.11608788951642678</v>
      </c>
    </row>
    <row r="41" spans="2:10" x14ac:dyDescent="0.25">
      <c r="B41" s="130"/>
      <c r="C41" s="205" t="s">
        <v>414</v>
      </c>
      <c r="D41" s="132">
        <v>0.08</v>
      </c>
      <c r="F41" s="6" t="s">
        <v>506</v>
      </c>
      <c r="G41" s="227">
        <f>D135</f>
        <v>103024888.8516628</v>
      </c>
      <c r="H41" s="250">
        <f t="shared" si="2"/>
        <v>0.10938767904534918</v>
      </c>
      <c r="I41" s="226">
        <f t="shared" si="3"/>
        <v>1.1458584651150319</v>
      </c>
      <c r="J41" s="251">
        <f t="shared" si="4"/>
        <v>1.3319736091329359</v>
      </c>
    </row>
    <row r="42" spans="2:10" x14ac:dyDescent="0.25">
      <c r="B42" s="130"/>
      <c r="C42" s="205" t="s">
        <v>415</v>
      </c>
      <c r="D42" s="132">
        <v>0.6</v>
      </c>
      <c r="F42" s="7" t="s">
        <v>516</v>
      </c>
      <c r="G42" s="242">
        <f>SUM(G16:G41)</f>
        <v>941832661.14414454</v>
      </c>
    </row>
    <row r="43" spans="2:10" x14ac:dyDescent="0.25">
      <c r="B43" s="130"/>
      <c r="C43" s="205" t="s">
        <v>416</v>
      </c>
      <c r="D43" s="132">
        <v>0.32</v>
      </c>
      <c r="F43" s="7" t="s">
        <v>518</v>
      </c>
      <c r="G43" s="232">
        <f>SUM(I7:I41)</f>
        <v>10.475205938321354</v>
      </c>
    </row>
    <row r="44" spans="2:10" x14ac:dyDescent="0.25">
      <c r="B44" s="361"/>
      <c r="C44" s="387"/>
      <c r="D44" s="363"/>
      <c r="F44" s="234" t="s">
        <v>519</v>
      </c>
      <c r="G44" s="235">
        <f>G43/(1-(SUM(G8:G11)/(SUM(G8:G11)+G7)))</f>
        <v>12.176632878194042</v>
      </c>
    </row>
    <row r="45" spans="2:10" x14ac:dyDescent="0.25">
      <c r="B45" s="376" t="s">
        <v>480</v>
      </c>
      <c r="C45" s="388"/>
      <c r="D45" s="378"/>
      <c r="F45" s="236" t="s">
        <v>520</v>
      </c>
      <c r="G45" s="237">
        <f>SUM(J7:J41)</f>
        <v>10.475205938321352</v>
      </c>
      <c r="H45" s="207"/>
      <c r="I45" s="207"/>
      <c r="J45" s="207"/>
    </row>
    <row r="46" spans="2:10" x14ac:dyDescent="0.25">
      <c r="B46" s="133" t="s">
        <v>418</v>
      </c>
      <c r="C46" s="196" t="s">
        <v>411</v>
      </c>
      <c r="D46" s="135">
        <v>0.5</v>
      </c>
    </row>
    <row r="47" spans="2:10" x14ac:dyDescent="0.25">
      <c r="B47" s="133" t="s">
        <v>419</v>
      </c>
      <c r="C47" s="196" t="s">
        <v>420</v>
      </c>
      <c r="D47" s="136">
        <v>0.5</v>
      </c>
    </row>
    <row r="48" spans="2:10" x14ac:dyDescent="0.25">
      <c r="B48" s="194" t="s">
        <v>421</v>
      </c>
      <c r="C48" s="195" t="s">
        <v>489</v>
      </c>
      <c r="D48" s="210">
        <f>IF(G3="Maximum Jet", 'Process Model Outputs'!C45,'Process Model Outputs'!C44)</f>
        <v>11147782.637438459</v>
      </c>
    </row>
    <row r="49" spans="2:4" x14ac:dyDescent="0.25">
      <c r="B49" s="392" t="s">
        <v>479</v>
      </c>
      <c r="C49" s="393"/>
      <c r="D49" s="394"/>
    </row>
    <row r="50" spans="2:4" x14ac:dyDescent="0.25">
      <c r="B50" s="133" t="str">
        <f>'CAPEX &amp; OPEX'!A106</f>
        <v>NH3-eq</v>
      </c>
      <c r="C50" s="196"/>
      <c r="D50" s="209">
        <f>IF(G4="Include Cultivation", 'CAPEX &amp; OPEX'!B106, 0)</f>
        <v>1056306.8869726795</v>
      </c>
    </row>
    <row r="51" spans="2:4" x14ac:dyDescent="0.25">
      <c r="B51" s="133" t="str">
        <f>'CAPEX &amp; OPEX'!A107</f>
        <v>DAP-eq</v>
      </c>
      <c r="C51" s="196"/>
      <c r="D51" s="209">
        <f>IF(G4="Include Cultivation", 'CAPEX &amp; OPEX'!B107,0)</f>
        <v>245710.46940657715</v>
      </c>
    </row>
    <row r="52" spans="2:4" x14ac:dyDescent="0.25">
      <c r="B52" s="133" t="str">
        <f>'CAPEX &amp; OPEX'!A108</f>
        <v>Excess Energy</v>
      </c>
      <c r="C52" s="196"/>
      <c r="D52" s="209">
        <f>IF(G4="Include Cultivation", 'CAPEX &amp; OPEX'!B108,0)</f>
        <v>0</v>
      </c>
    </row>
    <row r="53" spans="2:4" x14ac:dyDescent="0.25">
      <c r="B53" s="133" t="str">
        <f>'CAPEX &amp; OPEX'!A109</f>
        <v>Propane</v>
      </c>
      <c r="C53" s="196"/>
      <c r="D53" s="209">
        <f>'CAPEX &amp; OPEX'!B109</f>
        <v>5149745.9655154906</v>
      </c>
    </row>
    <row r="54" spans="2:4" x14ac:dyDescent="0.25">
      <c r="B54" s="133" t="str">
        <f>'CAPEX &amp; OPEX'!A110</f>
        <v>LNG</v>
      </c>
      <c r="C54" s="196"/>
      <c r="D54" s="209">
        <f>'CAPEX &amp; OPEX'!B110</f>
        <v>5108418.6576925451</v>
      </c>
    </row>
    <row r="55" spans="2:4" x14ac:dyDescent="0.25">
      <c r="B55" s="133" t="str">
        <f>'CAPEX &amp; OPEX'!A111</f>
        <v>Naphtha</v>
      </c>
      <c r="C55" s="196"/>
      <c r="D55" s="209">
        <f>'CAPEX &amp; OPEX'!B111</f>
        <v>6482265.1476042634</v>
      </c>
    </row>
    <row r="56" spans="2:4" x14ac:dyDescent="0.25">
      <c r="B56" s="133" t="str">
        <f>'CAPEX &amp; OPEX'!A112</f>
        <v>Diesel</v>
      </c>
      <c r="C56" s="196"/>
      <c r="D56" s="209">
        <f>'CAPEX &amp; OPEX'!B112</f>
        <v>24517923.505229086</v>
      </c>
    </row>
    <row r="57" spans="2:4" x14ac:dyDescent="0.25">
      <c r="B57" s="133" t="str">
        <f>'CAPEX &amp; OPEX'!A113</f>
        <v>CO2 (to ponds)</v>
      </c>
      <c r="C57" s="196"/>
      <c r="D57" s="209">
        <f>IF(G4="Include Cultivation", 'CAPEX &amp; OPEX'!B113,0)</f>
        <v>0</v>
      </c>
    </row>
    <row r="58" spans="2:4" x14ac:dyDescent="0.25">
      <c r="B58" s="361"/>
      <c r="C58" s="387"/>
      <c r="D58" s="363"/>
    </row>
    <row r="59" spans="2:4" x14ac:dyDescent="0.25">
      <c r="B59" s="389" t="s">
        <v>422</v>
      </c>
      <c r="C59" s="390"/>
      <c r="D59" s="391"/>
    </row>
    <row r="60" spans="2:4" x14ac:dyDescent="0.25">
      <c r="B60" s="138" t="s">
        <v>51</v>
      </c>
      <c r="C60" s="206"/>
      <c r="D60" s="139">
        <v>0.1</v>
      </c>
    </row>
    <row r="61" spans="2:4" ht="15.75" thickBot="1" x14ac:dyDescent="0.3">
      <c r="B61" s="140" t="s">
        <v>423</v>
      </c>
      <c r="C61" s="141"/>
      <c r="D61" s="142">
        <v>0.35</v>
      </c>
    </row>
    <row r="62" spans="2:4" ht="15.75" thickBot="1" x14ac:dyDescent="0.3">
      <c r="B62" s="144"/>
      <c r="C62" s="207"/>
      <c r="D62" s="208"/>
    </row>
    <row r="63" spans="2:4" ht="21.75" thickBot="1" x14ac:dyDescent="0.4">
      <c r="B63" s="358" t="s">
        <v>424</v>
      </c>
      <c r="C63" s="359"/>
      <c r="D63" s="360"/>
    </row>
    <row r="64" spans="2:4" x14ac:dyDescent="0.25">
      <c r="B64" s="370"/>
      <c r="C64" s="371"/>
      <c r="D64" s="372"/>
    </row>
    <row r="65" spans="2:37" x14ac:dyDescent="0.25">
      <c r="B65" s="144" t="str">
        <f>IF(G3="Maximum Jet", "Minimum Jet Fuel Selling Price", "Minimum Diesel Selling Price")</f>
        <v>Minimum Jet Fuel Selling Price</v>
      </c>
      <c r="C65" t="s">
        <v>490</v>
      </c>
      <c r="D65" s="145">
        <v>10.475205938321352</v>
      </c>
    </row>
    <row r="66" spans="2:37" x14ac:dyDescent="0.25">
      <c r="B66" s="144"/>
      <c r="D66" s="81"/>
    </row>
    <row r="67" spans="2:37" ht="15.75" thickBot="1" x14ac:dyDescent="0.3">
      <c r="B67" s="146" t="s">
        <v>425</v>
      </c>
      <c r="C67" s="147"/>
      <c r="D67" s="148">
        <f>+D131-SUM(E132:G132)</f>
        <v>163607078.70998138</v>
      </c>
    </row>
    <row r="68" spans="2:37" ht="15.75" thickBot="1" x14ac:dyDescent="0.3"/>
    <row r="69" spans="2:37" ht="21.75" thickBot="1" x14ac:dyDescent="0.4">
      <c r="B69" s="358" t="s">
        <v>426</v>
      </c>
      <c r="C69" s="359"/>
      <c r="D69" s="360"/>
    </row>
    <row r="70" spans="2:37" x14ac:dyDescent="0.25">
      <c r="B70" s="149"/>
      <c r="C70" s="150"/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150"/>
      <c r="AC70" s="150"/>
      <c r="AD70" s="150"/>
      <c r="AE70" s="150"/>
      <c r="AF70" s="150"/>
      <c r="AG70" s="150"/>
      <c r="AH70" s="150"/>
      <c r="AI70" s="150"/>
      <c r="AJ70" s="150"/>
      <c r="AK70" s="151"/>
    </row>
    <row r="71" spans="2:37" x14ac:dyDescent="0.25">
      <c r="B71" s="222" t="s">
        <v>427</v>
      </c>
      <c r="C71" s="2"/>
      <c r="D71" s="2"/>
      <c r="E71" s="2">
        <v>-2</v>
      </c>
      <c r="F71" s="2">
        <v>-1</v>
      </c>
      <c r="G71" s="2">
        <v>0</v>
      </c>
      <c r="H71" s="2">
        <v>1</v>
      </c>
      <c r="I71" s="2">
        <v>2</v>
      </c>
      <c r="J71" s="2">
        <v>3</v>
      </c>
      <c r="K71" s="2">
        <v>4</v>
      </c>
      <c r="L71" s="2">
        <v>5</v>
      </c>
      <c r="M71" s="2">
        <v>6</v>
      </c>
      <c r="N71" s="2">
        <v>7</v>
      </c>
      <c r="O71" s="2">
        <v>8</v>
      </c>
      <c r="P71" s="2">
        <v>9</v>
      </c>
      <c r="Q71" s="2">
        <v>10</v>
      </c>
      <c r="R71" s="2">
        <v>11</v>
      </c>
      <c r="S71" s="2">
        <v>12</v>
      </c>
      <c r="T71" s="2">
        <v>13</v>
      </c>
      <c r="U71" s="2">
        <v>14</v>
      </c>
      <c r="V71" s="2">
        <v>15</v>
      </c>
      <c r="W71" s="2">
        <v>16</v>
      </c>
      <c r="X71" s="2">
        <v>17</v>
      </c>
      <c r="Y71" s="2">
        <v>18</v>
      </c>
      <c r="Z71" s="2">
        <v>19</v>
      </c>
      <c r="AA71" s="2">
        <v>20</v>
      </c>
      <c r="AB71" s="2">
        <v>21</v>
      </c>
      <c r="AC71" s="2">
        <v>22</v>
      </c>
      <c r="AD71" s="2">
        <v>23</v>
      </c>
      <c r="AE71" s="2">
        <v>24</v>
      </c>
      <c r="AF71" s="2">
        <v>25</v>
      </c>
      <c r="AG71" s="2">
        <v>26</v>
      </c>
      <c r="AH71" s="2">
        <v>27</v>
      </c>
      <c r="AI71" s="2">
        <v>28</v>
      </c>
      <c r="AJ71" s="2">
        <v>29</v>
      </c>
      <c r="AK71" s="223">
        <v>30</v>
      </c>
    </row>
    <row r="72" spans="2:37" x14ac:dyDescent="0.25">
      <c r="B72" s="144" t="s">
        <v>428</v>
      </c>
      <c r="C72" s="207"/>
      <c r="D72" s="211"/>
      <c r="E72" s="211">
        <f>+D3*D41*$D$31</f>
        <v>16762800.332069172</v>
      </c>
      <c r="F72" s="211">
        <f>+D3*D42*$D$31</f>
        <v>125721002.49051876</v>
      </c>
      <c r="G72" s="211">
        <f>+D3*D43*$D$31</f>
        <v>67051201.328276686</v>
      </c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81"/>
    </row>
    <row r="73" spans="2:37" x14ac:dyDescent="0.25">
      <c r="B73" s="144" t="s">
        <v>124</v>
      </c>
      <c r="C73" s="207"/>
      <c r="D73" s="211"/>
      <c r="E73" s="211">
        <f>+D4</f>
        <v>24042700.920000009</v>
      </c>
      <c r="F73" s="211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81"/>
    </row>
    <row r="74" spans="2:37" x14ac:dyDescent="0.25">
      <c r="B74" s="144" t="s">
        <v>113</v>
      </c>
      <c r="C74" s="207"/>
      <c r="D74" s="211"/>
      <c r="E74" s="211"/>
      <c r="F74" s="211"/>
      <c r="G74" s="211">
        <f>D28</f>
        <v>26191875.518858079</v>
      </c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81"/>
    </row>
    <row r="75" spans="2:37" x14ac:dyDescent="0.25">
      <c r="B75" s="144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81"/>
    </row>
    <row r="76" spans="2:37" x14ac:dyDescent="0.25">
      <c r="B76" s="144"/>
      <c r="C76" s="207"/>
      <c r="D76" s="207"/>
      <c r="E76" s="207"/>
      <c r="F76" s="207"/>
      <c r="G76" s="207"/>
      <c r="H76" s="213">
        <f>+D34</f>
        <v>46840341.799114391</v>
      </c>
      <c r="I76" s="211">
        <f t="shared" ref="I76:AK76" si="6">IF($D$33&gt;H71,$D$34,0)</f>
        <v>46840341.799114391</v>
      </c>
      <c r="J76" s="211">
        <f t="shared" si="6"/>
        <v>46840341.799114391</v>
      </c>
      <c r="K76" s="211">
        <f t="shared" si="6"/>
        <v>46840341.799114391</v>
      </c>
      <c r="L76" s="211">
        <f t="shared" si="6"/>
        <v>46840341.799114391</v>
      </c>
      <c r="M76" s="211">
        <f t="shared" si="6"/>
        <v>46840341.799114391</v>
      </c>
      <c r="N76" s="211">
        <f t="shared" si="6"/>
        <v>46840341.799114391</v>
      </c>
      <c r="O76" s="211">
        <f t="shared" si="6"/>
        <v>46840341.799114391</v>
      </c>
      <c r="P76" s="211">
        <f t="shared" si="6"/>
        <v>46840341.799114391</v>
      </c>
      <c r="Q76" s="211">
        <f t="shared" si="6"/>
        <v>46840341.799114391</v>
      </c>
      <c r="R76" s="211">
        <f t="shared" si="6"/>
        <v>0</v>
      </c>
      <c r="S76" s="211">
        <f t="shared" si="6"/>
        <v>0</v>
      </c>
      <c r="T76" s="211">
        <f t="shared" si="6"/>
        <v>0</v>
      </c>
      <c r="U76" s="211">
        <f t="shared" si="6"/>
        <v>0</v>
      </c>
      <c r="V76" s="211">
        <f t="shared" si="6"/>
        <v>0</v>
      </c>
      <c r="W76" s="211">
        <f t="shared" si="6"/>
        <v>0</v>
      </c>
      <c r="X76" s="211">
        <f t="shared" si="6"/>
        <v>0</v>
      </c>
      <c r="Y76" s="211">
        <f t="shared" si="6"/>
        <v>0</v>
      </c>
      <c r="Z76" s="211">
        <f t="shared" si="6"/>
        <v>0</v>
      </c>
      <c r="AA76" s="211">
        <f t="shared" si="6"/>
        <v>0</v>
      </c>
      <c r="AB76" s="211">
        <f t="shared" si="6"/>
        <v>0</v>
      </c>
      <c r="AC76" s="211">
        <f t="shared" si="6"/>
        <v>0</v>
      </c>
      <c r="AD76" s="211">
        <f t="shared" si="6"/>
        <v>0</v>
      </c>
      <c r="AE76" s="211">
        <f t="shared" si="6"/>
        <v>0</v>
      </c>
      <c r="AF76" s="211">
        <f t="shared" si="6"/>
        <v>0</v>
      </c>
      <c r="AG76" s="211">
        <f t="shared" si="6"/>
        <v>0</v>
      </c>
      <c r="AH76" s="211">
        <f t="shared" si="6"/>
        <v>0</v>
      </c>
      <c r="AI76" s="211">
        <f t="shared" si="6"/>
        <v>0</v>
      </c>
      <c r="AJ76" s="211">
        <f t="shared" si="6"/>
        <v>0</v>
      </c>
      <c r="AK76" s="152">
        <f t="shared" si="6"/>
        <v>0</v>
      </c>
    </row>
    <row r="77" spans="2:37" x14ac:dyDescent="0.25">
      <c r="B77" s="144" t="s">
        <v>429</v>
      </c>
      <c r="C77" s="207" t="s">
        <v>430</v>
      </c>
      <c r="D77" s="212"/>
      <c r="E77" s="211">
        <f>+E78*$D$32</f>
        <v>2011536.0398483002</v>
      </c>
      <c r="F77" s="211">
        <f>+F78*$D$32</f>
        <v>17098056.33871055</v>
      </c>
      <c r="G77" s="211">
        <f>+G78*$D$32</f>
        <v>25144200.498103753</v>
      </c>
      <c r="H77" s="211">
        <f>D3*(1-D31)*D32</f>
        <v>25144200.498103753</v>
      </c>
      <c r="I77" s="211">
        <f t="shared" ref="I77:AK77" si="7">+H78*$D$32</f>
        <v>23408509.194022898</v>
      </c>
      <c r="J77" s="211">
        <f t="shared" si="7"/>
        <v>21533962.585615579</v>
      </c>
      <c r="K77" s="211">
        <f t="shared" si="7"/>
        <v>19509452.24853567</v>
      </c>
      <c r="L77" s="211">
        <f t="shared" si="7"/>
        <v>17322981.084489372</v>
      </c>
      <c r="M77" s="211">
        <f t="shared" si="7"/>
        <v>14961592.227319373</v>
      </c>
      <c r="N77" s="211">
        <f t="shared" si="7"/>
        <v>12411292.261575771</v>
      </c>
      <c r="O77" s="211">
        <f t="shared" si="7"/>
        <v>9656968.2985726818</v>
      </c>
      <c r="P77" s="211">
        <f t="shared" si="7"/>
        <v>6682298.4185293438</v>
      </c>
      <c r="Q77" s="211">
        <f t="shared" si="7"/>
        <v>3469654.9480825402</v>
      </c>
      <c r="R77" s="211">
        <f t="shared" si="7"/>
        <v>-8.0466270446777349E-9</v>
      </c>
      <c r="S77" s="211">
        <f t="shared" si="7"/>
        <v>-8.6903572082519539E-9</v>
      </c>
      <c r="T77" s="211">
        <f t="shared" si="7"/>
        <v>-9.3855857849121089E-9</v>
      </c>
      <c r="U77" s="211">
        <f t="shared" si="7"/>
        <v>-1.0136432647705077E-8</v>
      </c>
      <c r="V77" s="211">
        <f t="shared" si="7"/>
        <v>-1.0947347259521484E-8</v>
      </c>
      <c r="W77" s="211">
        <f t="shared" si="7"/>
        <v>-1.1823135040283204E-8</v>
      </c>
      <c r="X77" s="211">
        <f t="shared" si="7"/>
        <v>-1.2768985843505859E-8</v>
      </c>
      <c r="Y77" s="211">
        <f t="shared" si="7"/>
        <v>-1.3790504710986327E-8</v>
      </c>
      <c r="Z77" s="211">
        <f t="shared" si="7"/>
        <v>-1.4893745087865233E-8</v>
      </c>
      <c r="AA77" s="211">
        <f t="shared" si="7"/>
        <v>-1.6085244694894451E-8</v>
      </c>
      <c r="AB77" s="211">
        <f t="shared" si="7"/>
        <v>-1.7372064270486008E-8</v>
      </c>
      <c r="AC77" s="211">
        <f t="shared" si="7"/>
        <v>-1.8761829412124891E-8</v>
      </c>
      <c r="AD77" s="211">
        <f t="shared" si="7"/>
        <v>-2.0262775765094883E-8</v>
      </c>
      <c r="AE77" s="211">
        <f t="shared" si="7"/>
        <v>-2.1883797826302475E-8</v>
      </c>
      <c r="AF77" s="211">
        <f t="shared" si="7"/>
        <v>-2.3634501652406672E-8</v>
      </c>
      <c r="AG77" s="211">
        <f t="shared" si="7"/>
        <v>-2.5525261784599207E-8</v>
      </c>
      <c r="AH77" s="211">
        <f t="shared" si="7"/>
        <v>-2.7567282727367145E-8</v>
      </c>
      <c r="AI77" s="211">
        <f t="shared" si="7"/>
        <v>-2.9772665345556518E-8</v>
      </c>
      <c r="AJ77" s="211">
        <f t="shared" si="7"/>
        <v>-3.2154478573201037E-8</v>
      </c>
      <c r="AK77" s="152">
        <f t="shared" si="7"/>
        <v>-3.472683685905712E-8</v>
      </c>
    </row>
    <row r="78" spans="2:37" x14ac:dyDescent="0.25">
      <c r="B78" s="144"/>
      <c r="C78" s="207" t="s">
        <v>431</v>
      </c>
      <c r="D78" s="212"/>
      <c r="E78" s="211">
        <f>D3*(1-$D$31)*$D$41</f>
        <v>25144200.498103753</v>
      </c>
      <c r="F78" s="212">
        <f>D3*(1-$D$31)*$D$42+E78</f>
        <v>213725704.23388189</v>
      </c>
      <c r="G78" s="211">
        <f>D3*(1-$D$31)*$D$43+F78</f>
        <v>314302506.2262969</v>
      </c>
      <c r="H78" s="211">
        <f>D3*(1-D31)-H76+H77</f>
        <v>292606364.92528623</v>
      </c>
      <c r="I78" s="211">
        <f t="shared" ref="I78:AK78" si="8">+H78-I76+I77</f>
        <v>269174532.32019472</v>
      </c>
      <c r="J78" s="211">
        <f t="shared" si="8"/>
        <v>243868153.10669589</v>
      </c>
      <c r="K78" s="211">
        <f t="shared" si="8"/>
        <v>216537263.55611715</v>
      </c>
      <c r="L78" s="211">
        <f t="shared" si="8"/>
        <v>187019902.84149215</v>
      </c>
      <c r="M78" s="211">
        <f t="shared" si="8"/>
        <v>155141153.26969713</v>
      </c>
      <c r="N78" s="211">
        <f t="shared" si="8"/>
        <v>120712103.73215851</v>
      </c>
      <c r="O78" s="211">
        <f t="shared" si="8"/>
        <v>83528730.231616795</v>
      </c>
      <c r="P78" s="211">
        <f t="shared" si="8"/>
        <v>43370686.85103175</v>
      </c>
      <c r="Q78" s="211">
        <f t="shared" si="8"/>
        <v>-1.0058283805847168E-7</v>
      </c>
      <c r="R78" s="211">
        <f t="shared" si="8"/>
        <v>-1.0862946510314941E-7</v>
      </c>
      <c r="S78" s="211">
        <f t="shared" si="8"/>
        <v>-1.1731982231140136E-7</v>
      </c>
      <c r="T78" s="211">
        <f t="shared" si="8"/>
        <v>-1.2670540809631346E-7</v>
      </c>
      <c r="U78" s="211">
        <f t="shared" si="8"/>
        <v>-1.3684184074401855E-7</v>
      </c>
      <c r="V78" s="211">
        <f t="shared" si="8"/>
        <v>-1.4778918800354004E-7</v>
      </c>
      <c r="W78" s="211">
        <f t="shared" si="8"/>
        <v>-1.5961232304382323E-7</v>
      </c>
      <c r="X78" s="211">
        <f t="shared" si="8"/>
        <v>-1.7238130888732908E-7</v>
      </c>
      <c r="Y78" s="211">
        <f t="shared" si="8"/>
        <v>-1.861718135983154E-7</v>
      </c>
      <c r="Z78" s="211">
        <f t="shared" si="8"/>
        <v>-2.0106555868618064E-7</v>
      </c>
      <c r="AA78" s="211">
        <f t="shared" si="8"/>
        <v>-2.171508033810751E-7</v>
      </c>
      <c r="AB78" s="211">
        <f t="shared" si="8"/>
        <v>-2.3452286765156112E-7</v>
      </c>
      <c r="AC78" s="211">
        <f t="shared" si="8"/>
        <v>-2.5328469706368602E-7</v>
      </c>
      <c r="AD78" s="211">
        <f t="shared" si="8"/>
        <v>-2.7354747282878092E-7</v>
      </c>
      <c r="AE78" s="211">
        <f t="shared" si="8"/>
        <v>-2.9543127065508342E-7</v>
      </c>
      <c r="AF78" s="211">
        <f t="shared" si="8"/>
        <v>-3.1906577230749009E-7</v>
      </c>
      <c r="AG78" s="211">
        <f t="shared" si="8"/>
        <v>-3.445910340920893E-7</v>
      </c>
      <c r="AH78" s="211">
        <f t="shared" si="8"/>
        <v>-3.7215831681945646E-7</v>
      </c>
      <c r="AI78" s="211">
        <f t="shared" si="8"/>
        <v>-4.0193098216501299E-7</v>
      </c>
      <c r="AJ78" s="211">
        <f t="shared" si="8"/>
        <v>-4.3408546073821403E-7</v>
      </c>
      <c r="AK78" s="152">
        <f t="shared" si="8"/>
        <v>-4.6881229759727114E-7</v>
      </c>
    </row>
    <row r="79" spans="2:37" x14ac:dyDescent="0.25">
      <c r="B79" s="144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81"/>
    </row>
    <row r="80" spans="2:37" x14ac:dyDescent="0.25">
      <c r="B80" s="144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81"/>
    </row>
    <row r="81" spans="2:37" x14ac:dyDescent="0.25">
      <c r="B81" s="144" t="s">
        <v>432</v>
      </c>
      <c r="C81" s="207" t="str">
        <f>IF(G3="Maximum Jet", "Diesel", "Jet Fuel (Kerosene)")</f>
        <v>Diesel</v>
      </c>
      <c r="D81" s="207"/>
      <c r="E81" s="207"/>
      <c r="F81" s="207"/>
      <c r="G81" s="207"/>
      <c r="H81" s="211">
        <f>($D$48*$D$65)*(1-$D$46)+($D$48*$D$65)*$D$46*$D$47</f>
        <v>87581489.162108257</v>
      </c>
      <c r="I81" s="211">
        <f t="shared" ref="I81:AK81" si="9">+$D$48*$D$65</f>
        <v>116775318.88281101</v>
      </c>
      <c r="J81" s="211">
        <f t="shared" si="9"/>
        <v>116775318.88281101</v>
      </c>
      <c r="K81" s="211">
        <f t="shared" si="9"/>
        <v>116775318.88281101</v>
      </c>
      <c r="L81" s="211">
        <f t="shared" si="9"/>
        <v>116775318.88281101</v>
      </c>
      <c r="M81" s="211">
        <f t="shared" si="9"/>
        <v>116775318.88281101</v>
      </c>
      <c r="N81" s="211">
        <f t="shared" si="9"/>
        <v>116775318.88281101</v>
      </c>
      <c r="O81" s="211">
        <f t="shared" si="9"/>
        <v>116775318.88281101</v>
      </c>
      <c r="P81" s="211">
        <f t="shared" si="9"/>
        <v>116775318.88281101</v>
      </c>
      <c r="Q81" s="211">
        <f t="shared" si="9"/>
        <v>116775318.88281101</v>
      </c>
      <c r="R81" s="211">
        <f t="shared" si="9"/>
        <v>116775318.88281101</v>
      </c>
      <c r="S81" s="211">
        <f t="shared" si="9"/>
        <v>116775318.88281101</v>
      </c>
      <c r="T81" s="211">
        <f t="shared" si="9"/>
        <v>116775318.88281101</v>
      </c>
      <c r="U81" s="211">
        <f t="shared" si="9"/>
        <v>116775318.88281101</v>
      </c>
      <c r="V81" s="211">
        <f t="shared" si="9"/>
        <v>116775318.88281101</v>
      </c>
      <c r="W81" s="211">
        <f t="shared" si="9"/>
        <v>116775318.88281101</v>
      </c>
      <c r="X81" s="211">
        <f t="shared" si="9"/>
        <v>116775318.88281101</v>
      </c>
      <c r="Y81" s="211">
        <f t="shared" si="9"/>
        <v>116775318.88281101</v>
      </c>
      <c r="Z81" s="211">
        <f t="shared" si="9"/>
        <v>116775318.88281101</v>
      </c>
      <c r="AA81" s="211">
        <f t="shared" si="9"/>
        <v>116775318.88281101</v>
      </c>
      <c r="AB81" s="211">
        <f t="shared" si="9"/>
        <v>116775318.88281101</v>
      </c>
      <c r="AC81" s="211">
        <f t="shared" si="9"/>
        <v>116775318.88281101</v>
      </c>
      <c r="AD81" s="211">
        <f t="shared" si="9"/>
        <v>116775318.88281101</v>
      </c>
      <c r="AE81" s="211">
        <f t="shared" si="9"/>
        <v>116775318.88281101</v>
      </c>
      <c r="AF81" s="211">
        <f t="shared" si="9"/>
        <v>116775318.88281101</v>
      </c>
      <c r="AG81" s="211">
        <f t="shared" si="9"/>
        <v>116775318.88281101</v>
      </c>
      <c r="AH81" s="211">
        <f t="shared" si="9"/>
        <v>116775318.88281101</v>
      </c>
      <c r="AI81" s="211">
        <f t="shared" si="9"/>
        <v>116775318.88281101</v>
      </c>
      <c r="AJ81" s="211">
        <f t="shared" si="9"/>
        <v>116775318.88281101</v>
      </c>
      <c r="AK81" s="152">
        <f t="shared" si="9"/>
        <v>116775318.88281101</v>
      </c>
    </row>
    <row r="82" spans="2:37" x14ac:dyDescent="0.25">
      <c r="B82" s="144"/>
      <c r="C82" s="207"/>
      <c r="D82" s="207"/>
      <c r="E82" s="207"/>
      <c r="F82" s="207"/>
      <c r="G82" s="207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152"/>
    </row>
    <row r="83" spans="2:37" x14ac:dyDescent="0.25">
      <c r="B83" s="144" t="s">
        <v>479</v>
      </c>
      <c r="C83" s="207" t="s">
        <v>458</v>
      </c>
      <c r="D83" s="207"/>
      <c r="E83" s="207"/>
      <c r="F83" s="207"/>
      <c r="G83" s="207"/>
      <c r="H83" s="211">
        <f>(D50)*(1-$D$46)+(D50)*$D$46*$D$47</f>
        <v>792230.16522950958</v>
      </c>
      <c r="I83" s="211">
        <f>$D50</f>
        <v>1056306.8869726795</v>
      </c>
      <c r="J83" s="211">
        <f>$D50</f>
        <v>1056306.8869726795</v>
      </c>
      <c r="K83" s="211">
        <f t="shared" ref="K83:AK90" si="10">$D50</f>
        <v>1056306.8869726795</v>
      </c>
      <c r="L83" s="211">
        <f t="shared" si="10"/>
        <v>1056306.8869726795</v>
      </c>
      <c r="M83" s="211">
        <f t="shared" si="10"/>
        <v>1056306.8869726795</v>
      </c>
      <c r="N83" s="211">
        <f t="shared" si="10"/>
        <v>1056306.8869726795</v>
      </c>
      <c r="O83" s="211">
        <f t="shared" si="10"/>
        <v>1056306.8869726795</v>
      </c>
      <c r="P83" s="211">
        <f t="shared" si="10"/>
        <v>1056306.8869726795</v>
      </c>
      <c r="Q83" s="211">
        <f t="shared" si="10"/>
        <v>1056306.8869726795</v>
      </c>
      <c r="R83" s="211">
        <f t="shared" si="10"/>
        <v>1056306.8869726795</v>
      </c>
      <c r="S83" s="211">
        <f t="shared" si="10"/>
        <v>1056306.8869726795</v>
      </c>
      <c r="T83" s="211">
        <f t="shared" si="10"/>
        <v>1056306.8869726795</v>
      </c>
      <c r="U83" s="211">
        <f t="shared" si="10"/>
        <v>1056306.8869726795</v>
      </c>
      <c r="V83" s="211">
        <f t="shared" si="10"/>
        <v>1056306.8869726795</v>
      </c>
      <c r="W83" s="211">
        <f t="shared" si="10"/>
        <v>1056306.8869726795</v>
      </c>
      <c r="X83" s="211">
        <f t="shared" si="10"/>
        <v>1056306.8869726795</v>
      </c>
      <c r="Y83" s="211">
        <f t="shared" si="10"/>
        <v>1056306.8869726795</v>
      </c>
      <c r="Z83" s="211">
        <f t="shared" si="10"/>
        <v>1056306.8869726795</v>
      </c>
      <c r="AA83" s="211">
        <f t="shared" si="10"/>
        <v>1056306.8869726795</v>
      </c>
      <c r="AB83" s="211">
        <f t="shared" si="10"/>
        <v>1056306.8869726795</v>
      </c>
      <c r="AC83" s="211">
        <f t="shared" si="10"/>
        <v>1056306.8869726795</v>
      </c>
      <c r="AD83" s="211">
        <f t="shared" si="10"/>
        <v>1056306.8869726795</v>
      </c>
      <c r="AE83" s="211">
        <f t="shared" si="10"/>
        <v>1056306.8869726795</v>
      </c>
      <c r="AF83" s="211">
        <f t="shared" si="10"/>
        <v>1056306.8869726795</v>
      </c>
      <c r="AG83" s="211">
        <f t="shared" si="10"/>
        <v>1056306.8869726795</v>
      </c>
      <c r="AH83" s="211">
        <f t="shared" si="10"/>
        <v>1056306.8869726795</v>
      </c>
      <c r="AI83" s="211">
        <f t="shared" si="10"/>
        <v>1056306.8869726795</v>
      </c>
      <c r="AJ83" s="211">
        <f t="shared" si="10"/>
        <v>1056306.8869726795</v>
      </c>
      <c r="AK83" s="152">
        <f t="shared" si="10"/>
        <v>1056306.8869726795</v>
      </c>
    </row>
    <row r="84" spans="2:37" x14ac:dyDescent="0.25">
      <c r="B84" s="144"/>
      <c r="C84" s="207" t="s">
        <v>459</v>
      </c>
      <c r="D84" s="207"/>
      <c r="E84" s="207"/>
      <c r="F84" s="207"/>
      <c r="G84" s="207"/>
      <c r="H84" s="211">
        <f t="shared" ref="H84:H88" si="11">(D51)*(1-$D$46)+(D51)*$D$46*$D$47</f>
        <v>184282.85205493285</v>
      </c>
      <c r="I84" s="211">
        <f t="shared" ref="I84:J89" si="12">$D51</f>
        <v>245710.46940657715</v>
      </c>
      <c r="J84" s="211">
        <f t="shared" si="12"/>
        <v>245710.46940657715</v>
      </c>
      <c r="K84" s="211">
        <f t="shared" si="10"/>
        <v>245710.46940657715</v>
      </c>
      <c r="L84" s="211">
        <f t="shared" si="10"/>
        <v>245710.46940657715</v>
      </c>
      <c r="M84" s="211">
        <f t="shared" si="10"/>
        <v>245710.46940657715</v>
      </c>
      <c r="N84" s="211">
        <f t="shared" si="10"/>
        <v>245710.46940657715</v>
      </c>
      <c r="O84" s="211">
        <f t="shared" si="10"/>
        <v>245710.46940657715</v>
      </c>
      <c r="P84" s="211">
        <f t="shared" si="10"/>
        <v>245710.46940657715</v>
      </c>
      <c r="Q84" s="211">
        <f t="shared" si="10"/>
        <v>245710.46940657715</v>
      </c>
      <c r="R84" s="211">
        <f t="shared" si="10"/>
        <v>245710.46940657715</v>
      </c>
      <c r="S84" s="211">
        <f t="shared" si="10"/>
        <v>245710.46940657715</v>
      </c>
      <c r="T84" s="211">
        <f t="shared" si="10"/>
        <v>245710.46940657715</v>
      </c>
      <c r="U84" s="211">
        <f t="shared" si="10"/>
        <v>245710.46940657715</v>
      </c>
      <c r="V84" s="211">
        <f t="shared" si="10"/>
        <v>245710.46940657715</v>
      </c>
      <c r="W84" s="211">
        <f t="shared" si="10"/>
        <v>245710.46940657715</v>
      </c>
      <c r="X84" s="211">
        <f t="shared" si="10"/>
        <v>245710.46940657715</v>
      </c>
      <c r="Y84" s="211">
        <f t="shared" si="10"/>
        <v>245710.46940657715</v>
      </c>
      <c r="Z84" s="211">
        <f t="shared" si="10"/>
        <v>245710.46940657715</v>
      </c>
      <c r="AA84" s="211">
        <f t="shared" si="10"/>
        <v>245710.46940657715</v>
      </c>
      <c r="AB84" s="211">
        <f t="shared" si="10"/>
        <v>245710.46940657715</v>
      </c>
      <c r="AC84" s="211">
        <f t="shared" si="10"/>
        <v>245710.46940657715</v>
      </c>
      <c r="AD84" s="211">
        <f t="shared" si="10"/>
        <v>245710.46940657715</v>
      </c>
      <c r="AE84" s="211">
        <f t="shared" si="10"/>
        <v>245710.46940657715</v>
      </c>
      <c r="AF84" s="211">
        <f t="shared" si="10"/>
        <v>245710.46940657715</v>
      </c>
      <c r="AG84" s="211">
        <f t="shared" si="10"/>
        <v>245710.46940657715</v>
      </c>
      <c r="AH84" s="211">
        <f t="shared" si="10"/>
        <v>245710.46940657715</v>
      </c>
      <c r="AI84" s="211">
        <f t="shared" si="10"/>
        <v>245710.46940657715</v>
      </c>
      <c r="AJ84" s="211">
        <f t="shared" si="10"/>
        <v>245710.46940657715</v>
      </c>
      <c r="AK84" s="152">
        <f t="shared" si="10"/>
        <v>245710.46940657715</v>
      </c>
    </row>
    <row r="85" spans="2:37" x14ac:dyDescent="0.25">
      <c r="B85" s="144"/>
      <c r="C85" s="207" t="s">
        <v>460</v>
      </c>
      <c r="D85" s="207"/>
      <c r="E85" s="207"/>
      <c r="F85" s="207"/>
      <c r="G85" s="207"/>
      <c r="H85" s="211">
        <f t="shared" si="11"/>
        <v>0</v>
      </c>
      <c r="I85" s="211">
        <f t="shared" si="12"/>
        <v>0</v>
      </c>
      <c r="J85" s="211">
        <f t="shared" si="12"/>
        <v>0</v>
      </c>
      <c r="K85" s="211">
        <f t="shared" si="10"/>
        <v>0</v>
      </c>
      <c r="L85" s="211">
        <f t="shared" si="10"/>
        <v>0</v>
      </c>
      <c r="M85" s="211">
        <f t="shared" si="10"/>
        <v>0</v>
      </c>
      <c r="N85" s="211">
        <f t="shared" si="10"/>
        <v>0</v>
      </c>
      <c r="O85" s="211">
        <f t="shared" si="10"/>
        <v>0</v>
      </c>
      <c r="P85" s="211">
        <f t="shared" si="10"/>
        <v>0</v>
      </c>
      <c r="Q85" s="211">
        <f t="shared" si="10"/>
        <v>0</v>
      </c>
      <c r="R85" s="211">
        <f t="shared" si="10"/>
        <v>0</v>
      </c>
      <c r="S85" s="211">
        <f t="shared" si="10"/>
        <v>0</v>
      </c>
      <c r="T85" s="211">
        <f t="shared" si="10"/>
        <v>0</v>
      </c>
      <c r="U85" s="211">
        <f t="shared" si="10"/>
        <v>0</v>
      </c>
      <c r="V85" s="211">
        <f t="shared" si="10"/>
        <v>0</v>
      </c>
      <c r="W85" s="211">
        <f t="shared" si="10"/>
        <v>0</v>
      </c>
      <c r="X85" s="211">
        <f t="shared" si="10"/>
        <v>0</v>
      </c>
      <c r="Y85" s="211">
        <f t="shared" si="10"/>
        <v>0</v>
      </c>
      <c r="Z85" s="211">
        <f t="shared" si="10"/>
        <v>0</v>
      </c>
      <c r="AA85" s="211">
        <f t="shared" si="10"/>
        <v>0</v>
      </c>
      <c r="AB85" s="211">
        <f t="shared" si="10"/>
        <v>0</v>
      </c>
      <c r="AC85" s="211">
        <f t="shared" si="10"/>
        <v>0</v>
      </c>
      <c r="AD85" s="211">
        <f t="shared" si="10"/>
        <v>0</v>
      </c>
      <c r="AE85" s="211">
        <f t="shared" si="10"/>
        <v>0</v>
      </c>
      <c r="AF85" s="211">
        <f t="shared" si="10"/>
        <v>0</v>
      </c>
      <c r="AG85" s="211">
        <f t="shared" si="10"/>
        <v>0</v>
      </c>
      <c r="AH85" s="211">
        <f t="shared" si="10"/>
        <v>0</v>
      </c>
      <c r="AI85" s="211">
        <f t="shared" si="10"/>
        <v>0</v>
      </c>
      <c r="AJ85" s="211">
        <f t="shared" si="10"/>
        <v>0</v>
      </c>
      <c r="AK85" s="152">
        <f t="shared" si="10"/>
        <v>0</v>
      </c>
    </row>
    <row r="86" spans="2:37" x14ac:dyDescent="0.25">
      <c r="B86" s="144"/>
      <c r="C86" s="207" t="s">
        <v>314</v>
      </c>
      <c r="D86" s="207"/>
      <c r="E86" s="207"/>
      <c r="F86" s="207"/>
      <c r="G86" s="207"/>
      <c r="H86" s="211">
        <f t="shared" si="11"/>
        <v>3862309.474136618</v>
      </c>
      <c r="I86" s="211">
        <f t="shared" si="12"/>
        <v>5149745.9655154906</v>
      </c>
      <c r="J86" s="211">
        <f t="shared" si="12"/>
        <v>5149745.9655154906</v>
      </c>
      <c r="K86" s="211">
        <f t="shared" si="10"/>
        <v>5149745.9655154906</v>
      </c>
      <c r="L86" s="211">
        <f t="shared" si="10"/>
        <v>5149745.9655154906</v>
      </c>
      <c r="M86" s="211">
        <f t="shared" si="10"/>
        <v>5149745.9655154906</v>
      </c>
      <c r="N86" s="211">
        <f t="shared" si="10"/>
        <v>5149745.9655154906</v>
      </c>
      <c r="O86" s="211">
        <f t="shared" si="10"/>
        <v>5149745.9655154906</v>
      </c>
      <c r="P86" s="211">
        <f t="shared" si="10"/>
        <v>5149745.9655154906</v>
      </c>
      <c r="Q86" s="211">
        <f t="shared" si="10"/>
        <v>5149745.9655154906</v>
      </c>
      <c r="R86" s="211">
        <f t="shared" si="10"/>
        <v>5149745.9655154906</v>
      </c>
      <c r="S86" s="211">
        <f t="shared" si="10"/>
        <v>5149745.9655154906</v>
      </c>
      <c r="T86" s="211">
        <f t="shared" si="10"/>
        <v>5149745.9655154906</v>
      </c>
      <c r="U86" s="211">
        <f t="shared" si="10"/>
        <v>5149745.9655154906</v>
      </c>
      <c r="V86" s="211">
        <f t="shared" si="10"/>
        <v>5149745.9655154906</v>
      </c>
      <c r="W86" s="211">
        <f t="shared" si="10"/>
        <v>5149745.9655154906</v>
      </c>
      <c r="X86" s="211">
        <f t="shared" si="10"/>
        <v>5149745.9655154906</v>
      </c>
      <c r="Y86" s="211">
        <f t="shared" si="10"/>
        <v>5149745.9655154906</v>
      </c>
      <c r="Z86" s="211">
        <f t="shared" si="10"/>
        <v>5149745.9655154906</v>
      </c>
      <c r="AA86" s="211">
        <f t="shared" si="10"/>
        <v>5149745.9655154906</v>
      </c>
      <c r="AB86" s="211">
        <f t="shared" si="10"/>
        <v>5149745.9655154906</v>
      </c>
      <c r="AC86" s="211">
        <f t="shared" si="10"/>
        <v>5149745.9655154906</v>
      </c>
      <c r="AD86" s="211">
        <f t="shared" si="10"/>
        <v>5149745.9655154906</v>
      </c>
      <c r="AE86" s="211">
        <f t="shared" si="10"/>
        <v>5149745.9655154906</v>
      </c>
      <c r="AF86" s="211">
        <f t="shared" si="10"/>
        <v>5149745.9655154906</v>
      </c>
      <c r="AG86" s="211">
        <f t="shared" si="10"/>
        <v>5149745.9655154906</v>
      </c>
      <c r="AH86" s="211">
        <f t="shared" si="10"/>
        <v>5149745.9655154906</v>
      </c>
      <c r="AI86" s="211">
        <f t="shared" si="10"/>
        <v>5149745.9655154906</v>
      </c>
      <c r="AJ86" s="211">
        <f t="shared" si="10"/>
        <v>5149745.9655154906</v>
      </c>
      <c r="AK86" s="152">
        <f t="shared" si="10"/>
        <v>5149745.9655154906</v>
      </c>
    </row>
    <row r="87" spans="2:37" x14ac:dyDescent="0.25">
      <c r="B87" s="144"/>
      <c r="C87" s="207" t="s">
        <v>315</v>
      </c>
      <c r="D87" s="207"/>
      <c r="E87" s="207"/>
      <c r="F87" s="207"/>
      <c r="G87" s="207"/>
      <c r="H87" s="211">
        <f t="shared" si="11"/>
        <v>3831313.9932694091</v>
      </c>
      <c r="I87" s="211">
        <f t="shared" si="12"/>
        <v>5108418.6576925451</v>
      </c>
      <c r="J87" s="211">
        <f t="shared" si="12"/>
        <v>5108418.6576925451</v>
      </c>
      <c r="K87" s="211">
        <f t="shared" si="10"/>
        <v>5108418.6576925451</v>
      </c>
      <c r="L87" s="211">
        <f t="shared" si="10"/>
        <v>5108418.6576925451</v>
      </c>
      <c r="M87" s="211">
        <f t="shared" si="10"/>
        <v>5108418.6576925451</v>
      </c>
      <c r="N87" s="211">
        <f t="shared" si="10"/>
        <v>5108418.6576925451</v>
      </c>
      <c r="O87" s="211">
        <f t="shared" si="10"/>
        <v>5108418.6576925451</v>
      </c>
      <c r="P87" s="211">
        <f t="shared" si="10"/>
        <v>5108418.6576925451</v>
      </c>
      <c r="Q87" s="211">
        <f t="shared" si="10"/>
        <v>5108418.6576925451</v>
      </c>
      <c r="R87" s="211">
        <f t="shared" si="10"/>
        <v>5108418.6576925451</v>
      </c>
      <c r="S87" s="211">
        <f t="shared" si="10"/>
        <v>5108418.6576925451</v>
      </c>
      <c r="T87" s="211">
        <f t="shared" si="10"/>
        <v>5108418.6576925451</v>
      </c>
      <c r="U87" s="211">
        <f t="shared" si="10"/>
        <v>5108418.6576925451</v>
      </c>
      <c r="V87" s="211">
        <f t="shared" si="10"/>
        <v>5108418.6576925451</v>
      </c>
      <c r="W87" s="211">
        <f t="shared" si="10"/>
        <v>5108418.6576925451</v>
      </c>
      <c r="X87" s="211">
        <f t="shared" si="10"/>
        <v>5108418.6576925451</v>
      </c>
      <c r="Y87" s="211">
        <f t="shared" si="10"/>
        <v>5108418.6576925451</v>
      </c>
      <c r="Z87" s="211">
        <f t="shared" si="10"/>
        <v>5108418.6576925451</v>
      </c>
      <c r="AA87" s="211">
        <f t="shared" si="10"/>
        <v>5108418.6576925451</v>
      </c>
      <c r="AB87" s="211">
        <f t="shared" si="10"/>
        <v>5108418.6576925451</v>
      </c>
      <c r="AC87" s="211">
        <f t="shared" si="10"/>
        <v>5108418.6576925451</v>
      </c>
      <c r="AD87" s="211">
        <f t="shared" si="10"/>
        <v>5108418.6576925451</v>
      </c>
      <c r="AE87" s="211">
        <f t="shared" si="10"/>
        <v>5108418.6576925451</v>
      </c>
      <c r="AF87" s="211">
        <f t="shared" si="10"/>
        <v>5108418.6576925451</v>
      </c>
      <c r="AG87" s="211">
        <f t="shared" si="10"/>
        <v>5108418.6576925451</v>
      </c>
      <c r="AH87" s="211">
        <f t="shared" si="10"/>
        <v>5108418.6576925451</v>
      </c>
      <c r="AI87" s="211">
        <f t="shared" si="10"/>
        <v>5108418.6576925451</v>
      </c>
      <c r="AJ87" s="211">
        <f t="shared" si="10"/>
        <v>5108418.6576925451</v>
      </c>
      <c r="AK87" s="152">
        <f t="shared" si="10"/>
        <v>5108418.6576925451</v>
      </c>
    </row>
    <row r="88" spans="2:37" x14ac:dyDescent="0.25">
      <c r="B88" s="144"/>
      <c r="C88" s="207" t="s">
        <v>109</v>
      </c>
      <c r="D88" s="207"/>
      <c r="E88" s="207"/>
      <c r="F88" s="207"/>
      <c r="G88" s="207"/>
      <c r="H88" s="211">
        <f t="shared" si="11"/>
        <v>4861698.8607031973</v>
      </c>
      <c r="I88" s="211">
        <f t="shared" si="12"/>
        <v>6482265.1476042634</v>
      </c>
      <c r="J88" s="211">
        <f t="shared" si="12"/>
        <v>6482265.1476042634</v>
      </c>
      <c r="K88" s="211">
        <f t="shared" si="10"/>
        <v>6482265.1476042634</v>
      </c>
      <c r="L88" s="211">
        <f t="shared" si="10"/>
        <v>6482265.1476042634</v>
      </c>
      <c r="M88" s="211">
        <f t="shared" si="10"/>
        <v>6482265.1476042634</v>
      </c>
      <c r="N88" s="211">
        <f t="shared" si="10"/>
        <v>6482265.1476042634</v>
      </c>
      <c r="O88" s="211">
        <f t="shared" si="10"/>
        <v>6482265.1476042634</v>
      </c>
      <c r="P88" s="211">
        <f t="shared" si="10"/>
        <v>6482265.1476042634</v>
      </c>
      <c r="Q88" s="211">
        <f t="shared" si="10"/>
        <v>6482265.1476042634</v>
      </c>
      <c r="R88" s="211">
        <f t="shared" si="10"/>
        <v>6482265.1476042634</v>
      </c>
      <c r="S88" s="211">
        <f t="shared" si="10"/>
        <v>6482265.1476042634</v>
      </c>
      <c r="T88" s="211">
        <f t="shared" si="10"/>
        <v>6482265.1476042634</v>
      </c>
      <c r="U88" s="211">
        <f t="shared" si="10"/>
        <v>6482265.1476042634</v>
      </c>
      <c r="V88" s="211">
        <f t="shared" si="10"/>
        <v>6482265.1476042634</v>
      </c>
      <c r="W88" s="211">
        <f t="shared" si="10"/>
        <v>6482265.1476042634</v>
      </c>
      <c r="X88" s="211">
        <f t="shared" si="10"/>
        <v>6482265.1476042634</v>
      </c>
      <c r="Y88" s="211">
        <f t="shared" si="10"/>
        <v>6482265.1476042634</v>
      </c>
      <c r="Z88" s="211">
        <f t="shared" si="10"/>
        <v>6482265.1476042634</v>
      </c>
      <c r="AA88" s="211">
        <f t="shared" si="10"/>
        <v>6482265.1476042634</v>
      </c>
      <c r="AB88" s="211">
        <f t="shared" si="10"/>
        <v>6482265.1476042634</v>
      </c>
      <c r="AC88" s="211">
        <f t="shared" si="10"/>
        <v>6482265.1476042634</v>
      </c>
      <c r="AD88" s="211">
        <f t="shared" si="10"/>
        <v>6482265.1476042634</v>
      </c>
      <c r="AE88" s="211">
        <f t="shared" si="10"/>
        <v>6482265.1476042634</v>
      </c>
      <c r="AF88" s="211">
        <f t="shared" si="10"/>
        <v>6482265.1476042634</v>
      </c>
      <c r="AG88" s="211">
        <f t="shared" si="10"/>
        <v>6482265.1476042634</v>
      </c>
      <c r="AH88" s="211">
        <f t="shared" si="10"/>
        <v>6482265.1476042634</v>
      </c>
      <c r="AI88" s="211">
        <f t="shared" si="10"/>
        <v>6482265.1476042634</v>
      </c>
      <c r="AJ88" s="211">
        <f t="shared" si="10"/>
        <v>6482265.1476042634</v>
      </c>
      <c r="AK88" s="152">
        <f t="shared" si="10"/>
        <v>6482265.1476042634</v>
      </c>
    </row>
    <row r="89" spans="2:37" x14ac:dyDescent="0.25">
      <c r="B89" s="144"/>
      <c r="C89" s="207" t="s">
        <v>110</v>
      </c>
      <c r="D89" s="207"/>
      <c r="E89" s="207"/>
      <c r="F89" s="207"/>
      <c r="G89" s="207"/>
      <c r="H89" s="211">
        <f>(D56)*(1-$D$46)+(D56)*$D$46*$D$47</f>
        <v>18388442.628921814</v>
      </c>
      <c r="I89" s="211">
        <f t="shared" si="12"/>
        <v>24517923.505229086</v>
      </c>
      <c r="J89" s="211">
        <f t="shared" si="12"/>
        <v>24517923.505229086</v>
      </c>
      <c r="K89" s="211">
        <f t="shared" si="10"/>
        <v>24517923.505229086</v>
      </c>
      <c r="L89" s="211">
        <f t="shared" si="10"/>
        <v>24517923.505229086</v>
      </c>
      <c r="M89" s="211">
        <f t="shared" si="10"/>
        <v>24517923.505229086</v>
      </c>
      <c r="N89" s="211">
        <f t="shared" si="10"/>
        <v>24517923.505229086</v>
      </c>
      <c r="O89" s="211">
        <f t="shared" si="10"/>
        <v>24517923.505229086</v>
      </c>
      <c r="P89" s="211">
        <f t="shared" si="10"/>
        <v>24517923.505229086</v>
      </c>
      <c r="Q89" s="211">
        <f t="shared" si="10"/>
        <v>24517923.505229086</v>
      </c>
      <c r="R89" s="211">
        <f t="shared" si="10"/>
        <v>24517923.505229086</v>
      </c>
      <c r="S89" s="211">
        <f t="shared" si="10"/>
        <v>24517923.505229086</v>
      </c>
      <c r="T89" s="211">
        <f t="shared" si="10"/>
        <v>24517923.505229086</v>
      </c>
      <c r="U89" s="211">
        <f t="shared" si="10"/>
        <v>24517923.505229086</v>
      </c>
      <c r="V89" s="211">
        <f t="shared" si="10"/>
        <v>24517923.505229086</v>
      </c>
      <c r="W89" s="211">
        <f t="shared" si="10"/>
        <v>24517923.505229086</v>
      </c>
      <c r="X89" s="211">
        <f t="shared" si="10"/>
        <v>24517923.505229086</v>
      </c>
      <c r="Y89" s="211">
        <f t="shared" si="10"/>
        <v>24517923.505229086</v>
      </c>
      <c r="Z89" s="211">
        <f t="shared" si="10"/>
        <v>24517923.505229086</v>
      </c>
      <c r="AA89" s="211">
        <f t="shared" si="10"/>
        <v>24517923.505229086</v>
      </c>
      <c r="AB89" s="211">
        <f t="shared" si="10"/>
        <v>24517923.505229086</v>
      </c>
      <c r="AC89" s="211">
        <f t="shared" si="10"/>
        <v>24517923.505229086</v>
      </c>
      <c r="AD89" s="211">
        <f t="shared" si="10"/>
        <v>24517923.505229086</v>
      </c>
      <c r="AE89" s="211">
        <f t="shared" si="10"/>
        <v>24517923.505229086</v>
      </c>
      <c r="AF89" s="211">
        <f t="shared" si="10"/>
        <v>24517923.505229086</v>
      </c>
      <c r="AG89" s="211">
        <f t="shared" si="10"/>
        <v>24517923.505229086</v>
      </c>
      <c r="AH89" s="211">
        <f t="shared" si="10"/>
        <v>24517923.505229086</v>
      </c>
      <c r="AI89" s="211">
        <f t="shared" si="10"/>
        <v>24517923.505229086</v>
      </c>
      <c r="AJ89" s="211">
        <f t="shared" si="10"/>
        <v>24517923.505229086</v>
      </c>
      <c r="AK89" s="152">
        <f t="shared" si="10"/>
        <v>24517923.505229086</v>
      </c>
    </row>
    <row r="90" spans="2:37" x14ac:dyDescent="0.25">
      <c r="B90" s="144"/>
      <c r="C90" s="207" t="s">
        <v>461</v>
      </c>
      <c r="D90" s="207"/>
      <c r="E90" s="207"/>
      <c r="F90" s="207"/>
      <c r="G90" s="207"/>
      <c r="H90" s="211">
        <f>(D57)*(1-$D$46)+(D57)*$D$46*$D$47</f>
        <v>0</v>
      </c>
      <c r="I90" s="211">
        <f>$D57</f>
        <v>0</v>
      </c>
      <c r="J90" s="211">
        <f>$D57</f>
        <v>0</v>
      </c>
      <c r="K90" s="211">
        <f t="shared" si="10"/>
        <v>0</v>
      </c>
      <c r="L90" s="211">
        <f t="shared" si="10"/>
        <v>0</v>
      </c>
      <c r="M90" s="211">
        <f t="shared" si="10"/>
        <v>0</v>
      </c>
      <c r="N90" s="211">
        <f t="shared" si="10"/>
        <v>0</v>
      </c>
      <c r="O90" s="211">
        <f t="shared" si="10"/>
        <v>0</v>
      </c>
      <c r="P90" s="211">
        <f t="shared" si="10"/>
        <v>0</v>
      </c>
      <c r="Q90" s="211">
        <f t="shared" si="10"/>
        <v>0</v>
      </c>
      <c r="R90" s="211">
        <f t="shared" si="10"/>
        <v>0</v>
      </c>
      <c r="S90" s="211">
        <f t="shared" si="10"/>
        <v>0</v>
      </c>
      <c r="T90" s="211">
        <f t="shared" si="10"/>
        <v>0</v>
      </c>
      <c r="U90" s="211">
        <f t="shared" si="10"/>
        <v>0</v>
      </c>
      <c r="V90" s="211">
        <f t="shared" si="10"/>
        <v>0</v>
      </c>
      <c r="W90" s="211">
        <f t="shared" si="10"/>
        <v>0</v>
      </c>
      <c r="X90" s="211">
        <f t="shared" si="10"/>
        <v>0</v>
      </c>
      <c r="Y90" s="211">
        <f t="shared" si="10"/>
        <v>0</v>
      </c>
      <c r="Z90" s="211">
        <f t="shared" si="10"/>
        <v>0</v>
      </c>
      <c r="AA90" s="211">
        <f t="shared" si="10"/>
        <v>0</v>
      </c>
      <c r="AB90" s="211">
        <f t="shared" si="10"/>
        <v>0</v>
      </c>
      <c r="AC90" s="211">
        <f t="shared" si="10"/>
        <v>0</v>
      </c>
      <c r="AD90" s="211">
        <f t="shared" si="10"/>
        <v>0</v>
      </c>
      <c r="AE90" s="211">
        <f t="shared" si="10"/>
        <v>0</v>
      </c>
      <c r="AF90" s="211">
        <f t="shared" si="10"/>
        <v>0</v>
      </c>
      <c r="AG90" s="211">
        <f t="shared" si="10"/>
        <v>0</v>
      </c>
      <c r="AH90" s="211">
        <f t="shared" si="10"/>
        <v>0</v>
      </c>
      <c r="AI90" s="211">
        <f t="shared" si="10"/>
        <v>0</v>
      </c>
      <c r="AJ90" s="211">
        <f t="shared" si="10"/>
        <v>0</v>
      </c>
      <c r="AK90" s="152">
        <f t="shared" si="10"/>
        <v>0</v>
      </c>
    </row>
    <row r="91" spans="2:37" x14ac:dyDescent="0.25">
      <c r="B91" s="144"/>
      <c r="C91" s="207"/>
      <c r="D91" s="207"/>
      <c r="E91" s="207"/>
      <c r="F91" s="207"/>
      <c r="G91" s="207"/>
      <c r="H91" s="211"/>
      <c r="I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  <c r="AA91" s="211"/>
      <c r="AB91" s="211"/>
      <c r="AC91" s="211"/>
      <c r="AD91" s="211"/>
      <c r="AE91" s="211"/>
      <c r="AF91" s="211"/>
      <c r="AG91" s="211"/>
      <c r="AH91" s="211"/>
      <c r="AI91" s="211"/>
      <c r="AJ91" s="211"/>
      <c r="AK91" s="152"/>
    </row>
    <row r="92" spans="2:37" x14ac:dyDescent="0.25">
      <c r="B92" s="144" t="s">
        <v>433</v>
      </c>
      <c r="C92" s="207"/>
      <c r="D92" s="207"/>
      <c r="E92" s="207"/>
      <c r="F92" s="207"/>
      <c r="G92" s="207"/>
      <c r="H92" s="214">
        <f>SUM(H81:H90)</f>
        <v>119501767.13642377</v>
      </c>
      <c r="I92" s="214">
        <f t="shared" ref="I92:AK92" si="13">SUM(I81:I90)</f>
        <v>159335689.51523167</v>
      </c>
      <c r="J92" s="214">
        <f t="shared" si="13"/>
        <v>159335689.51523167</v>
      </c>
      <c r="K92" s="214">
        <f t="shared" si="13"/>
        <v>159335689.51523167</v>
      </c>
      <c r="L92" s="214">
        <f t="shared" si="13"/>
        <v>159335689.51523167</v>
      </c>
      <c r="M92" s="214">
        <f t="shared" si="13"/>
        <v>159335689.51523167</v>
      </c>
      <c r="N92" s="214">
        <f t="shared" si="13"/>
        <v>159335689.51523167</v>
      </c>
      <c r="O92" s="214">
        <f t="shared" si="13"/>
        <v>159335689.51523167</v>
      </c>
      <c r="P92" s="214">
        <f t="shared" si="13"/>
        <v>159335689.51523167</v>
      </c>
      <c r="Q92" s="214">
        <f t="shared" si="13"/>
        <v>159335689.51523167</v>
      </c>
      <c r="R92" s="214">
        <f t="shared" si="13"/>
        <v>159335689.51523167</v>
      </c>
      <c r="S92" s="214">
        <f t="shared" si="13"/>
        <v>159335689.51523167</v>
      </c>
      <c r="T92" s="214">
        <f t="shared" si="13"/>
        <v>159335689.51523167</v>
      </c>
      <c r="U92" s="214">
        <f t="shared" si="13"/>
        <v>159335689.51523167</v>
      </c>
      <c r="V92" s="214">
        <f t="shared" si="13"/>
        <v>159335689.51523167</v>
      </c>
      <c r="W92" s="214">
        <f t="shared" si="13"/>
        <v>159335689.51523167</v>
      </c>
      <c r="X92" s="214">
        <f t="shared" si="13"/>
        <v>159335689.51523167</v>
      </c>
      <c r="Y92" s="214">
        <f t="shared" si="13"/>
        <v>159335689.51523167</v>
      </c>
      <c r="Z92" s="214">
        <f t="shared" si="13"/>
        <v>159335689.51523167</v>
      </c>
      <c r="AA92" s="214">
        <f t="shared" si="13"/>
        <v>159335689.51523167</v>
      </c>
      <c r="AB92" s="214">
        <f t="shared" si="13"/>
        <v>159335689.51523167</v>
      </c>
      <c r="AC92" s="214">
        <f t="shared" si="13"/>
        <v>159335689.51523167</v>
      </c>
      <c r="AD92" s="214">
        <f t="shared" si="13"/>
        <v>159335689.51523167</v>
      </c>
      <c r="AE92" s="214">
        <f t="shared" si="13"/>
        <v>159335689.51523167</v>
      </c>
      <c r="AF92" s="214">
        <f t="shared" si="13"/>
        <v>159335689.51523167</v>
      </c>
      <c r="AG92" s="214">
        <f t="shared" si="13"/>
        <v>159335689.51523167</v>
      </c>
      <c r="AH92" s="214">
        <f t="shared" si="13"/>
        <v>159335689.51523167</v>
      </c>
      <c r="AI92" s="214">
        <f t="shared" si="13"/>
        <v>159335689.51523167</v>
      </c>
      <c r="AJ92" s="214">
        <f t="shared" si="13"/>
        <v>159335689.51523167</v>
      </c>
      <c r="AK92" s="153">
        <f t="shared" si="13"/>
        <v>159335689.51523167</v>
      </c>
    </row>
    <row r="93" spans="2:37" x14ac:dyDescent="0.25">
      <c r="B93" s="144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7"/>
      <c r="S93" s="207"/>
      <c r="T93" s="207"/>
      <c r="U93" s="207"/>
      <c r="V93" s="207"/>
      <c r="W93" s="207"/>
      <c r="X93" s="207"/>
      <c r="Y93" s="207"/>
      <c r="Z93" s="207"/>
      <c r="AA93" s="207"/>
      <c r="AB93" s="207"/>
      <c r="AC93" s="207"/>
      <c r="AD93" s="207"/>
      <c r="AE93" s="207"/>
      <c r="AF93" s="207"/>
      <c r="AG93" s="207"/>
      <c r="AH93" s="207"/>
      <c r="AI93" s="207"/>
      <c r="AJ93" s="207"/>
      <c r="AK93" s="81"/>
    </row>
    <row r="94" spans="2:37" x14ac:dyDescent="0.25">
      <c r="B94" s="144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  <c r="O94" s="207"/>
      <c r="P94" s="207"/>
      <c r="Q94" s="207"/>
      <c r="R94" s="207"/>
      <c r="S94" s="207"/>
      <c r="T94" s="207"/>
      <c r="U94" s="207"/>
      <c r="V94" s="207"/>
      <c r="W94" s="207"/>
      <c r="X94" s="207"/>
      <c r="Y94" s="207"/>
      <c r="Z94" s="207"/>
      <c r="AA94" s="207"/>
      <c r="AB94" s="207"/>
      <c r="AC94" s="207"/>
      <c r="AD94" s="207"/>
      <c r="AE94" s="207"/>
      <c r="AF94" s="207"/>
      <c r="AG94" s="207"/>
      <c r="AH94" s="207"/>
      <c r="AI94" s="207"/>
      <c r="AJ94" s="207"/>
      <c r="AK94" s="81"/>
    </row>
    <row r="95" spans="2:37" x14ac:dyDescent="0.25">
      <c r="B95" s="144" t="s">
        <v>434</v>
      </c>
      <c r="C95" s="207" t="s">
        <v>184</v>
      </c>
      <c r="D95" s="207"/>
      <c r="E95" s="207"/>
      <c r="F95" s="207"/>
      <c r="G95" s="207"/>
      <c r="H95" s="215">
        <f t="shared" ref="H95:H117" si="14">+D5*(1-$D$46)+D5*$D$46*$D$47</f>
        <v>4410794.6500384621</v>
      </c>
      <c r="I95" s="214">
        <f t="shared" ref="I95:AK95" si="15">+$D5</f>
        <v>5881059.5333846156</v>
      </c>
      <c r="J95" s="214">
        <f t="shared" si="15"/>
        <v>5881059.5333846156</v>
      </c>
      <c r="K95" s="214">
        <f t="shared" si="15"/>
        <v>5881059.5333846156</v>
      </c>
      <c r="L95" s="214">
        <f t="shared" si="15"/>
        <v>5881059.5333846156</v>
      </c>
      <c r="M95" s="214">
        <f t="shared" si="15"/>
        <v>5881059.5333846156</v>
      </c>
      <c r="N95" s="214">
        <f t="shared" si="15"/>
        <v>5881059.5333846156</v>
      </c>
      <c r="O95" s="214">
        <f t="shared" si="15"/>
        <v>5881059.5333846156</v>
      </c>
      <c r="P95" s="214">
        <f t="shared" si="15"/>
        <v>5881059.5333846156</v>
      </c>
      <c r="Q95" s="214">
        <f t="shared" si="15"/>
        <v>5881059.5333846156</v>
      </c>
      <c r="R95" s="214">
        <f t="shared" si="15"/>
        <v>5881059.5333846156</v>
      </c>
      <c r="S95" s="214">
        <f t="shared" si="15"/>
        <v>5881059.5333846156</v>
      </c>
      <c r="T95" s="214">
        <f t="shared" si="15"/>
        <v>5881059.5333846156</v>
      </c>
      <c r="U95" s="214">
        <f t="shared" si="15"/>
        <v>5881059.5333846156</v>
      </c>
      <c r="V95" s="214">
        <f t="shared" si="15"/>
        <v>5881059.5333846156</v>
      </c>
      <c r="W95" s="214">
        <f t="shared" si="15"/>
        <v>5881059.5333846156</v>
      </c>
      <c r="X95" s="214">
        <f t="shared" si="15"/>
        <v>5881059.5333846156</v>
      </c>
      <c r="Y95" s="214">
        <f t="shared" si="15"/>
        <v>5881059.5333846156</v>
      </c>
      <c r="Z95" s="214">
        <f t="shared" si="15"/>
        <v>5881059.5333846156</v>
      </c>
      <c r="AA95" s="214">
        <f t="shared" si="15"/>
        <v>5881059.5333846156</v>
      </c>
      <c r="AB95" s="214">
        <f t="shared" si="15"/>
        <v>5881059.5333846156</v>
      </c>
      <c r="AC95" s="214">
        <f t="shared" si="15"/>
        <v>5881059.5333846156</v>
      </c>
      <c r="AD95" s="214">
        <f t="shared" si="15"/>
        <v>5881059.5333846156</v>
      </c>
      <c r="AE95" s="214">
        <f t="shared" si="15"/>
        <v>5881059.5333846156</v>
      </c>
      <c r="AF95" s="214">
        <f t="shared" si="15"/>
        <v>5881059.5333846156</v>
      </c>
      <c r="AG95" s="214">
        <f t="shared" si="15"/>
        <v>5881059.5333846156</v>
      </c>
      <c r="AH95" s="214">
        <f t="shared" si="15"/>
        <v>5881059.5333846156</v>
      </c>
      <c r="AI95" s="214">
        <f t="shared" si="15"/>
        <v>5881059.5333846156</v>
      </c>
      <c r="AJ95" s="214">
        <f t="shared" si="15"/>
        <v>5881059.5333846156</v>
      </c>
      <c r="AK95" s="153">
        <f t="shared" si="15"/>
        <v>5881059.5333846156</v>
      </c>
    </row>
    <row r="96" spans="2:37" x14ac:dyDescent="0.25">
      <c r="B96" s="144"/>
      <c r="C96" s="207" t="s">
        <v>185</v>
      </c>
      <c r="D96" s="207"/>
      <c r="E96" s="207"/>
      <c r="F96" s="207"/>
      <c r="G96" s="207"/>
      <c r="H96" s="215">
        <f t="shared" si="14"/>
        <v>2834493.903703846</v>
      </c>
      <c r="I96" s="214">
        <f t="shared" ref="I96:AK96" si="16">+$D6</f>
        <v>3779325.2049384615</v>
      </c>
      <c r="J96" s="214">
        <f t="shared" si="16"/>
        <v>3779325.2049384615</v>
      </c>
      <c r="K96" s="214">
        <f t="shared" si="16"/>
        <v>3779325.2049384615</v>
      </c>
      <c r="L96" s="214">
        <f t="shared" si="16"/>
        <v>3779325.2049384615</v>
      </c>
      <c r="M96" s="214">
        <f t="shared" si="16"/>
        <v>3779325.2049384615</v>
      </c>
      <c r="N96" s="214">
        <f t="shared" si="16"/>
        <v>3779325.2049384615</v>
      </c>
      <c r="O96" s="214">
        <f t="shared" si="16"/>
        <v>3779325.2049384615</v>
      </c>
      <c r="P96" s="214">
        <f t="shared" si="16"/>
        <v>3779325.2049384615</v>
      </c>
      <c r="Q96" s="214">
        <f t="shared" si="16"/>
        <v>3779325.2049384615</v>
      </c>
      <c r="R96" s="214">
        <f t="shared" si="16"/>
        <v>3779325.2049384615</v>
      </c>
      <c r="S96" s="214">
        <f t="shared" si="16"/>
        <v>3779325.2049384615</v>
      </c>
      <c r="T96" s="214">
        <f t="shared" si="16"/>
        <v>3779325.2049384615</v>
      </c>
      <c r="U96" s="214">
        <f t="shared" si="16"/>
        <v>3779325.2049384615</v>
      </c>
      <c r="V96" s="214">
        <f t="shared" si="16"/>
        <v>3779325.2049384615</v>
      </c>
      <c r="W96" s="214">
        <f t="shared" si="16"/>
        <v>3779325.2049384615</v>
      </c>
      <c r="X96" s="214">
        <f t="shared" si="16"/>
        <v>3779325.2049384615</v>
      </c>
      <c r="Y96" s="214">
        <f t="shared" si="16"/>
        <v>3779325.2049384615</v>
      </c>
      <c r="Z96" s="214">
        <f t="shared" si="16"/>
        <v>3779325.2049384615</v>
      </c>
      <c r="AA96" s="214">
        <f t="shared" si="16"/>
        <v>3779325.2049384615</v>
      </c>
      <c r="AB96" s="214">
        <f t="shared" si="16"/>
        <v>3779325.2049384615</v>
      </c>
      <c r="AC96" s="214">
        <f t="shared" si="16"/>
        <v>3779325.2049384615</v>
      </c>
      <c r="AD96" s="214">
        <f t="shared" si="16"/>
        <v>3779325.2049384615</v>
      </c>
      <c r="AE96" s="214">
        <f t="shared" si="16"/>
        <v>3779325.2049384615</v>
      </c>
      <c r="AF96" s="214">
        <f t="shared" si="16"/>
        <v>3779325.2049384615</v>
      </c>
      <c r="AG96" s="214">
        <f t="shared" si="16"/>
        <v>3779325.2049384615</v>
      </c>
      <c r="AH96" s="214">
        <f t="shared" si="16"/>
        <v>3779325.2049384615</v>
      </c>
      <c r="AI96" s="214">
        <f t="shared" si="16"/>
        <v>3779325.2049384615</v>
      </c>
      <c r="AJ96" s="214">
        <f t="shared" si="16"/>
        <v>3779325.2049384615</v>
      </c>
      <c r="AK96" s="153">
        <f t="shared" si="16"/>
        <v>3779325.2049384615</v>
      </c>
    </row>
    <row r="97" spans="2:37" x14ac:dyDescent="0.25">
      <c r="B97" s="144"/>
      <c r="C97" s="207" t="s">
        <v>186</v>
      </c>
      <c r="D97" s="207"/>
      <c r="E97" s="207"/>
      <c r="F97" s="207"/>
      <c r="G97" s="207"/>
      <c r="H97" s="215">
        <f t="shared" si="14"/>
        <v>1314060.9820442307</v>
      </c>
      <c r="I97" s="214">
        <f t="shared" ref="I97:AK97" si="17">+$D7</f>
        <v>1752081.3093923074</v>
      </c>
      <c r="J97" s="214">
        <f t="shared" si="17"/>
        <v>1752081.3093923074</v>
      </c>
      <c r="K97" s="214">
        <f t="shared" si="17"/>
        <v>1752081.3093923074</v>
      </c>
      <c r="L97" s="214">
        <f t="shared" si="17"/>
        <v>1752081.3093923074</v>
      </c>
      <c r="M97" s="214">
        <f t="shared" si="17"/>
        <v>1752081.3093923074</v>
      </c>
      <c r="N97" s="214">
        <f t="shared" si="17"/>
        <v>1752081.3093923074</v>
      </c>
      <c r="O97" s="214">
        <f t="shared" si="17"/>
        <v>1752081.3093923074</v>
      </c>
      <c r="P97" s="214">
        <f t="shared" si="17"/>
        <v>1752081.3093923074</v>
      </c>
      <c r="Q97" s="214">
        <f t="shared" si="17"/>
        <v>1752081.3093923074</v>
      </c>
      <c r="R97" s="214">
        <f t="shared" si="17"/>
        <v>1752081.3093923074</v>
      </c>
      <c r="S97" s="214">
        <f t="shared" si="17"/>
        <v>1752081.3093923074</v>
      </c>
      <c r="T97" s="214">
        <f t="shared" si="17"/>
        <v>1752081.3093923074</v>
      </c>
      <c r="U97" s="214">
        <f t="shared" si="17"/>
        <v>1752081.3093923074</v>
      </c>
      <c r="V97" s="214">
        <f t="shared" si="17"/>
        <v>1752081.3093923074</v>
      </c>
      <c r="W97" s="214">
        <f t="shared" si="17"/>
        <v>1752081.3093923074</v>
      </c>
      <c r="X97" s="214">
        <f t="shared" si="17"/>
        <v>1752081.3093923074</v>
      </c>
      <c r="Y97" s="214">
        <f t="shared" si="17"/>
        <v>1752081.3093923074</v>
      </c>
      <c r="Z97" s="214">
        <f t="shared" si="17"/>
        <v>1752081.3093923074</v>
      </c>
      <c r="AA97" s="214">
        <f t="shared" si="17"/>
        <v>1752081.3093923074</v>
      </c>
      <c r="AB97" s="214">
        <f t="shared" si="17"/>
        <v>1752081.3093923074</v>
      </c>
      <c r="AC97" s="214">
        <f t="shared" si="17"/>
        <v>1752081.3093923074</v>
      </c>
      <c r="AD97" s="214">
        <f t="shared" si="17"/>
        <v>1752081.3093923074</v>
      </c>
      <c r="AE97" s="214">
        <f t="shared" si="17"/>
        <v>1752081.3093923074</v>
      </c>
      <c r="AF97" s="214">
        <f t="shared" si="17"/>
        <v>1752081.3093923074</v>
      </c>
      <c r="AG97" s="214">
        <f t="shared" si="17"/>
        <v>1752081.3093923074</v>
      </c>
      <c r="AH97" s="214">
        <f t="shared" si="17"/>
        <v>1752081.3093923074</v>
      </c>
      <c r="AI97" s="214">
        <f t="shared" si="17"/>
        <v>1752081.3093923074</v>
      </c>
      <c r="AJ97" s="214">
        <f t="shared" si="17"/>
        <v>1752081.3093923074</v>
      </c>
      <c r="AK97" s="153">
        <f t="shared" si="17"/>
        <v>1752081.3093923074</v>
      </c>
    </row>
    <row r="98" spans="2:37" x14ac:dyDescent="0.25">
      <c r="B98" s="144"/>
      <c r="C98" s="207" t="s">
        <v>187</v>
      </c>
      <c r="D98" s="207"/>
      <c r="E98" s="207"/>
      <c r="F98" s="207"/>
      <c r="G98" s="207"/>
      <c r="H98" s="215">
        <f t="shared" si="14"/>
        <v>14341982.261826921</v>
      </c>
      <c r="I98" s="214">
        <f t="shared" ref="I98:AK98" si="18">+$D8</f>
        <v>19122643.015769228</v>
      </c>
      <c r="J98" s="214">
        <f t="shared" si="18"/>
        <v>19122643.015769228</v>
      </c>
      <c r="K98" s="214">
        <f t="shared" si="18"/>
        <v>19122643.015769228</v>
      </c>
      <c r="L98" s="214">
        <f t="shared" si="18"/>
        <v>19122643.015769228</v>
      </c>
      <c r="M98" s="214">
        <f t="shared" si="18"/>
        <v>19122643.015769228</v>
      </c>
      <c r="N98" s="214">
        <f t="shared" si="18"/>
        <v>19122643.015769228</v>
      </c>
      <c r="O98" s="214">
        <f t="shared" si="18"/>
        <v>19122643.015769228</v>
      </c>
      <c r="P98" s="214">
        <f t="shared" si="18"/>
        <v>19122643.015769228</v>
      </c>
      <c r="Q98" s="214">
        <f t="shared" si="18"/>
        <v>19122643.015769228</v>
      </c>
      <c r="R98" s="214">
        <f t="shared" si="18"/>
        <v>19122643.015769228</v>
      </c>
      <c r="S98" s="214">
        <f t="shared" si="18"/>
        <v>19122643.015769228</v>
      </c>
      <c r="T98" s="214">
        <f t="shared" si="18"/>
        <v>19122643.015769228</v>
      </c>
      <c r="U98" s="214">
        <f t="shared" si="18"/>
        <v>19122643.015769228</v>
      </c>
      <c r="V98" s="214">
        <f t="shared" si="18"/>
        <v>19122643.015769228</v>
      </c>
      <c r="W98" s="214">
        <f t="shared" si="18"/>
        <v>19122643.015769228</v>
      </c>
      <c r="X98" s="214">
        <f t="shared" si="18"/>
        <v>19122643.015769228</v>
      </c>
      <c r="Y98" s="214">
        <f t="shared" si="18"/>
        <v>19122643.015769228</v>
      </c>
      <c r="Z98" s="214">
        <f t="shared" si="18"/>
        <v>19122643.015769228</v>
      </c>
      <c r="AA98" s="214">
        <f t="shared" si="18"/>
        <v>19122643.015769228</v>
      </c>
      <c r="AB98" s="214">
        <f t="shared" si="18"/>
        <v>19122643.015769228</v>
      </c>
      <c r="AC98" s="214">
        <f t="shared" si="18"/>
        <v>19122643.015769228</v>
      </c>
      <c r="AD98" s="214">
        <f t="shared" si="18"/>
        <v>19122643.015769228</v>
      </c>
      <c r="AE98" s="214">
        <f t="shared" si="18"/>
        <v>19122643.015769228</v>
      </c>
      <c r="AF98" s="214">
        <f t="shared" si="18"/>
        <v>19122643.015769228</v>
      </c>
      <c r="AG98" s="214">
        <f t="shared" si="18"/>
        <v>19122643.015769228</v>
      </c>
      <c r="AH98" s="214">
        <f t="shared" si="18"/>
        <v>19122643.015769228</v>
      </c>
      <c r="AI98" s="214">
        <f t="shared" si="18"/>
        <v>19122643.015769228</v>
      </c>
      <c r="AJ98" s="214">
        <f t="shared" si="18"/>
        <v>19122643.015769228</v>
      </c>
      <c r="AK98" s="153">
        <f t="shared" si="18"/>
        <v>19122643.015769228</v>
      </c>
    </row>
    <row r="99" spans="2:37" x14ac:dyDescent="0.25">
      <c r="B99" s="144"/>
      <c r="C99" s="207" t="s">
        <v>188</v>
      </c>
      <c r="D99" s="207"/>
      <c r="E99" s="207"/>
      <c r="F99" s="207"/>
      <c r="G99" s="207"/>
      <c r="H99" s="215">
        <f t="shared" si="14"/>
        <v>3270918.3327000001</v>
      </c>
      <c r="I99" s="214">
        <f t="shared" ref="I99:AK99" si="19">+$D9</f>
        <v>4361224.4435999999</v>
      </c>
      <c r="J99" s="214">
        <f t="shared" si="19"/>
        <v>4361224.4435999999</v>
      </c>
      <c r="K99" s="214">
        <f t="shared" si="19"/>
        <v>4361224.4435999999</v>
      </c>
      <c r="L99" s="214">
        <f t="shared" si="19"/>
        <v>4361224.4435999999</v>
      </c>
      <c r="M99" s="214">
        <f t="shared" si="19"/>
        <v>4361224.4435999999</v>
      </c>
      <c r="N99" s="214">
        <f t="shared" si="19"/>
        <v>4361224.4435999999</v>
      </c>
      <c r="O99" s="214">
        <f t="shared" si="19"/>
        <v>4361224.4435999999</v>
      </c>
      <c r="P99" s="214">
        <f t="shared" si="19"/>
        <v>4361224.4435999999</v>
      </c>
      <c r="Q99" s="214">
        <f t="shared" si="19"/>
        <v>4361224.4435999999</v>
      </c>
      <c r="R99" s="214">
        <f t="shared" si="19"/>
        <v>4361224.4435999999</v>
      </c>
      <c r="S99" s="214">
        <f t="shared" si="19"/>
        <v>4361224.4435999999</v>
      </c>
      <c r="T99" s="214">
        <f t="shared" si="19"/>
        <v>4361224.4435999999</v>
      </c>
      <c r="U99" s="214">
        <f t="shared" si="19"/>
        <v>4361224.4435999999</v>
      </c>
      <c r="V99" s="214">
        <f t="shared" si="19"/>
        <v>4361224.4435999999</v>
      </c>
      <c r="W99" s="214">
        <f t="shared" si="19"/>
        <v>4361224.4435999999</v>
      </c>
      <c r="X99" s="214">
        <f t="shared" si="19"/>
        <v>4361224.4435999999</v>
      </c>
      <c r="Y99" s="214">
        <f t="shared" si="19"/>
        <v>4361224.4435999999</v>
      </c>
      <c r="Z99" s="214">
        <f t="shared" si="19"/>
        <v>4361224.4435999999</v>
      </c>
      <c r="AA99" s="214">
        <f t="shared" si="19"/>
        <v>4361224.4435999999</v>
      </c>
      <c r="AB99" s="214">
        <f t="shared" si="19"/>
        <v>4361224.4435999999</v>
      </c>
      <c r="AC99" s="214">
        <f t="shared" si="19"/>
        <v>4361224.4435999999</v>
      </c>
      <c r="AD99" s="214">
        <f t="shared" si="19"/>
        <v>4361224.4435999999</v>
      </c>
      <c r="AE99" s="214">
        <f t="shared" si="19"/>
        <v>4361224.4435999999</v>
      </c>
      <c r="AF99" s="214">
        <f t="shared" si="19"/>
        <v>4361224.4435999999</v>
      </c>
      <c r="AG99" s="214">
        <f t="shared" si="19"/>
        <v>4361224.4435999999</v>
      </c>
      <c r="AH99" s="214">
        <f t="shared" si="19"/>
        <v>4361224.4435999999</v>
      </c>
      <c r="AI99" s="214">
        <f t="shared" si="19"/>
        <v>4361224.4435999999</v>
      </c>
      <c r="AJ99" s="214">
        <f t="shared" si="19"/>
        <v>4361224.4435999999</v>
      </c>
      <c r="AK99" s="153">
        <f t="shared" si="19"/>
        <v>4361224.4435999999</v>
      </c>
    </row>
    <row r="100" spans="2:37" x14ac:dyDescent="0.25">
      <c r="B100" s="144"/>
      <c r="C100" s="207" t="s">
        <v>189</v>
      </c>
      <c r="D100" s="207"/>
      <c r="E100" s="207"/>
      <c r="F100" s="207"/>
      <c r="G100" s="207"/>
      <c r="H100" s="215">
        <f t="shared" si="14"/>
        <v>2943826.4994750004</v>
      </c>
      <c r="I100" s="214">
        <f t="shared" ref="I100:AK100" si="20">+$D10</f>
        <v>3925101.9993000007</v>
      </c>
      <c r="J100" s="214">
        <f t="shared" si="20"/>
        <v>3925101.9993000007</v>
      </c>
      <c r="K100" s="214">
        <f t="shared" si="20"/>
        <v>3925101.9993000007</v>
      </c>
      <c r="L100" s="214">
        <f t="shared" si="20"/>
        <v>3925101.9993000007</v>
      </c>
      <c r="M100" s="214">
        <f t="shared" si="20"/>
        <v>3925101.9993000007</v>
      </c>
      <c r="N100" s="214">
        <f t="shared" si="20"/>
        <v>3925101.9993000007</v>
      </c>
      <c r="O100" s="214">
        <f t="shared" si="20"/>
        <v>3925101.9993000007</v>
      </c>
      <c r="P100" s="214">
        <f t="shared" si="20"/>
        <v>3925101.9993000007</v>
      </c>
      <c r="Q100" s="214">
        <f t="shared" si="20"/>
        <v>3925101.9993000007</v>
      </c>
      <c r="R100" s="214">
        <f t="shared" si="20"/>
        <v>3925101.9993000007</v>
      </c>
      <c r="S100" s="214">
        <f t="shared" si="20"/>
        <v>3925101.9993000007</v>
      </c>
      <c r="T100" s="214">
        <f t="shared" si="20"/>
        <v>3925101.9993000007</v>
      </c>
      <c r="U100" s="214">
        <f t="shared" si="20"/>
        <v>3925101.9993000007</v>
      </c>
      <c r="V100" s="214">
        <f t="shared" si="20"/>
        <v>3925101.9993000007</v>
      </c>
      <c r="W100" s="214">
        <f t="shared" si="20"/>
        <v>3925101.9993000007</v>
      </c>
      <c r="X100" s="214">
        <f t="shared" si="20"/>
        <v>3925101.9993000007</v>
      </c>
      <c r="Y100" s="214">
        <f t="shared" si="20"/>
        <v>3925101.9993000007</v>
      </c>
      <c r="Z100" s="214">
        <f t="shared" si="20"/>
        <v>3925101.9993000007</v>
      </c>
      <c r="AA100" s="214">
        <f t="shared" si="20"/>
        <v>3925101.9993000007</v>
      </c>
      <c r="AB100" s="214">
        <f t="shared" si="20"/>
        <v>3925101.9993000007</v>
      </c>
      <c r="AC100" s="214">
        <f t="shared" si="20"/>
        <v>3925101.9993000007</v>
      </c>
      <c r="AD100" s="214">
        <f t="shared" si="20"/>
        <v>3925101.9993000007</v>
      </c>
      <c r="AE100" s="214">
        <f t="shared" si="20"/>
        <v>3925101.9993000007</v>
      </c>
      <c r="AF100" s="214">
        <f t="shared" si="20"/>
        <v>3925101.9993000007</v>
      </c>
      <c r="AG100" s="214">
        <f t="shared" si="20"/>
        <v>3925101.9993000007</v>
      </c>
      <c r="AH100" s="214">
        <f t="shared" si="20"/>
        <v>3925101.9993000007</v>
      </c>
      <c r="AI100" s="214">
        <f t="shared" si="20"/>
        <v>3925101.9993000007</v>
      </c>
      <c r="AJ100" s="214">
        <f t="shared" si="20"/>
        <v>3925101.9993000007</v>
      </c>
      <c r="AK100" s="153">
        <f t="shared" si="20"/>
        <v>3925101.9993000007</v>
      </c>
    </row>
    <row r="101" spans="2:37" x14ac:dyDescent="0.25">
      <c r="B101" s="144"/>
      <c r="C101" s="207" t="s">
        <v>190</v>
      </c>
      <c r="D101" s="207"/>
      <c r="E101" s="207"/>
      <c r="F101" s="207"/>
      <c r="G101" s="207"/>
      <c r="H101" s="215">
        <f t="shared" si="14"/>
        <v>2039800.5923596155</v>
      </c>
      <c r="I101" s="214">
        <f t="shared" ref="I101:AK101" si="21">+$D11</f>
        <v>2719734.123146154</v>
      </c>
      <c r="J101" s="214">
        <f t="shared" si="21"/>
        <v>2719734.123146154</v>
      </c>
      <c r="K101" s="214">
        <f t="shared" si="21"/>
        <v>2719734.123146154</v>
      </c>
      <c r="L101" s="214">
        <f t="shared" si="21"/>
        <v>2719734.123146154</v>
      </c>
      <c r="M101" s="214">
        <f t="shared" si="21"/>
        <v>2719734.123146154</v>
      </c>
      <c r="N101" s="214">
        <f t="shared" si="21"/>
        <v>2719734.123146154</v>
      </c>
      <c r="O101" s="214">
        <f t="shared" si="21"/>
        <v>2719734.123146154</v>
      </c>
      <c r="P101" s="214">
        <f t="shared" si="21"/>
        <v>2719734.123146154</v>
      </c>
      <c r="Q101" s="214">
        <f t="shared" si="21"/>
        <v>2719734.123146154</v>
      </c>
      <c r="R101" s="214">
        <f t="shared" si="21"/>
        <v>2719734.123146154</v>
      </c>
      <c r="S101" s="214">
        <f t="shared" si="21"/>
        <v>2719734.123146154</v>
      </c>
      <c r="T101" s="214">
        <f t="shared" si="21"/>
        <v>2719734.123146154</v>
      </c>
      <c r="U101" s="214">
        <f t="shared" si="21"/>
        <v>2719734.123146154</v>
      </c>
      <c r="V101" s="214">
        <f t="shared" si="21"/>
        <v>2719734.123146154</v>
      </c>
      <c r="W101" s="214">
        <f t="shared" si="21"/>
        <v>2719734.123146154</v>
      </c>
      <c r="X101" s="214">
        <f t="shared" si="21"/>
        <v>2719734.123146154</v>
      </c>
      <c r="Y101" s="214">
        <f t="shared" si="21"/>
        <v>2719734.123146154</v>
      </c>
      <c r="Z101" s="214">
        <f t="shared" si="21"/>
        <v>2719734.123146154</v>
      </c>
      <c r="AA101" s="214">
        <f t="shared" si="21"/>
        <v>2719734.123146154</v>
      </c>
      <c r="AB101" s="214">
        <f t="shared" si="21"/>
        <v>2719734.123146154</v>
      </c>
      <c r="AC101" s="214">
        <f t="shared" si="21"/>
        <v>2719734.123146154</v>
      </c>
      <c r="AD101" s="214">
        <f t="shared" si="21"/>
        <v>2719734.123146154</v>
      </c>
      <c r="AE101" s="214">
        <f t="shared" si="21"/>
        <v>2719734.123146154</v>
      </c>
      <c r="AF101" s="214">
        <f t="shared" si="21"/>
        <v>2719734.123146154</v>
      </c>
      <c r="AG101" s="214">
        <f t="shared" si="21"/>
        <v>2719734.123146154</v>
      </c>
      <c r="AH101" s="214">
        <f t="shared" si="21"/>
        <v>2719734.123146154</v>
      </c>
      <c r="AI101" s="214">
        <f t="shared" si="21"/>
        <v>2719734.123146154</v>
      </c>
      <c r="AJ101" s="214">
        <f t="shared" si="21"/>
        <v>2719734.123146154</v>
      </c>
      <c r="AK101" s="153">
        <f t="shared" si="21"/>
        <v>2719734.123146154</v>
      </c>
    </row>
    <row r="102" spans="2:37" x14ac:dyDescent="0.25">
      <c r="B102" s="144"/>
      <c r="C102" s="207" t="s">
        <v>191</v>
      </c>
      <c r="D102" s="207"/>
      <c r="E102" s="207"/>
      <c r="F102" s="207"/>
      <c r="G102" s="207"/>
      <c r="H102" s="215">
        <f t="shared" si="14"/>
        <v>2113411.7588596153</v>
      </c>
      <c r="I102" s="214">
        <f t="shared" ref="I102:AK102" si="22">+$D12</f>
        <v>2817882.3451461536</v>
      </c>
      <c r="J102" s="214">
        <f t="shared" si="22"/>
        <v>2817882.3451461536</v>
      </c>
      <c r="K102" s="214">
        <f t="shared" si="22"/>
        <v>2817882.3451461536</v>
      </c>
      <c r="L102" s="214">
        <f t="shared" si="22"/>
        <v>2817882.3451461536</v>
      </c>
      <c r="M102" s="214">
        <f t="shared" si="22"/>
        <v>2817882.3451461536</v>
      </c>
      <c r="N102" s="214">
        <f t="shared" si="22"/>
        <v>2817882.3451461536</v>
      </c>
      <c r="O102" s="214">
        <f t="shared" si="22"/>
        <v>2817882.3451461536</v>
      </c>
      <c r="P102" s="214">
        <f t="shared" si="22"/>
        <v>2817882.3451461536</v>
      </c>
      <c r="Q102" s="214">
        <f t="shared" si="22"/>
        <v>2817882.3451461536</v>
      </c>
      <c r="R102" s="214">
        <f t="shared" si="22"/>
        <v>2817882.3451461536</v>
      </c>
      <c r="S102" s="214">
        <f t="shared" si="22"/>
        <v>2817882.3451461536</v>
      </c>
      <c r="T102" s="214">
        <f t="shared" si="22"/>
        <v>2817882.3451461536</v>
      </c>
      <c r="U102" s="214">
        <f t="shared" si="22"/>
        <v>2817882.3451461536</v>
      </c>
      <c r="V102" s="214">
        <f t="shared" si="22"/>
        <v>2817882.3451461536</v>
      </c>
      <c r="W102" s="214">
        <f t="shared" si="22"/>
        <v>2817882.3451461536</v>
      </c>
      <c r="X102" s="214">
        <f t="shared" si="22"/>
        <v>2817882.3451461536</v>
      </c>
      <c r="Y102" s="214">
        <f t="shared" si="22"/>
        <v>2817882.3451461536</v>
      </c>
      <c r="Z102" s="214">
        <f t="shared" si="22"/>
        <v>2817882.3451461536</v>
      </c>
      <c r="AA102" s="214">
        <f t="shared" si="22"/>
        <v>2817882.3451461536</v>
      </c>
      <c r="AB102" s="214">
        <f t="shared" si="22"/>
        <v>2817882.3451461536</v>
      </c>
      <c r="AC102" s="214">
        <f t="shared" si="22"/>
        <v>2817882.3451461536</v>
      </c>
      <c r="AD102" s="214">
        <f t="shared" si="22"/>
        <v>2817882.3451461536</v>
      </c>
      <c r="AE102" s="214">
        <f t="shared" si="22"/>
        <v>2817882.3451461536</v>
      </c>
      <c r="AF102" s="214">
        <f t="shared" si="22"/>
        <v>2817882.3451461536</v>
      </c>
      <c r="AG102" s="214">
        <f t="shared" si="22"/>
        <v>2817882.3451461536</v>
      </c>
      <c r="AH102" s="214">
        <f t="shared" si="22"/>
        <v>2817882.3451461536</v>
      </c>
      <c r="AI102" s="214">
        <f t="shared" si="22"/>
        <v>2817882.3451461536</v>
      </c>
      <c r="AJ102" s="214">
        <f t="shared" si="22"/>
        <v>2817882.3451461536</v>
      </c>
      <c r="AK102" s="153">
        <f t="shared" si="22"/>
        <v>2817882.3451461536</v>
      </c>
    </row>
    <row r="103" spans="2:37" x14ac:dyDescent="0.25">
      <c r="B103" s="144"/>
      <c r="C103" s="207" t="s">
        <v>501</v>
      </c>
      <c r="D103" s="207"/>
      <c r="E103" s="207"/>
      <c r="F103" s="207"/>
      <c r="G103" s="207"/>
      <c r="H103" s="215">
        <f t="shared" si="14"/>
        <v>0</v>
      </c>
      <c r="I103" s="214">
        <f t="shared" ref="I103:I117" si="23">+$D13</f>
        <v>0</v>
      </c>
      <c r="J103" s="214">
        <f t="shared" ref="J103:AK103" si="24">+$D13</f>
        <v>0</v>
      </c>
      <c r="K103" s="214">
        <f t="shared" si="24"/>
        <v>0</v>
      </c>
      <c r="L103" s="214">
        <f t="shared" si="24"/>
        <v>0</v>
      </c>
      <c r="M103" s="214">
        <f t="shared" si="24"/>
        <v>0</v>
      </c>
      <c r="N103" s="214">
        <f t="shared" si="24"/>
        <v>0</v>
      </c>
      <c r="O103" s="214">
        <f t="shared" si="24"/>
        <v>0</v>
      </c>
      <c r="P103" s="214">
        <f t="shared" si="24"/>
        <v>0</v>
      </c>
      <c r="Q103" s="214">
        <f t="shared" si="24"/>
        <v>0</v>
      </c>
      <c r="R103" s="214">
        <f t="shared" si="24"/>
        <v>0</v>
      </c>
      <c r="S103" s="214">
        <f t="shared" si="24"/>
        <v>0</v>
      </c>
      <c r="T103" s="214">
        <f t="shared" si="24"/>
        <v>0</v>
      </c>
      <c r="U103" s="214">
        <f t="shared" si="24"/>
        <v>0</v>
      </c>
      <c r="V103" s="214">
        <f t="shared" si="24"/>
        <v>0</v>
      </c>
      <c r="W103" s="214">
        <f t="shared" si="24"/>
        <v>0</v>
      </c>
      <c r="X103" s="214">
        <f t="shared" si="24"/>
        <v>0</v>
      </c>
      <c r="Y103" s="214">
        <f t="shared" si="24"/>
        <v>0</v>
      </c>
      <c r="Z103" s="214">
        <f t="shared" si="24"/>
        <v>0</v>
      </c>
      <c r="AA103" s="214">
        <f t="shared" si="24"/>
        <v>0</v>
      </c>
      <c r="AB103" s="214">
        <f t="shared" si="24"/>
        <v>0</v>
      </c>
      <c r="AC103" s="214">
        <f t="shared" si="24"/>
        <v>0</v>
      </c>
      <c r="AD103" s="214">
        <f t="shared" si="24"/>
        <v>0</v>
      </c>
      <c r="AE103" s="214">
        <f t="shared" si="24"/>
        <v>0</v>
      </c>
      <c r="AF103" s="214">
        <f t="shared" si="24"/>
        <v>0</v>
      </c>
      <c r="AG103" s="214">
        <f t="shared" si="24"/>
        <v>0</v>
      </c>
      <c r="AH103" s="214">
        <f t="shared" si="24"/>
        <v>0</v>
      </c>
      <c r="AI103" s="214">
        <f t="shared" si="24"/>
        <v>0</v>
      </c>
      <c r="AJ103" s="214">
        <f t="shared" si="24"/>
        <v>0</v>
      </c>
      <c r="AK103" s="214">
        <f t="shared" si="24"/>
        <v>0</v>
      </c>
    </row>
    <row r="104" spans="2:37" x14ac:dyDescent="0.25">
      <c r="B104" s="144"/>
      <c r="C104" s="207" t="s">
        <v>396</v>
      </c>
      <c r="D104" s="207"/>
      <c r="E104" s="207"/>
      <c r="F104" s="207"/>
      <c r="G104" s="207"/>
      <c r="H104" s="215">
        <f t="shared" si="14"/>
        <v>195923.90338384616</v>
      </c>
      <c r="I104" s="214">
        <f t="shared" si="23"/>
        <v>261231.87117846153</v>
      </c>
      <c r="J104" s="214">
        <f t="shared" ref="J104:AK104" si="25">+$D14</f>
        <v>261231.87117846153</v>
      </c>
      <c r="K104" s="214">
        <f t="shared" si="25"/>
        <v>261231.87117846153</v>
      </c>
      <c r="L104" s="214">
        <f t="shared" si="25"/>
        <v>261231.87117846153</v>
      </c>
      <c r="M104" s="214">
        <f t="shared" si="25"/>
        <v>261231.87117846153</v>
      </c>
      <c r="N104" s="214">
        <f t="shared" si="25"/>
        <v>261231.87117846153</v>
      </c>
      <c r="O104" s="214">
        <f t="shared" si="25"/>
        <v>261231.87117846153</v>
      </c>
      <c r="P104" s="214">
        <f t="shared" si="25"/>
        <v>261231.87117846153</v>
      </c>
      <c r="Q104" s="214">
        <f t="shared" si="25"/>
        <v>261231.87117846153</v>
      </c>
      <c r="R104" s="214">
        <f t="shared" si="25"/>
        <v>261231.87117846153</v>
      </c>
      <c r="S104" s="214">
        <f t="shared" si="25"/>
        <v>261231.87117846153</v>
      </c>
      <c r="T104" s="214">
        <f t="shared" si="25"/>
        <v>261231.87117846153</v>
      </c>
      <c r="U104" s="214">
        <f t="shared" si="25"/>
        <v>261231.87117846153</v>
      </c>
      <c r="V104" s="214">
        <f t="shared" si="25"/>
        <v>261231.87117846153</v>
      </c>
      <c r="W104" s="214">
        <f t="shared" si="25"/>
        <v>261231.87117846153</v>
      </c>
      <c r="X104" s="214">
        <f t="shared" si="25"/>
        <v>261231.87117846153</v>
      </c>
      <c r="Y104" s="214">
        <f t="shared" si="25"/>
        <v>261231.87117846153</v>
      </c>
      <c r="Z104" s="214">
        <f t="shared" si="25"/>
        <v>261231.87117846153</v>
      </c>
      <c r="AA104" s="214">
        <f t="shared" si="25"/>
        <v>261231.87117846153</v>
      </c>
      <c r="AB104" s="214">
        <f t="shared" si="25"/>
        <v>261231.87117846153</v>
      </c>
      <c r="AC104" s="214">
        <f t="shared" si="25"/>
        <v>261231.87117846153</v>
      </c>
      <c r="AD104" s="214">
        <f t="shared" si="25"/>
        <v>261231.87117846153</v>
      </c>
      <c r="AE104" s="214">
        <f t="shared" si="25"/>
        <v>261231.87117846153</v>
      </c>
      <c r="AF104" s="214">
        <f t="shared" si="25"/>
        <v>261231.87117846153</v>
      </c>
      <c r="AG104" s="214">
        <f t="shared" si="25"/>
        <v>261231.87117846153</v>
      </c>
      <c r="AH104" s="214">
        <f t="shared" si="25"/>
        <v>261231.87117846153</v>
      </c>
      <c r="AI104" s="214">
        <f t="shared" si="25"/>
        <v>261231.87117846153</v>
      </c>
      <c r="AJ104" s="214">
        <f t="shared" si="25"/>
        <v>261231.87117846153</v>
      </c>
      <c r="AK104" s="153">
        <f t="shared" si="25"/>
        <v>261231.87117846153</v>
      </c>
    </row>
    <row r="105" spans="2:37" x14ac:dyDescent="0.25">
      <c r="B105" s="144"/>
      <c r="C105" s="207" t="s">
        <v>397</v>
      </c>
      <c r="D105" s="207"/>
      <c r="E105" s="207"/>
      <c r="F105" s="207"/>
      <c r="G105" s="207"/>
      <c r="H105" s="215">
        <f t="shared" si="14"/>
        <v>41743.775472346148</v>
      </c>
      <c r="I105" s="214">
        <f t="shared" si="23"/>
        <v>55658.367296461533</v>
      </c>
      <c r="J105" s="214">
        <f t="shared" ref="J105:AK105" si="26">+$D15</f>
        <v>55658.367296461533</v>
      </c>
      <c r="K105" s="214">
        <f t="shared" si="26"/>
        <v>55658.367296461533</v>
      </c>
      <c r="L105" s="214">
        <f t="shared" si="26"/>
        <v>55658.367296461533</v>
      </c>
      <c r="M105" s="214">
        <f t="shared" si="26"/>
        <v>55658.367296461533</v>
      </c>
      <c r="N105" s="214">
        <f t="shared" si="26"/>
        <v>55658.367296461533</v>
      </c>
      <c r="O105" s="214">
        <f t="shared" si="26"/>
        <v>55658.367296461533</v>
      </c>
      <c r="P105" s="214">
        <f t="shared" si="26"/>
        <v>55658.367296461533</v>
      </c>
      <c r="Q105" s="214">
        <f t="shared" si="26"/>
        <v>55658.367296461533</v>
      </c>
      <c r="R105" s="214">
        <f t="shared" si="26"/>
        <v>55658.367296461533</v>
      </c>
      <c r="S105" s="214">
        <f t="shared" si="26"/>
        <v>55658.367296461533</v>
      </c>
      <c r="T105" s="214">
        <f t="shared" si="26"/>
        <v>55658.367296461533</v>
      </c>
      <c r="U105" s="214">
        <f t="shared" si="26"/>
        <v>55658.367296461533</v>
      </c>
      <c r="V105" s="214">
        <f t="shared" si="26"/>
        <v>55658.367296461533</v>
      </c>
      <c r="W105" s="214">
        <f t="shared" si="26"/>
        <v>55658.367296461533</v>
      </c>
      <c r="X105" s="214">
        <f t="shared" si="26"/>
        <v>55658.367296461533</v>
      </c>
      <c r="Y105" s="214">
        <f t="shared" si="26"/>
        <v>55658.367296461533</v>
      </c>
      <c r="Z105" s="214">
        <f t="shared" si="26"/>
        <v>55658.367296461533</v>
      </c>
      <c r="AA105" s="214">
        <f t="shared" si="26"/>
        <v>55658.367296461533</v>
      </c>
      <c r="AB105" s="214">
        <f t="shared" si="26"/>
        <v>55658.367296461533</v>
      </c>
      <c r="AC105" s="214">
        <f t="shared" si="26"/>
        <v>55658.367296461533</v>
      </c>
      <c r="AD105" s="214">
        <f t="shared" si="26"/>
        <v>55658.367296461533</v>
      </c>
      <c r="AE105" s="214">
        <f t="shared" si="26"/>
        <v>55658.367296461533</v>
      </c>
      <c r="AF105" s="214">
        <f t="shared" si="26"/>
        <v>55658.367296461533</v>
      </c>
      <c r="AG105" s="214">
        <f t="shared" si="26"/>
        <v>55658.367296461533</v>
      </c>
      <c r="AH105" s="214">
        <f t="shared" si="26"/>
        <v>55658.367296461533</v>
      </c>
      <c r="AI105" s="214">
        <f t="shared" si="26"/>
        <v>55658.367296461533</v>
      </c>
      <c r="AJ105" s="214">
        <f t="shared" si="26"/>
        <v>55658.367296461533</v>
      </c>
      <c r="AK105" s="153">
        <f t="shared" si="26"/>
        <v>55658.367296461533</v>
      </c>
    </row>
    <row r="106" spans="2:37" x14ac:dyDescent="0.25">
      <c r="B106" s="144"/>
      <c r="C106" s="207" t="s">
        <v>398</v>
      </c>
      <c r="D106" s="207"/>
      <c r="E106" s="207"/>
      <c r="F106" s="207"/>
      <c r="G106" s="207"/>
      <c r="H106" s="215">
        <f t="shared" si="14"/>
        <v>55658.367296480763</v>
      </c>
      <c r="I106" s="214">
        <f t="shared" si="23"/>
        <v>74211.156395307684</v>
      </c>
      <c r="J106" s="214">
        <f t="shared" ref="J106:AK106" si="27">+$D16</f>
        <v>74211.156395307684</v>
      </c>
      <c r="K106" s="214">
        <f t="shared" si="27"/>
        <v>74211.156395307684</v>
      </c>
      <c r="L106" s="214">
        <f t="shared" si="27"/>
        <v>74211.156395307684</v>
      </c>
      <c r="M106" s="214">
        <f t="shared" si="27"/>
        <v>74211.156395307684</v>
      </c>
      <c r="N106" s="214">
        <f t="shared" si="27"/>
        <v>74211.156395307684</v>
      </c>
      <c r="O106" s="214">
        <f t="shared" si="27"/>
        <v>74211.156395307684</v>
      </c>
      <c r="P106" s="214">
        <f t="shared" si="27"/>
        <v>74211.156395307684</v>
      </c>
      <c r="Q106" s="214">
        <f t="shared" si="27"/>
        <v>74211.156395307684</v>
      </c>
      <c r="R106" s="214">
        <f t="shared" si="27"/>
        <v>74211.156395307684</v>
      </c>
      <c r="S106" s="214">
        <f t="shared" si="27"/>
        <v>74211.156395307684</v>
      </c>
      <c r="T106" s="214">
        <f t="shared" si="27"/>
        <v>74211.156395307684</v>
      </c>
      <c r="U106" s="214">
        <f t="shared" si="27"/>
        <v>74211.156395307684</v>
      </c>
      <c r="V106" s="214">
        <f t="shared" si="27"/>
        <v>74211.156395307684</v>
      </c>
      <c r="W106" s="214">
        <f t="shared" si="27"/>
        <v>74211.156395307684</v>
      </c>
      <c r="X106" s="214">
        <f t="shared" si="27"/>
        <v>74211.156395307684</v>
      </c>
      <c r="Y106" s="214">
        <f t="shared" si="27"/>
        <v>74211.156395307684</v>
      </c>
      <c r="Z106" s="214">
        <f t="shared" si="27"/>
        <v>74211.156395307684</v>
      </c>
      <c r="AA106" s="214">
        <f t="shared" si="27"/>
        <v>74211.156395307684</v>
      </c>
      <c r="AB106" s="214">
        <f t="shared" si="27"/>
        <v>74211.156395307684</v>
      </c>
      <c r="AC106" s="214">
        <f t="shared" si="27"/>
        <v>74211.156395307684</v>
      </c>
      <c r="AD106" s="214">
        <f t="shared" si="27"/>
        <v>74211.156395307684</v>
      </c>
      <c r="AE106" s="214">
        <f t="shared" si="27"/>
        <v>74211.156395307684</v>
      </c>
      <c r="AF106" s="214">
        <f t="shared" si="27"/>
        <v>74211.156395307684</v>
      </c>
      <c r="AG106" s="214">
        <f t="shared" si="27"/>
        <v>74211.156395307684</v>
      </c>
      <c r="AH106" s="214">
        <f t="shared" si="27"/>
        <v>74211.156395307684</v>
      </c>
      <c r="AI106" s="214">
        <f t="shared" si="27"/>
        <v>74211.156395307684</v>
      </c>
      <c r="AJ106" s="214">
        <f t="shared" si="27"/>
        <v>74211.156395307684</v>
      </c>
      <c r="AK106" s="153">
        <f t="shared" si="27"/>
        <v>74211.156395307684</v>
      </c>
    </row>
    <row r="107" spans="2:37" x14ac:dyDescent="0.25">
      <c r="B107" s="144"/>
      <c r="C107" s="207" t="s">
        <v>399</v>
      </c>
      <c r="D107" s="207"/>
      <c r="E107" s="207"/>
      <c r="F107" s="207"/>
      <c r="G107" s="207"/>
      <c r="H107" s="215">
        <f t="shared" si="14"/>
        <v>84264.352249038449</v>
      </c>
      <c r="I107" s="214">
        <f t="shared" si="23"/>
        <v>112352.4696653846</v>
      </c>
      <c r="J107" s="214">
        <f t="shared" ref="J107:AK107" si="28">+$D17</f>
        <v>112352.4696653846</v>
      </c>
      <c r="K107" s="214">
        <f t="shared" si="28"/>
        <v>112352.4696653846</v>
      </c>
      <c r="L107" s="214">
        <f t="shared" si="28"/>
        <v>112352.4696653846</v>
      </c>
      <c r="M107" s="214">
        <f t="shared" si="28"/>
        <v>112352.4696653846</v>
      </c>
      <c r="N107" s="214">
        <f t="shared" si="28"/>
        <v>112352.4696653846</v>
      </c>
      <c r="O107" s="214">
        <f t="shared" si="28"/>
        <v>112352.4696653846</v>
      </c>
      <c r="P107" s="214">
        <f t="shared" si="28"/>
        <v>112352.4696653846</v>
      </c>
      <c r="Q107" s="214">
        <f t="shared" si="28"/>
        <v>112352.4696653846</v>
      </c>
      <c r="R107" s="214">
        <f t="shared" si="28"/>
        <v>112352.4696653846</v>
      </c>
      <c r="S107" s="214">
        <f t="shared" si="28"/>
        <v>112352.4696653846</v>
      </c>
      <c r="T107" s="214">
        <f t="shared" si="28"/>
        <v>112352.4696653846</v>
      </c>
      <c r="U107" s="214">
        <f t="shared" si="28"/>
        <v>112352.4696653846</v>
      </c>
      <c r="V107" s="214">
        <f t="shared" si="28"/>
        <v>112352.4696653846</v>
      </c>
      <c r="W107" s="214">
        <f t="shared" si="28"/>
        <v>112352.4696653846</v>
      </c>
      <c r="X107" s="214">
        <f t="shared" si="28"/>
        <v>112352.4696653846</v>
      </c>
      <c r="Y107" s="214">
        <f t="shared" si="28"/>
        <v>112352.4696653846</v>
      </c>
      <c r="Z107" s="214">
        <f t="shared" si="28"/>
        <v>112352.4696653846</v>
      </c>
      <c r="AA107" s="214">
        <f t="shared" si="28"/>
        <v>112352.4696653846</v>
      </c>
      <c r="AB107" s="214">
        <f t="shared" si="28"/>
        <v>112352.4696653846</v>
      </c>
      <c r="AC107" s="214">
        <f t="shared" si="28"/>
        <v>112352.4696653846</v>
      </c>
      <c r="AD107" s="214">
        <f t="shared" si="28"/>
        <v>112352.4696653846</v>
      </c>
      <c r="AE107" s="214">
        <f t="shared" si="28"/>
        <v>112352.4696653846</v>
      </c>
      <c r="AF107" s="214">
        <f t="shared" si="28"/>
        <v>112352.4696653846</v>
      </c>
      <c r="AG107" s="214">
        <f t="shared" si="28"/>
        <v>112352.4696653846</v>
      </c>
      <c r="AH107" s="214">
        <f t="shared" si="28"/>
        <v>112352.4696653846</v>
      </c>
      <c r="AI107" s="214">
        <f t="shared" si="28"/>
        <v>112352.4696653846</v>
      </c>
      <c r="AJ107" s="214">
        <f t="shared" si="28"/>
        <v>112352.4696653846</v>
      </c>
      <c r="AK107" s="153">
        <f t="shared" si="28"/>
        <v>112352.4696653846</v>
      </c>
    </row>
    <row r="108" spans="2:37" x14ac:dyDescent="0.25">
      <c r="B108" s="144"/>
      <c r="C108" s="207" t="s">
        <v>400</v>
      </c>
      <c r="D108" s="207"/>
      <c r="E108" s="207"/>
      <c r="F108" s="207"/>
      <c r="G108" s="207"/>
      <c r="H108" s="215">
        <f t="shared" si="14"/>
        <v>0</v>
      </c>
      <c r="I108" s="214">
        <f t="shared" si="23"/>
        <v>0</v>
      </c>
      <c r="J108" s="214">
        <f t="shared" ref="J108:AK108" si="29">+$D18</f>
        <v>0</v>
      </c>
      <c r="K108" s="214">
        <f t="shared" si="29"/>
        <v>0</v>
      </c>
      <c r="L108" s="214">
        <f t="shared" si="29"/>
        <v>0</v>
      </c>
      <c r="M108" s="214">
        <f t="shared" si="29"/>
        <v>0</v>
      </c>
      <c r="N108" s="214">
        <f t="shared" si="29"/>
        <v>0</v>
      </c>
      <c r="O108" s="214">
        <f t="shared" si="29"/>
        <v>0</v>
      </c>
      <c r="P108" s="214">
        <f t="shared" si="29"/>
        <v>0</v>
      </c>
      <c r="Q108" s="214">
        <f t="shared" si="29"/>
        <v>0</v>
      </c>
      <c r="R108" s="214">
        <f t="shared" si="29"/>
        <v>0</v>
      </c>
      <c r="S108" s="214">
        <f t="shared" si="29"/>
        <v>0</v>
      </c>
      <c r="T108" s="214">
        <f t="shared" si="29"/>
        <v>0</v>
      </c>
      <c r="U108" s="214">
        <f t="shared" si="29"/>
        <v>0</v>
      </c>
      <c r="V108" s="214">
        <f t="shared" si="29"/>
        <v>0</v>
      </c>
      <c r="W108" s="214">
        <f t="shared" si="29"/>
        <v>0</v>
      </c>
      <c r="X108" s="214">
        <f t="shared" si="29"/>
        <v>0</v>
      </c>
      <c r="Y108" s="214">
        <f t="shared" si="29"/>
        <v>0</v>
      </c>
      <c r="Z108" s="214">
        <f t="shared" si="29"/>
        <v>0</v>
      </c>
      <c r="AA108" s="214">
        <f t="shared" si="29"/>
        <v>0</v>
      </c>
      <c r="AB108" s="214">
        <f t="shared" si="29"/>
        <v>0</v>
      </c>
      <c r="AC108" s="214">
        <f t="shared" si="29"/>
        <v>0</v>
      </c>
      <c r="AD108" s="214">
        <f t="shared" si="29"/>
        <v>0</v>
      </c>
      <c r="AE108" s="214">
        <f t="shared" si="29"/>
        <v>0</v>
      </c>
      <c r="AF108" s="214">
        <f t="shared" si="29"/>
        <v>0</v>
      </c>
      <c r="AG108" s="214">
        <f t="shared" si="29"/>
        <v>0</v>
      </c>
      <c r="AH108" s="214">
        <f t="shared" si="29"/>
        <v>0</v>
      </c>
      <c r="AI108" s="214">
        <f t="shared" si="29"/>
        <v>0</v>
      </c>
      <c r="AJ108" s="214">
        <f t="shared" si="29"/>
        <v>0</v>
      </c>
      <c r="AK108" s="153">
        <f t="shared" si="29"/>
        <v>0</v>
      </c>
    </row>
    <row r="109" spans="2:37" x14ac:dyDescent="0.25">
      <c r="B109" s="144"/>
      <c r="C109" s="207" t="s">
        <v>401</v>
      </c>
      <c r="D109" s="207"/>
      <c r="E109" s="207"/>
      <c r="F109" s="207"/>
      <c r="G109" s="207"/>
      <c r="H109" s="215">
        <f t="shared" si="14"/>
        <v>3013394.5848923079</v>
      </c>
      <c r="I109" s="214">
        <f t="shared" si="23"/>
        <v>4017859.4465230773</v>
      </c>
      <c r="J109" s="214">
        <f t="shared" ref="J109:AK109" si="30">+$D19</f>
        <v>4017859.4465230773</v>
      </c>
      <c r="K109" s="214">
        <f t="shared" si="30"/>
        <v>4017859.4465230773</v>
      </c>
      <c r="L109" s="214">
        <f t="shared" si="30"/>
        <v>4017859.4465230773</v>
      </c>
      <c r="M109" s="214">
        <f t="shared" si="30"/>
        <v>4017859.4465230773</v>
      </c>
      <c r="N109" s="214">
        <f t="shared" si="30"/>
        <v>4017859.4465230773</v>
      </c>
      <c r="O109" s="214">
        <f t="shared" si="30"/>
        <v>4017859.4465230773</v>
      </c>
      <c r="P109" s="214">
        <f t="shared" si="30"/>
        <v>4017859.4465230773</v>
      </c>
      <c r="Q109" s="214">
        <f t="shared" si="30"/>
        <v>4017859.4465230773</v>
      </c>
      <c r="R109" s="214">
        <f t="shared" si="30"/>
        <v>4017859.4465230773</v>
      </c>
      <c r="S109" s="214">
        <f t="shared" si="30"/>
        <v>4017859.4465230773</v>
      </c>
      <c r="T109" s="214">
        <f t="shared" si="30"/>
        <v>4017859.4465230773</v>
      </c>
      <c r="U109" s="214">
        <f t="shared" si="30"/>
        <v>4017859.4465230773</v>
      </c>
      <c r="V109" s="214">
        <f t="shared" si="30"/>
        <v>4017859.4465230773</v>
      </c>
      <c r="W109" s="214">
        <f t="shared" si="30"/>
        <v>4017859.4465230773</v>
      </c>
      <c r="X109" s="214">
        <f t="shared" si="30"/>
        <v>4017859.4465230773</v>
      </c>
      <c r="Y109" s="214">
        <f t="shared" si="30"/>
        <v>4017859.4465230773</v>
      </c>
      <c r="Z109" s="214">
        <f t="shared" si="30"/>
        <v>4017859.4465230773</v>
      </c>
      <c r="AA109" s="214">
        <f t="shared" si="30"/>
        <v>4017859.4465230773</v>
      </c>
      <c r="AB109" s="214">
        <f t="shared" si="30"/>
        <v>4017859.4465230773</v>
      </c>
      <c r="AC109" s="214">
        <f t="shared" si="30"/>
        <v>4017859.4465230773</v>
      </c>
      <c r="AD109" s="214">
        <f t="shared" si="30"/>
        <v>4017859.4465230773</v>
      </c>
      <c r="AE109" s="214">
        <f t="shared" si="30"/>
        <v>4017859.4465230773</v>
      </c>
      <c r="AF109" s="214">
        <f t="shared" si="30"/>
        <v>4017859.4465230773</v>
      </c>
      <c r="AG109" s="214">
        <f t="shared" si="30"/>
        <v>4017859.4465230773</v>
      </c>
      <c r="AH109" s="214">
        <f t="shared" si="30"/>
        <v>4017859.4465230773</v>
      </c>
      <c r="AI109" s="214">
        <f t="shared" si="30"/>
        <v>4017859.4465230773</v>
      </c>
      <c r="AJ109" s="214">
        <f t="shared" si="30"/>
        <v>4017859.4465230773</v>
      </c>
      <c r="AK109" s="153">
        <f t="shared" si="30"/>
        <v>4017859.4465230773</v>
      </c>
    </row>
    <row r="110" spans="2:37" x14ac:dyDescent="0.25">
      <c r="B110" s="144"/>
      <c r="C110" s="207" t="s">
        <v>339</v>
      </c>
      <c r="D110" s="207"/>
      <c r="E110" s="207"/>
      <c r="F110" s="207"/>
      <c r="G110" s="207"/>
      <c r="H110" s="215">
        <f t="shared" si="14"/>
        <v>555856.38393230783</v>
      </c>
      <c r="I110" s="214">
        <f t="shared" si="23"/>
        <v>741141.84524307703</v>
      </c>
      <c r="J110" s="214">
        <f t="shared" ref="J110:AK110" si="31">+$D20</f>
        <v>741141.84524307703</v>
      </c>
      <c r="K110" s="214">
        <f t="shared" si="31"/>
        <v>741141.84524307703</v>
      </c>
      <c r="L110" s="214">
        <f t="shared" si="31"/>
        <v>741141.84524307703</v>
      </c>
      <c r="M110" s="214">
        <f t="shared" si="31"/>
        <v>741141.84524307703</v>
      </c>
      <c r="N110" s="214">
        <f t="shared" si="31"/>
        <v>741141.84524307703</v>
      </c>
      <c r="O110" s="214">
        <f t="shared" si="31"/>
        <v>741141.84524307703</v>
      </c>
      <c r="P110" s="214">
        <f t="shared" si="31"/>
        <v>741141.84524307703</v>
      </c>
      <c r="Q110" s="214">
        <f t="shared" si="31"/>
        <v>741141.84524307703</v>
      </c>
      <c r="R110" s="214">
        <f t="shared" si="31"/>
        <v>741141.84524307703</v>
      </c>
      <c r="S110" s="214">
        <f t="shared" si="31"/>
        <v>741141.84524307703</v>
      </c>
      <c r="T110" s="214">
        <f t="shared" si="31"/>
        <v>741141.84524307703</v>
      </c>
      <c r="U110" s="214">
        <f t="shared" si="31"/>
        <v>741141.84524307703</v>
      </c>
      <c r="V110" s="214">
        <f t="shared" si="31"/>
        <v>741141.84524307703</v>
      </c>
      <c r="W110" s="214">
        <f t="shared" si="31"/>
        <v>741141.84524307703</v>
      </c>
      <c r="X110" s="214">
        <f t="shared" si="31"/>
        <v>741141.84524307703</v>
      </c>
      <c r="Y110" s="214">
        <f t="shared" si="31"/>
        <v>741141.84524307703</v>
      </c>
      <c r="Z110" s="214">
        <f t="shared" si="31"/>
        <v>741141.84524307703</v>
      </c>
      <c r="AA110" s="214">
        <f t="shared" si="31"/>
        <v>741141.84524307703</v>
      </c>
      <c r="AB110" s="214">
        <f t="shared" si="31"/>
        <v>741141.84524307703</v>
      </c>
      <c r="AC110" s="214">
        <f t="shared" si="31"/>
        <v>741141.84524307703</v>
      </c>
      <c r="AD110" s="214">
        <f t="shared" si="31"/>
        <v>741141.84524307703</v>
      </c>
      <c r="AE110" s="214">
        <f t="shared" si="31"/>
        <v>741141.84524307703</v>
      </c>
      <c r="AF110" s="214">
        <f t="shared" si="31"/>
        <v>741141.84524307703</v>
      </c>
      <c r="AG110" s="214">
        <f t="shared" si="31"/>
        <v>741141.84524307703</v>
      </c>
      <c r="AH110" s="214">
        <f t="shared" si="31"/>
        <v>741141.84524307703</v>
      </c>
      <c r="AI110" s="214">
        <f t="shared" si="31"/>
        <v>741141.84524307703</v>
      </c>
      <c r="AJ110" s="214">
        <f t="shared" si="31"/>
        <v>741141.84524307703</v>
      </c>
      <c r="AK110" s="153">
        <f t="shared" si="31"/>
        <v>741141.84524307703</v>
      </c>
    </row>
    <row r="111" spans="2:37" x14ac:dyDescent="0.25">
      <c r="B111" s="144"/>
      <c r="C111" s="207" t="s">
        <v>346</v>
      </c>
      <c r="D111" s="207"/>
      <c r="E111" s="207"/>
      <c r="F111" s="207"/>
      <c r="G111" s="207"/>
      <c r="H111" s="215">
        <f t="shared" si="14"/>
        <v>2349423.8950211536</v>
      </c>
      <c r="I111" s="214">
        <f t="shared" si="23"/>
        <v>3132565.193361538</v>
      </c>
      <c r="J111" s="214">
        <f t="shared" ref="J111:AK111" si="32">+$D21</f>
        <v>3132565.193361538</v>
      </c>
      <c r="K111" s="214">
        <f t="shared" si="32"/>
        <v>3132565.193361538</v>
      </c>
      <c r="L111" s="214">
        <f t="shared" si="32"/>
        <v>3132565.193361538</v>
      </c>
      <c r="M111" s="214">
        <f t="shared" si="32"/>
        <v>3132565.193361538</v>
      </c>
      <c r="N111" s="214">
        <f t="shared" si="32"/>
        <v>3132565.193361538</v>
      </c>
      <c r="O111" s="214">
        <f t="shared" si="32"/>
        <v>3132565.193361538</v>
      </c>
      <c r="P111" s="214">
        <f t="shared" si="32"/>
        <v>3132565.193361538</v>
      </c>
      <c r="Q111" s="214">
        <f t="shared" si="32"/>
        <v>3132565.193361538</v>
      </c>
      <c r="R111" s="214">
        <f t="shared" si="32"/>
        <v>3132565.193361538</v>
      </c>
      <c r="S111" s="214">
        <f t="shared" si="32"/>
        <v>3132565.193361538</v>
      </c>
      <c r="T111" s="214">
        <f t="shared" si="32"/>
        <v>3132565.193361538</v>
      </c>
      <c r="U111" s="214">
        <f t="shared" si="32"/>
        <v>3132565.193361538</v>
      </c>
      <c r="V111" s="214">
        <f t="shared" si="32"/>
        <v>3132565.193361538</v>
      </c>
      <c r="W111" s="214">
        <f t="shared" si="32"/>
        <v>3132565.193361538</v>
      </c>
      <c r="X111" s="214">
        <f t="shared" si="32"/>
        <v>3132565.193361538</v>
      </c>
      <c r="Y111" s="214">
        <f t="shared" si="32"/>
        <v>3132565.193361538</v>
      </c>
      <c r="Z111" s="214">
        <f t="shared" si="32"/>
        <v>3132565.193361538</v>
      </c>
      <c r="AA111" s="214">
        <f t="shared" si="32"/>
        <v>3132565.193361538</v>
      </c>
      <c r="AB111" s="214">
        <f t="shared" si="32"/>
        <v>3132565.193361538</v>
      </c>
      <c r="AC111" s="214">
        <f t="shared" si="32"/>
        <v>3132565.193361538</v>
      </c>
      <c r="AD111" s="214">
        <f t="shared" si="32"/>
        <v>3132565.193361538</v>
      </c>
      <c r="AE111" s="214">
        <f t="shared" si="32"/>
        <v>3132565.193361538</v>
      </c>
      <c r="AF111" s="214">
        <f t="shared" si="32"/>
        <v>3132565.193361538</v>
      </c>
      <c r="AG111" s="214">
        <f t="shared" si="32"/>
        <v>3132565.193361538</v>
      </c>
      <c r="AH111" s="214">
        <f t="shared" si="32"/>
        <v>3132565.193361538</v>
      </c>
      <c r="AI111" s="214">
        <f t="shared" si="32"/>
        <v>3132565.193361538</v>
      </c>
      <c r="AJ111" s="214">
        <f t="shared" si="32"/>
        <v>3132565.193361538</v>
      </c>
      <c r="AK111" s="153">
        <f t="shared" si="32"/>
        <v>3132565.193361538</v>
      </c>
    </row>
    <row r="112" spans="2:37" x14ac:dyDescent="0.25">
      <c r="B112" s="144"/>
      <c r="C112" s="207" t="s">
        <v>188</v>
      </c>
      <c r="D112" s="207"/>
      <c r="E112" s="207"/>
      <c r="F112" s="207"/>
      <c r="G112" s="207"/>
      <c r="H112" s="215">
        <f t="shared" si="14"/>
        <v>770938.31775749999</v>
      </c>
      <c r="I112" s="214">
        <f t="shared" si="23"/>
        <v>1027917.7570099999</v>
      </c>
      <c r="J112" s="214">
        <f t="shared" ref="J112:AK112" si="33">+$D22</f>
        <v>1027917.7570099999</v>
      </c>
      <c r="K112" s="214">
        <f t="shared" si="33"/>
        <v>1027917.7570099999</v>
      </c>
      <c r="L112" s="214">
        <f t="shared" si="33"/>
        <v>1027917.7570099999</v>
      </c>
      <c r="M112" s="214">
        <f t="shared" si="33"/>
        <v>1027917.7570099999</v>
      </c>
      <c r="N112" s="214">
        <f t="shared" si="33"/>
        <v>1027917.7570099999</v>
      </c>
      <c r="O112" s="214">
        <f t="shared" si="33"/>
        <v>1027917.7570099999</v>
      </c>
      <c r="P112" s="214">
        <f t="shared" si="33"/>
        <v>1027917.7570099999</v>
      </c>
      <c r="Q112" s="214">
        <f t="shared" si="33"/>
        <v>1027917.7570099999</v>
      </c>
      <c r="R112" s="214">
        <f t="shared" si="33"/>
        <v>1027917.7570099999</v>
      </c>
      <c r="S112" s="214">
        <f t="shared" si="33"/>
        <v>1027917.7570099999</v>
      </c>
      <c r="T112" s="214">
        <f t="shared" si="33"/>
        <v>1027917.7570099999</v>
      </c>
      <c r="U112" s="214">
        <f t="shared" si="33"/>
        <v>1027917.7570099999</v>
      </c>
      <c r="V112" s="214">
        <f t="shared" si="33"/>
        <v>1027917.7570099999</v>
      </c>
      <c r="W112" s="214">
        <f t="shared" si="33"/>
        <v>1027917.7570099999</v>
      </c>
      <c r="X112" s="214">
        <f t="shared" si="33"/>
        <v>1027917.7570099999</v>
      </c>
      <c r="Y112" s="214">
        <f t="shared" si="33"/>
        <v>1027917.7570099999</v>
      </c>
      <c r="Z112" s="214">
        <f t="shared" si="33"/>
        <v>1027917.7570099999</v>
      </c>
      <c r="AA112" s="214">
        <f t="shared" si="33"/>
        <v>1027917.7570099999</v>
      </c>
      <c r="AB112" s="214">
        <f t="shared" si="33"/>
        <v>1027917.7570099999</v>
      </c>
      <c r="AC112" s="214">
        <f t="shared" si="33"/>
        <v>1027917.7570099999</v>
      </c>
      <c r="AD112" s="214">
        <f t="shared" si="33"/>
        <v>1027917.7570099999</v>
      </c>
      <c r="AE112" s="214">
        <f t="shared" si="33"/>
        <v>1027917.7570099999</v>
      </c>
      <c r="AF112" s="214">
        <f t="shared" si="33"/>
        <v>1027917.7570099999</v>
      </c>
      <c r="AG112" s="214">
        <f t="shared" si="33"/>
        <v>1027917.7570099999</v>
      </c>
      <c r="AH112" s="214">
        <f t="shared" si="33"/>
        <v>1027917.7570099999</v>
      </c>
      <c r="AI112" s="214">
        <f t="shared" si="33"/>
        <v>1027917.7570099999</v>
      </c>
      <c r="AJ112" s="214">
        <f t="shared" si="33"/>
        <v>1027917.7570099999</v>
      </c>
      <c r="AK112" s="153">
        <f t="shared" si="33"/>
        <v>1027917.7570099999</v>
      </c>
    </row>
    <row r="113" spans="2:37" x14ac:dyDescent="0.25">
      <c r="B113" s="144"/>
      <c r="C113" s="207" t="s">
        <v>199</v>
      </c>
      <c r="D113" s="207"/>
      <c r="E113" s="207"/>
      <c r="F113" s="207"/>
      <c r="G113" s="207"/>
      <c r="H113" s="215">
        <f t="shared" si="14"/>
        <v>0</v>
      </c>
      <c r="I113" s="214">
        <f t="shared" si="23"/>
        <v>0</v>
      </c>
      <c r="J113" s="214">
        <f t="shared" ref="J113:AK113" si="34">+$D23</f>
        <v>0</v>
      </c>
      <c r="K113" s="214">
        <f t="shared" si="34"/>
        <v>0</v>
      </c>
      <c r="L113" s="214">
        <f t="shared" si="34"/>
        <v>0</v>
      </c>
      <c r="M113" s="214">
        <f t="shared" si="34"/>
        <v>0</v>
      </c>
      <c r="N113" s="214">
        <f t="shared" si="34"/>
        <v>0</v>
      </c>
      <c r="O113" s="214">
        <f t="shared" si="34"/>
        <v>0</v>
      </c>
      <c r="P113" s="214">
        <f t="shared" si="34"/>
        <v>0</v>
      </c>
      <c r="Q113" s="214">
        <f t="shared" si="34"/>
        <v>0</v>
      </c>
      <c r="R113" s="214">
        <f t="shared" si="34"/>
        <v>0</v>
      </c>
      <c r="S113" s="214">
        <f t="shared" si="34"/>
        <v>0</v>
      </c>
      <c r="T113" s="214">
        <f t="shared" si="34"/>
        <v>0</v>
      </c>
      <c r="U113" s="214">
        <f t="shared" si="34"/>
        <v>0</v>
      </c>
      <c r="V113" s="214">
        <f t="shared" si="34"/>
        <v>0</v>
      </c>
      <c r="W113" s="214">
        <f t="shared" si="34"/>
        <v>0</v>
      </c>
      <c r="X113" s="214">
        <f t="shared" si="34"/>
        <v>0</v>
      </c>
      <c r="Y113" s="214">
        <f t="shared" si="34"/>
        <v>0</v>
      </c>
      <c r="Z113" s="214">
        <f t="shared" si="34"/>
        <v>0</v>
      </c>
      <c r="AA113" s="214">
        <f t="shared" si="34"/>
        <v>0</v>
      </c>
      <c r="AB113" s="214">
        <f t="shared" si="34"/>
        <v>0</v>
      </c>
      <c r="AC113" s="214">
        <f t="shared" si="34"/>
        <v>0</v>
      </c>
      <c r="AD113" s="214">
        <f t="shared" si="34"/>
        <v>0</v>
      </c>
      <c r="AE113" s="214">
        <f t="shared" si="34"/>
        <v>0</v>
      </c>
      <c r="AF113" s="214">
        <f t="shared" si="34"/>
        <v>0</v>
      </c>
      <c r="AG113" s="214">
        <f t="shared" si="34"/>
        <v>0</v>
      </c>
      <c r="AH113" s="214">
        <f t="shared" si="34"/>
        <v>0</v>
      </c>
      <c r="AI113" s="214">
        <f t="shared" si="34"/>
        <v>0</v>
      </c>
      <c r="AJ113" s="214">
        <f t="shared" si="34"/>
        <v>0</v>
      </c>
      <c r="AK113" s="153">
        <f t="shared" si="34"/>
        <v>0</v>
      </c>
    </row>
    <row r="114" spans="2:37" x14ac:dyDescent="0.25">
      <c r="B114" s="144"/>
      <c r="C114" s="207" t="s">
        <v>388</v>
      </c>
      <c r="D114" s="207"/>
      <c r="E114" s="207"/>
      <c r="F114" s="207"/>
      <c r="G114" s="207"/>
      <c r="H114" s="215">
        <f t="shared" si="14"/>
        <v>5002919.1977325007</v>
      </c>
      <c r="I114" s="214">
        <f t="shared" si="23"/>
        <v>6670558.9303100007</v>
      </c>
      <c r="J114" s="214">
        <f t="shared" ref="J114:AK114" si="35">+$D24</f>
        <v>6670558.9303100007</v>
      </c>
      <c r="K114" s="214">
        <f t="shared" si="35"/>
        <v>6670558.9303100007</v>
      </c>
      <c r="L114" s="214">
        <f t="shared" si="35"/>
        <v>6670558.9303100007</v>
      </c>
      <c r="M114" s="214">
        <f t="shared" si="35"/>
        <v>6670558.9303100007</v>
      </c>
      <c r="N114" s="214">
        <f t="shared" si="35"/>
        <v>6670558.9303100007</v>
      </c>
      <c r="O114" s="214">
        <f t="shared" si="35"/>
        <v>6670558.9303100007</v>
      </c>
      <c r="P114" s="214">
        <f t="shared" si="35"/>
        <v>6670558.9303100007</v>
      </c>
      <c r="Q114" s="214">
        <f t="shared" si="35"/>
        <v>6670558.9303100007</v>
      </c>
      <c r="R114" s="214">
        <f t="shared" si="35"/>
        <v>6670558.9303100007</v>
      </c>
      <c r="S114" s="214">
        <f t="shared" si="35"/>
        <v>6670558.9303100007</v>
      </c>
      <c r="T114" s="214">
        <f t="shared" si="35"/>
        <v>6670558.9303100007</v>
      </c>
      <c r="U114" s="214">
        <f t="shared" si="35"/>
        <v>6670558.9303100007</v>
      </c>
      <c r="V114" s="214">
        <f t="shared" si="35"/>
        <v>6670558.9303100007</v>
      </c>
      <c r="W114" s="214">
        <f t="shared" si="35"/>
        <v>6670558.9303100007</v>
      </c>
      <c r="X114" s="214">
        <f t="shared" si="35"/>
        <v>6670558.9303100007</v>
      </c>
      <c r="Y114" s="214">
        <f t="shared" si="35"/>
        <v>6670558.9303100007</v>
      </c>
      <c r="Z114" s="214">
        <f t="shared" si="35"/>
        <v>6670558.9303100007</v>
      </c>
      <c r="AA114" s="214">
        <f t="shared" si="35"/>
        <v>6670558.9303100007</v>
      </c>
      <c r="AB114" s="214">
        <f t="shared" si="35"/>
        <v>6670558.9303100007</v>
      </c>
      <c r="AC114" s="214">
        <f t="shared" si="35"/>
        <v>6670558.9303100007</v>
      </c>
      <c r="AD114" s="214">
        <f t="shared" si="35"/>
        <v>6670558.9303100007</v>
      </c>
      <c r="AE114" s="214">
        <f t="shared" si="35"/>
        <v>6670558.9303100007</v>
      </c>
      <c r="AF114" s="214">
        <f t="shared" si="35"/>
        <v>6670558.9303100007</v>
      </c>
      <c r="AG114" s="214">
        <f t="shared" si="35"/>
        <v>6670558.9303100007</v>
      </c>
      <c r="AH114" s="214">
        <f t="shared" si="35"/>
        <v>6670558.9303100007</v>
      </c>
      <c r="AI114" s="214">
        <f t="shared" si="35"/>
        <v>6670558.9303100007</v>
      </c>
      <c r="AJ114" s="214">
        <f t="shared" si="35"/>
        <v>6670558.9303100007</v>
      </c>
      <c r="AK114" s="153">
        <f t="shared" si="35"/>
        <v>6670558.9303100007</v>
      </c>
    </row>
    <row r="115" spans="2:37" x14ac:dyDescent="0.25">
      <c r="B115" s="144"/>
      <c r="C115" s="207" t="s">
        <v>191</v>
      </c>
      <c r="D115" s="207"/>
      <c r="E115" s="207"/>
      <c r="F115" s="207"/>
      <c r="G115" s="207"/>
      <c r="H115" s="215">
        <f t="shared" si="14"/>
        <v>1364432.5084742308</v>
      </c>
      <c r="I115" s="214">
        <f t="shared" si="23"/>
        <v>1819243.3446323078</v>
      </c>
      <c r="J115" s="214">
        <f t="shared" ref="J115:AK115" si="36">+$D25</f>
        <v>1819243.3446323078</v>
      </c>
      <c r="K115" s="214">
        <f t="shared" si="36"/>
        <v>1819243.3446323078</v>
      </c>
      <c r="L115" s="214">
        <f t="shared" si="36"/>
        <v>1819243.3446323078</v>
      </c>
      <c r="M115" s="214">
        <f t="shared" si="36"/>
        <v>1819243.3446323078</v>
      </c>
      <c r="N115" s="214">
        <f t="shared" si="36"/>
        <v>1819243.3446323078</v>
      </c>
      <c r="O115" s="214">
        <f t="shared" si="36"/>
        <v>1819243.3446323078</v>
      </c>
      <c r="P115" s="214">
        <f t="shared" si="36"/>
        <v>1819243.3446323078</v>
      </c>
      <c r="Q115" s="214">
        <f t="shared" si="36"/>
        <v>1819243.3446323078</v>
      </c>
      <c r="R115" s="214">
        <f t="shared" si="36"/>
        <v>1819243.3446323078</v>
      </c>
      <c r="S115" s="214">
        <f t="shared" si="36"/>
        <v>1819243.3446323078</v>
      </c>
      <c r="T115" s="214">
        <f t="shared" si="36"/>
        <v>1819243.3446323078</v>
      </c>
      <c r="U115" s="214">
        <f t="shared" si="36"/>
        <v>1819243.3446323078</v>
      </c>
      <c r="V115" s="214">
        <f t="shared" si="36"/>
        <v>1819243.3446323078</v>
      </c>
      <c r="W115" s="214">
        <f t="shared" si="36"/>
        <v>1819243.3446323078</v>
      </c>
      <c r="X115" s="214">
        <f t="shared" si="36"/>
        <v>1819243.3446323078</v>
      </c>
      <c r="Y115" s="214">
        <f t="shared" si="36"/>
        <v>1819243.3446323078</v>
      </c>
      <c r="Z115" s="214">
        <f t="shared" si="36"/>
        <v>1819243.3446323078</v>
      </c>
      <c r="AA115" s="214">
        <f t="shared" si="36"/>
        <v>1819243.3446323078</v>
      </c>
      <c r="AB115" s="214">
        <f t="shared" si="36"/>
        <v>1819243.3446323078</v>
      </c>
      <c r="AC115" s="214">
        <f t="shared" si="36"/>
        <v>1819243.3446323078</v>
      </c>
      <c r="AD115" s="214">
        <f t="shared" si="36"/>
        <v>1819243.3446323078</v>
      </c>
      <c r="AE115" s="214">
        <f t="shared" si="36"/>
        <v>1819243.3446323078</v>
      </c>
      <c r="AF115" s="214">
        <f t="shared" si="36"/>
        <v>1819243.3446323078</v>
      </c>
      <c r="AG115" s="214">
        <f t="shared" si="36"/>
        <v>1819243.3446323078</v>
      </c>
      <c r="AH115" s="214">
        <f t="shared" si="36"/>
        <v>1819243.3446323078</v>
      </c>
      <c r="AI115" s="214">
        <f t="shared" si="36"/>
        <v>1819243.3446323078</v>
      </c>
      <c r="AJ115" s="214">
        <f t="shared" si="36"/>
        <v>1819243.3446323078</v>
      </c>
      <c r="AK115" s="153">
        <f t="shared" si="36"/>
        <v>1819243.3446323078</v>
      </c>
    </row>
    <row r="116" spans="2:37" x14ac:dyDescent="0.25">
      <c r="B116" s="144"/>
      <c r="C116" s="207" t="s">
        <v>389</v>
      </c>
      <c r="D116" s="207"/>
      <c r="E116" s="207"/>
      <c r="F116" s="207"/>
      <c r="G116" s="207"/>
      <c r="H116" s="215">
        <f t="shared" si="14"/>
        <v>181924.33446294232</v>
      </c>
      <c r="I116" s="214">
        <f t="shared" si="23"/>
        <v>242565.7792839231</v>
      </c>
      <c r="J116" s="214">
        <f t="shared" ref="J116:AK116" si="37">+$D26</f>
        <v>242565.7792839231</v>
      </c>
      <c r="K116" s="214">
        <f t="shared" si="37"/>
        <v>242565.7792839231</v>
      </c>
      <c r="L116" s="214">
        <f t="shared" si="37"/>
        <v>242565.7792839231</v>
      </c>
      <c r="M116" s="214">
        <f t="shared" si="37"/>
        <v>242565.7792839231</v>
      </c>
      <c r="N116" s="214">
        <f t="shared" si="37"/>
        <v>242565.7792839231</v>
      </c>
      <c r="O116" s="214">
        <f t="shared" si="37"/>
        <v>242565.7792839231</v>
      </c>
      <c r="P116" s="214">
        <f t="shared" si="37"/>
        <v>242565.7792839231</v>
      </c>
      <c r="Q116" s="214">
        <f t="shared" si="37"/>
        <v>242565.7792839231</v>
      </c>
      <c r="R116" s="214">
        <f t="shared" si="37"/>
        <v>242565.7792839231</v>
      </c>
      <c r="S116" s="214">
        <f t="shared" si="37"/>
        <v>242565.7792839231</v>
      </c>
      <c r="T116" s="214">
        <f t="shared" si="37"/>
        <v>242565.7792839231</v>
      </c>
      <c r="U116" s="214">
        <f t="shared" si="37"/>
        <v>242565.7792839231</v>
      </c>
      <c r="V116" s="214">
        <f t="shared" si="37"/>
        <v>242565.7792839231</v>
      </c>
      <c r="W116" s="214">
        <f t="shared" si="37"/>
        <v>242565.7792839231</v>
      </c>
      <c r="X116" s="214">
        <f t="shared" si="37"/>
        <v>242565.7792839231</v>
      </c>
      <c r="Y116" s="214">
        <f t="shared" si="37"/>
        <v>242565.7792839231</v>
      </c>
      <c r="Z116" s="214">
        <f t="shared" si="37"/>
        <v>242565.7792839231</v>
      </c>
      <c r="AA116" s="214">
        <f t="shared" si="37"/>
        <v>242565.7792839231</v>
      </c>
      <c r="AB116" s="214">
        <f t="shared" si="37"/>
        <v>242565.7792839231</v>
      </c>
      <c r="AC116" s="214">
        <f t="shared" si="37"/>
        <v>242565.7792839231</v>
      </c>
      <c r="AD116" s="214">
        <f t="shared" si="37"/>
        <v>242565.7792839231</v>
      </c>
      <c r="AE116" s="214">
        <f t="shared" si="37"/>
        <v>242565.7792839231</v>
      </c>
      <c r="AF116" s="214">
        <f t="shared" si="37"/>
        <v>242565.7792839231</v>
      </c>
      <c r="AG116" s="214">
        <f t="shared" si="37"/>
        <v>242565.7792839231</v>
      </c>
      <c r="AH116" s="214">
        <f t="shared" si="37"/>
        <v>242565.7792839231</v>
      </c>
      <c r="AI116" s="214">
        <f t="shared" si="37"/>
        <v>242565.7792839231</v>
      </c>
      <c r="AJ116" s="214">
        <f t="shared" si="37"/>
        <v>242565.7792839231</v>
      </c>
      <c r="AK116" s="153">
        <f t="shared" si="37"/>
        <v>242565.7792839231</v>
      </c>
    </row>
    <row r="117" spans="2:37" x14ac:dyDescent="0.25">
      <c r="B117" s="144"/>
      <c r="C117" s="207" t="s">
        <v>390</v>
      </c>
      <c r="D117" s="207"/>
      <c r="E117" s="207"/>
      <c r="F117" s="207"/>
      <c r="G117" s="207"/>
      <c r="H117" s="215">
        <f t="shared" si="14"/>
        <v>732021.43584213464</v>
      </c>
      <c r="I117" s="214">
        <f t="shared" si="23"/>
        <v>976028.58112284623</v>
      </c>
      <c r="J117" s="214">
        <f t="shared" ref="J117:AK117" si="38">+$D27</f>
        <v>976028.58112284623</v>
      </c>
      <c r="K117" s="214">
        <f t="shared" si="38"/>
        <v>976028.58112284623</v>
      </c>
      <c r="L117" s="214">
        <f t="shared" si="38"/>
        <v>976028.58112284623</v>
      </c>
      <c r="M117" s="214">
        <f t="shared" si="38"/>
        <v>976028.58112284623</v>
      </c>
      <c r="N117" s="214">
        <f t="shared" si="38"/>
        <v>976028.58112284623</v>
      </c>
      <c r="O117" s="214">
        <f t="shared" si="38"/>
        <v>976028.58112284623</v>
      </c>
      <c r="P117" s="214">
        <f t="shared" si="38"/>
        <v>976028.58112284623</v>
      </c>
      <c r="Q117" s="214">
        <f t="shared" si="38"/>
        <v>976028.58112284623</v>
      </c>
      <c r="R117" s="214">
        <f t="shared" si="38"/>
        <v>976028.58112284623</v>
      </c>
      <c r="S117" s="214">
        <f t="shared" si="38"/>
        <v>976028.58112284623</v>
      </c>
      <c r="T117" s="214">
        <f t="shared" si="38"/>
        <v>976028.58112284623</v>
      </c>
      <c r="U117" s="214">
        <f t="shared" si="38"/>
        <v>976028.58112284623</v>
      </c>
      <c r="V117" s="214">
        <f t="shared" si="38"/>
        <v>976028.58112284623</v>
      </c>
      <c r="W117" s="214">
        <f t="shared" si="38"/>
        <v>976028.58112284623</v>
      </c>
      <c r="X117" s="214">
        <f t="shared" si="38"/>
        <v>976028.58112284623</v>
      </c>
      <c r="Y117" s="214">
        <f t="shared" si="38"/>
        <v>976028.58112284623</v>
      </c>
      <c r="Z117" s="214">
        <f t="shared" si="38"/>
        <v>976028.58112284623</v>
      </c>
      <c r="AA117" s="214">
        <f t="shared" si="38"/>
        <v>976028.58112284623</v>
      </c>
      <c r="AB117" s="214">
        <f t="shared" si="38"/>
        <v>976028.58112284623</v>
      </c>
      <c r="AC117" s="214">
        <f t="shared" si="38"/>
        <v>976028.58112284623</v>
      </c>
      <c r="AD117" s="214">
        <f t="shared" si="38"/>
        <v>976028.58112284623</v>
      </c>
      <c r="AE117" s="214">
        <f t="shared" si="38"/>
        <v>976028.58112284623</v>
      </c>
      <c r="AF117" s="214">
        <f t="shared" si="38"/>
        <v>976028.58112284623</v>
      </c>
      <c r="AG117" s="214">
        <f t="shared" si="38"/>
        <v>976028.58112284623</v>
      </c>
      <c r="AH117" s="214">
        <f t="shared" si="38"/>
        <v>976028.58112284623</v>
      </c>
      <c r="AI117" s="214">
        <f t="shared" si="38"/>
        <v>976028.58112284623</v>
      </c>
      <c r="AJ117" s="214">
        <f t="shared" si="38"/>
        <v>976028.58112284623</v>
      </c>
      <c r="AK117" s="153">
        <f t="shared" si="38"/>
        <v>976028.58112284623</v>
      </c>
    </row>
    <row r="118" spans="2:37" x14ac:dyDescent="0.25">
      <c r="B118" s="144" t="s">
        <v>451</v>
      </c>
      <c r="C118" s="207" t="s">
        <v>435</v>
      </c>
      <c r="D118" s="207"/>
      <c r="E118" s="207"/>
      <c r="F118" s="207"/>
      <c r="G118" s="207"/>
      <c r="H118" s="211">
        <f>SUM(H95:H117)</f>
        <v>47617790.037524492</v>
      </c>
      <c r="I118" s="211">
        <f>SUM(I95:I117)</f>
        <v>63490386.716699317</v>
      </c>
      <c r="J118" s="211">
        <f t="shared" ref="J118:AK118" si="39">SUM(J95:J117)</f>
        <v>63490386.716699317</v>
      </c>
      <c r="K118" s="211">
        <f t="shared" si="39"/>
        <v>63490386.716699317</v>
      </c>
      <c r="L118" s="211">
        <f t="shared" si="39"/>
        <v>63490386.716699317</v>
      </c>
      <c r="M118" s="211">
        <f t="shared" si="39"/>
        <v>63490386.716699317</v>
      </c>
      <c r="N118" s="211">
        <f t="shared" si="39"/>
        <v>63490386.716699317</v>
      </c>
      <c r="O118" s="211">
        <f t="shared" si="39"/>
        <v>63490386.716699317</v>
      </c>
      <c r="P118" s="211">
        <f>SUM(P95:P117)</f>
        <v>63490386.716699317</v>
      </c>
      <c r="Q118" s="211">
        <f t="shared" si="39"/>
        <v>63490386.716699317</v>
      </c>
      <c r="R118" s="211">
        <f t="shared" si="39"/>
        <v>63490386.716699317</v>
      </c>
      <c r="S118" s="211">
        <f t="shared" si="39"/>
        <v>63490386.716699317</v>
      </c>
      <c r="T118" s="211">
        <f t="shared" si="39"/>
        <v>63490386.716699317</v>
      </c>
      <c r="U118" s="211">
        <f t="shared" si="39"/>
        <v>63490386.716699317</v>
      </c>
      <c r="V118" s="211">
        <f t="shared" si="39"/>
        <v>63490386.716699317</v>
      </c>
      <c r="W118" s="211">
        <f t="shared" si="39"/>
        <v>63490386.716699317</v>
      </c>
      <c r="X118" s="211">
        <f t="shared" si="39"/>
        <v>63490386.716699317</v>
      </c>
      <c r="Y118" s="211">
        <f t="shared" si="39"/>
        <v>63490386.716699317</v>
      </c>
      <c r="Z118" s="211">
        <f t="shared" si="39"/>
        <v>63490386.716699317</v>
      </c>
      <c r="AA118" s="211">
        <f t="shared" si="39"/>
        <v>63490386.716699317</v>
      </c>
      <c r="AB118" s="211">
        <f t="shared" si="39"/>
        <v>63490386.716699317</v>
      </c>
      <c r="AC118" s="211">
        <f t="shared" si="39"/>
        <v>63490386.716699317</v>
      </c>
      <c r="AD118" s="211">
        <f t="shared" si="39"/>
        <v>63490386.716699317</v>
      </c>
      <c r="AE118" s="211">
        <f t="shared" si="39"/>
        <v>63490386.716699317</v>
      </c>
      <c r="AF118" s="211">
        <f t="shared" si="39"/>
        <v>63490386.716699317</v>
      </c>
      <c r="AG118" s="211">
        <f t="shared" si="39"/>
        <v>63490386.716699317</v>
      </c>
      <c r="AH118" s="211">
        <f t="shared" si="39"/>
        <v>63490386.716699317</v>
      </c>
      <c r="AI118" s="211">
        <f t="shared" si="39"/>
        <v>63490386.716699317</v>
      </c>
      <c r="AJ118" s="211">
        <f t="shared" si="39"/>
        <v>63490386.716699317</v>
      </c>
      <c r="AK118" s="152">
        <f t="shared" si="39"/>
        <v>63490386.716699317</v>
      </c>
    </row>
    <row r="119" spans="2:37" x14ac:dyDescent="0.25">
      <c r="B119" s="144"/>
      <c r="C119" s="207"/>
      <c r="D119" s="207"/>
      <c r="E119" s="207"/>
      <c r="F119" s="207"/>
      <c r="G119" s="207"/>
      <c r="H119" s="207"/>
      <c r="I119" s="207"/>
      <c r="J119" s="207"/>
      <c r="K119" s="207"/>
      <c r="L119" s="207"/>
      <c r="M119" s="207"/>
      <c r="N119" s="207"/>
      <c r="O119" s="207"/>
      <c r="P119" s="207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  <c r="AA119" s="207"/>
      <c r="AB119" s="207"/>
      <c r="AC119" s="207"/>
      <c r="AD119" s="207"/>
      <c r="AE119" s="207"/>
      <c r="AF119" s="207"/>
      <c r="AG119" s="207"/>
      <c r="AH119" s="207"/>
      <c r="AI119" s="207"/>
      <c r="AJ119" s="207"/>
      <c r="AK119" s="81"/>
    </row>
    <row r="120" spans="2:37" x14ac:dyDescent="0.25">
      <c r="B120" s="144"/>
      <c r="C120" s="207"/>
      <c r="D120" s="207"/>
      <c r="E120" s="207"/>
      <c r="F120" s="207"/>
      <c r="G120" s="207"/>
      <c r="H120" s="207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  <c r="AA120" s="207"/>
      <c r="AB120" s="207"/>
      <c r="AC120" s="207"/>
      <c r="AD120" s="207"/>
      <c r="AE120" s="207"/>
      <c r="AF120" s="207"/>
      <c r="AG120" s="207"/>
      <c r="AH120" s="207"/>
      <c r="AI120" s="207"/>
      <c r="AJ120" s="207"/>
      <c r="AK120" s="81"/>
    </row>
    <row r="121" spans="2:37" x14ac:dyDescent="0.25">
      <c r="B121" s="144" t="s">
        <v>409</v>
      </c>
      <c r="C121" s="207"/>
      <c r="D121" s="207"/>
      <c r="E121" s="207"/>
      <c r="F121" s="207"/>
      <c r="G121" s="207"/>
      <c r="H121" s="216">
        <v>0.1429</v>
      </c>
      <c r="I121" s="217">
        <v>0.24490000000000001</v>
      </c>
      <c r="J121" s="217">
        <v>0.1749</v>
      </c>
      <c r="K121" s="217">
        <v>0.1249</v>
      </c>
      <c r="L121" s="217">
        <v>8.9300000000000004E-2</v>
      </c>
      <c r="M121" s="217">
        <v>8.9200000000000002E-2</v>
      </c>
      <c r="N121" s="217">
        <v>8.9300000000000004E-2</v>
      </c>
      <c r="O121" s="217">
        <v>4.4600000000000001E-2</v>
      </c>
      <c r="P121" s="218">
        <v>0</v>
      </c>
      <c r="Q121" s="218">
        <v>0</v>
      </c>
      <c r="R121" s="218">
        <v>0</v>
      </c>
      <c r="S121" s="218">
        <v>0</v>
      </c>
      <c r="T121" s="218">
        <v>0</v>
      </c>
      <c r="U121" s="218">
        <v>0</v>
      </c>
      <c r="V121" s="218">
        <v>0</v>
      </c>
      <c r="W121" s="218">
        <v>0</v>
      </c>
      <c r="X121" s="218">
        <v>0</v>
      </c>
      <c r="Y121" s="218">
        <v>0</v>
      </c>
      <c r="Z121" s="218">
        <v>0</v>
      </c>
      <c r="AA121" s="218">
        <v>0</v>
      </c>
      <c r="AB121" s="218">
        <v>0</v>
      </c>
      <c r="AC121" s="218">
        <v>0</v>
      </c>
      <c r="AD121" s="218">
        <v>0</v>
      </c>
      <c r="AE121" s="218">
        <v>0</v>
      </c>
      <c r="AF121" s="218">
        <v>0</v>
      </c>
      <c r="AG121" s="218">
        <v>0</v>
      </c>
      <c r="AH121" s="218">
        <v>0</v>
      </c>
      <c r="AI121" s="218">
        <v>0</v>
      </c>
      <c r="AJ121" s="218">
        <v>0</v>
      </c>
      <c r="AK121" s="154">
        <v>0</v>
      </c>
    </row>
    <row r="122" spans="2:37" x14ac:dyDescent="0.25">
      <c r="B122" s="144"/>
      <c r="C122" s="207"/>
      <c r="D122" s="207"/>
      <c r="E122" s="207"/>
      <c r="F122" s="207"/>
      <c r="G122" s="207"/>
      <c r="H122" s="219">
        <f t="shared" ref="H122:AK122" si="40">+H$121*$D$3</f>
        <v>74856380.232896388</v>
      </c>
      <c r="I122" s="219">
        <f t="shared" si="40"/>
        <v>128287806.29136688</v>
      </c>
      <c r="J122" s="219">
        <f t="shared" si="40"/>
        <v>91619180.564965561</v>
      </c>
      <c r="K122" s="219">
        <f t="shared" si="40"/>
        <v>65427305.046107478</v>
      </c>
      <c r="L122" s="219">
        <f t="shared" si="40"/>
        <v>46778689.676680528</v>
      </c>
      <c r="M122" s="219">
        <f t="shared" si="40"/>
        <v>46726305.925642811</v>
      </c>
      <c r="N122" s="219">
        <f t="shared" si="40"/>
        <v>46778689.676680528</v>
      </c>
      <c r="O122" s="219">
        <f t="shared" si="40"/>
        <v>23363152.962821405</v>
      </c>
      <c r="P122" s="219">
        <f t="shared" si="40"/>
        <v>0</v>
      </c>
      <c r="Q122" s="219">
        <f t="shared" si="40"/>
        <v>0</v>
      </c>
      <c r="R122" s="219">
        <f t="shared" si="40"/>
        <v>0</v>
      </c>
      <c r="S122" s="219">
        <f t="shared" si="40"/>
        <v>0</v>
      </c>
      <c r="T122" s="219">
        <f t="shared" si="40"/>
        <v>0</v>
      </c>
      <c r="U122" s="219">
        <f t="shared" si="40"/>
        <v>0</v>
      </c>
      <c r="V122" s="219">
        <f t="shared" si="40"/>
        <v>0</v>
      </c>
      <c r="W122" s="219">
        <f t="shared" si="40"/>
        <v>0</v>
      </c>
      <c r="X122" s="219">
        <f t="shared" si="40"/>
        <v>0</v>
      </c>
      <c r="Y122" s="219">
        <f t="shared" si="40"/>
        <v>0</v>
      </c>
      <c r="Z122" s="219">
        <f t="shared" si="40"/>
        <v>0</v>
      </c>
      <c r="AA122" s="219">
        <f t="shared" si="40"/>
        <v>0</v>
      </c>
      <c r="AB122" s="219">
        <f t="shared" si="40"/>
        <v>0</v>
      </c>
      <c r="AC122" s="219">
        <f t="shared" si="40"/>
        <v>0</v>
      </c>
      <c r="AD122" s="219">
        <f t="shared" si="40"/>
        <v>0</v>
      </c>
      <c r="AE122" s="219">
        <f t="shared" si="40"/>
        <v>0</v>
      </c>
      <c r="AF122" s="219">
        <f t="shared" si="40"/>
        <v>0</v>
      </c>
      <c r="AG122" s="219">
        <f t="shared" si="40"/>
        <v>0</v>
      </c>
      <c r="AH122" s="219">
        <f t="shared" si="40"/>
        <v>0</v>
      </c>
      <c r="AI122" s="219">
        <f t="shared" si="40"/>
        <v>0</v>
      </c>
      <c r="AJ122" s="219">
        <f t="shared" si="40"/>
        <v>0</v>
      </c>
      <c r="AK122" s="155">
        <f t="shared" si="40"/>
        <v>0</v>
      </c>
    </row>
    <row r="123" spans="2:37" x14ac:dyDescent="0.25">
      <c r="B123" s="144"/>
      <c r="C123" s="207"/>
      <c r="D123" s="207"/>
      <c r="E123" s="207"/>
      <c r="F123" s="207"/>
      <c r="G123" s="207"/>
      <c r="H123" s="220"/>
      <c r="I123" s="220"/>
      <c r="J123" s="220"/>
      <c r="K123" s="220"/>
      <c r="L123" s="220"/>
      <c r="M123" s="220"/>
      <c r="N123" s="220"/>
      <c r="O123" s="220"/>
      <c r="P123" s="220"/>
      <c r="Q123" s="220"/>
      <c r="R123" s="220"/>
      <c r="S123" s="220"/>
      <c r="T123" s="220"/>
      <c r="U123" s="220"/>
      <c r="V123" s="220"/>
      <c r="W123" s="220"/>
      <c r="X123" s="220"/>
      <c r="Y123" s="220"/>
      <c r="Z123" s="220"/>
      <c r="AA123" s="220"/>
      <c r="AB123" s="220"/>
      <c r="AC123" s="220"/>
      <c r="AD123" s="220"/>
      <c r="AE123" s="220"/>
      <c r="AF123" s="220"/>
      <c r="AG123" s="220"/>
      <c r="AH123" s="220"/>
      <c r="AI123" s="220"/>
      <c r="AJ123" s="220"/>
      <c r="AK123" s="156"/>
    </row>
    <row r="124" spans="2:37" x14ac:dyDescent="0.25">
      <c r="B124" s="144" t="s">
        <v>436</v>
      </c>
      <c r="C124" s="207"/>
      <c r="D124" s="207"/>
      <c r="E124" s="207"/>
      <c r="F124" s="207"/>
      <c r="G124" s="207"/>
      <c r="H124" s="221">
        <f>+H92-H76-H118-H122</f>
        <v>-49812744.933111504</v>
      </c>
      <c r="I124" s="221">
        <f t="shared" ref="I124:AK124" si="41">+I92-I76-I118-I122</f>
        <v>-79282845.291948915</v>
      </c>
      <c r="J124" s="221">
        <f t="shared" si="41"/>
        <v>-42614219.5655476</v>
      </c>
      <c r="K124" s="221">
        <f t="shared" si="41"/>
        <v>-16422344.046689518</v>
      </c>
      <c r="L124" s="221">
        <f t="shared" si="41"/>
        <v>2226271.322737433</v>
      </c>
      <c r="M124" s="221">
        <f t="shared" si="41"/>
        <v>2278655.0737751499</v>
      </c>
      <c r="N124" s="221">
        <f t="shared" si="41"/>
        <v>2226271.322737433</v>
      </c>
      <c r="O124" s="221">
        <f t="shared" si="41"/>
        <v>25641808.036596555</v>
      </c>
      <c r="P124" s="221">
        <f t="shared" si="41"/>
        <v>49004960.999417961</v>
      </c>
      <c r="Q124" s="221">
        <f t="shared" si="41"/>
        <v>49004960.999417961</v>
      </c>
      <c r="R124" s="221">
        <f t="shared" si="41"/>
        <v>95845302.798532352</v>
      </c>
      <c r="S124" s="221">
        <f t="shared" si="41"/>
        <v>95845302.798532352</v>
      </c>
      <c r="T124" s="221">
        <f t="shared" si="41"/>
        <v>95845302.798532352</v>
      </c>
      <c r="U124" s="221">
        <f t="shared" si="41"/>
        <v>95845302.798532352</v>
      </c>
      <c r="V124" s="221">
        <f t="shared" si="41"/>
        <v>95845302.798532352</v>
      </c>
      <c r="W124" s="221">
        <f t="shared" si="41"/>
        <v>95845302.798532352</v>
      </c>
      <c r="X124" s="221">
        <f t="shared" si="41"/>
        <v>95845302.798532352</v>
      </c>
      <c r="Y124" s="221">
        <f t="shared" si="41"/>
        <v>95845302.798532352</v>
      </c>
      <c r="Z124" s="221">
        <f t="shared" si="41"/>
        <v>95845302.798532352</v>
      </c>
      <c r="AA124" s="221">
        <f t="shared" si="41"/>
        <v>95845302.798532352</v>
      </c>
      <c r="AB124" s="221">
        <f t="shared" si="41"/>
        <v>95845302.798532352</v>
      </c>
      <c r="AC124" s="221">
        <f t="shared" si="41"/>
        <v>95845302.798532352</v>
      </c>
      <c r="AD124" s="221">
        <f t="shared" si="41"/>
        <v>95845302.798532352</v>
      </c>
      <c r="AE124" s="221">
        <f t="shared" si="41"/>
        <v>95845302.798532352</v>
      </c>
      <c r="AF124" s="221">
        <f t="shared" si="41"/>
        <v>95845302.798532352</v>
      </c>
      <c r="AG124" s="221">
        <f t="shared" si="41"/>
        <v>95845302.798532352</v>
      </c>
      <c r="AH124" s="221">
        <f t="shared" si="41"/>
        <v>95845302.798532352</v>
      </c>
      <c r="AI124" s="221">
        <f t="shared" si="41"/>
        <v>95845302.798532352</v>
      </c>
      <c r="AJ124" s="221">
        <f t="shared" si="41"/>
        <v>95845302.798532352</v>
      </c>
      <c r="AK124" s="221">
        <f t="shared" si="41"/>
        <v>95845302.798532352</v>
      </c>
    </row>
    <row r="125" spans="2:37" x14ac:dyDescent="0.25">
      <c r="B125" s="144" t="s">
        <v>437</v>
      </c>
      <c r="C125" s="207"/>
      <c r="D125" s="207"/>
      <c r="E125" s="207"/>
      <c r="F125" s="207"/>
      <c r="G125" s="207"/>
      <c r="H125" s="219">
        <v>0</v>
      </c>
      <c r="I125" s="220">
        <f t="shared" ref="I125:AK125" si="42">IF(H126&lt;0,H126,0)</f>
        <v>-49812744.933111504</v>
      </c>
      <c r="J125" s="220">
        <f t="shared" si="42"/>
        <v>-129095590.22506042</v>
      </c>
      <c r="K125" s="220">
        <f t="shared" si="42"/>
        <v>-171709809.79060802</v>
      </c>
      <c r="L125" s="220">
        <f t="shared" si="42"/>
        <v>-188132153.83729753</v>
      </c>
      <c r="M125" s="220">
        <f t="shared" si="42"/>
        <v>-185905882.5145601</v>
      </c>
      <c r="N125" s="220">
        <f t="shared" si="42"/>
        <v>-183627227.44078496</v>
      </c>
      <c r="O125" s="220">
        <f t="shared" si="42"/>
        <v>-181400956.11804754</v>
      </c>
      <c r="P125" s="220">
        <f t="shared" si="42"/>
        <v>-155759148.08145097</v>
      </c>
      <c r="Q125" s="220">
        <f t="shared" si="42"/>
        <v>-106754187.08203301</v>
      </c>
      <c r="R125" s="220">
        <f t="shared" si="42"/>
        <v>-57749226.082615048</v>
      </c>
      <c r="S125" s="220">
        <f t="shared" si="42"/>
        <v>0</v>
      </c>
      <c r="T125" s="220">
        <f t="shared" si="42"/>
        <v>0</v>
      </c>
      <c r="U125" s="220">
        <f t="shared" si="42"/>
        <v>0</v>
      </c>
      <c r="V125" s="220">
        <f t="shared" si="42"/>
        <v>0</v>
      </c>
      <c r="W125" s="220">
        <f t="shared" si="42"/>
        <v>0</v>
      </c>
      <c r="X125" s="220">
        <f t="shared" si="42"/>
        <v>0</v>
      </c>
      <c r="Y125" s="220">
        <f t="shared" si="42"/>
        <v>0</v>
      </c>
      <c r="Z125" s="220">
        <f t="shared" si="42"/>
        <v>0</v>
      </c>
      <c r="AA125" s="220">
        <f t="shared" si="42"/>
        <v>0</v>
      </c>
      <c r="AB125" s="220">
        <f t="shared" si="42"/>
        <v>0</v>
      </c>
      <c r="AC125" s="220">
        <f t="shared" si="42"/>
        <v>0</v>
      </c>
      <c r="AD125" s="220">
        <f t="shared" si="42"/>
        <v>0</v>
      </c>
      <c r="AE125" s="220">
        <f t="shared" si="42"/>
        <v>0</v>
      </c>
      <c r="AF125" s="220">
        <f t="shared" si="42"/>
        <v>0</v>
      </c>
      <c r="AG125" s="220">
        <f t="shared" si="42"/>
        <v>0</v>
      </c>
      <c r="AH125" s="220">
        <f t="shared" si="42"/>
        <v>0</v>
      </c>
      <c r="AI125" s="220">
        <f t="shared" si="42"/>
        <v>0</v>
      </c>
      <c r="AJ125" s="220">
        <f t="shared" si="42"/>
        <v>0</v>
      </c>
      <c r="AK125" s="156">
        <f t="shared" si="42"/>
        <v>0</v>
      </c>
    </row>
    <row r="126" spans="2:37" x14ac:dyDescent="0.25">
      <c r="B126" s="144" t="s">
        <v>438</v>
      </c>
      <c r="C126" s="207"/>
      <c r="D126" s="207"/>
      <c r="E126" s="207"/>
      <c r="F126" s="207"/>
      <c r="G126" s="207"/>
      <c r="H126" s="219">
        <f t="shared" ref="H126:AK126" si="43">+H125+H124</f>
        <v>-49812744.933111504</v>
      </c>
      <c r="I126" s="219">
        <f t="shared" si="43"/>
        <v>-129095590.22506042</v>
      </c>
      <c r="J126" s="219">
        <f t="shared" si="43"/>
        <v>-171709809.79060802</v>
      </c>
      <c r="K126" s="219">
        <f t="shared" si="43"/>
        <v>-188132153.83729753</v>
      </c>
      <c r="L126" s="219">
        <f t="shared" si="43"/>
        <v>-185905882.5145601</v>
      </c>
      <c r="M126" s="219">
        <f t="shared" si="43"/>
        <v>-183627227.44078496</v>
      </c>
      <c r="N126" s="219">
        <f t="shared" si="43"/>
        <v>-181400956.11804754</v>
      </c>
      <c r="O126" s="219">
        <f t="shared" si="43"/>
        <v>-155759148.08145097</v>
      </c>
      <c r="P126" s="219">
        <f t="shared" si="43"/>
        <v>-106754187.08203301</v>
      </c>
      <c r="Q126" s="219">
        <f t="shared" si="43"/>
        <v>-57749226.082615048</v>
      </c>
      <c r="R126" s="219">
        <f t="shared" si="43"/>
        <v>38096076.715917304</v>
      </c>
      <c r="S126" s="219">
        <f t="shared" si="43"/>
        <v>95845302.798532352</v>
      </c>
      <c r="T126" s="219">
        <f t="shared" si="43"/>
        <v>95845302.798532352</v>
      </c>
      <c r="U126" s="219">
        <f t="shared" si="43"/>
        <v>95845302.798532352</v>
      </c>
      <c r="V126" s="219">
        <f t="shared" si="43"/>
        <v>95845302.798532352</v>
      </c>
      <c r="W126" s="219">
        <f t="shared" si="43"/>
        <v>95845302.798532352</v>
      </c>
      <c r="X126" s="219">
        <f t="shared" si="43"/>
        <v>95845302.798532352</v>
      </c>
      <c r="Y126" s="219">
        <f t="shared" si="43"/>
        <v>95845302.798532352</v>
      </c>
      <c r="Z126" s="219">
        <f t="shared" si="43"/>
        <v>95845302.798532352</v>
      </c>
      <c r="AA126" s="219">
        <f t="shared" si="43"/>
        <v>95845302.798532352</v>
      </c>
      <c r="AB126" s="219">
        <f t="shared" si="43"/>
        <v>95845302.798532352</v>
      </c>
      <c r="AC126" s="219">
        <f t="shared" si="43"/>
        <v>95845302.798532352</v>
      </c>
      <c r="AD126" s="219">
        <f t="shared" si="43"/>
        <v>95845302.798532352</v>
      </c>
      <c r="AE126" s="219">
        <f t="shared" si="43"/>
        <v>95845302.798532352</v>
      </c>
      <c r="AF126" s="219">
        <f t="shared" si="43"/>
        <v>95845302.798532352</v>
      </c>
      <c r="AG126" s="219">
        <f t="shared" si="43"/>
        <v>95845302.798532352</v>
      </c>
      <c r="AH126" s="219">
        <f t="shared" si="43"/>
        <v>95845302.798532352</v>
      </c>
      <c r="AI126" s="219">
        <f t="shared" si="43"/>
        <v>95845302.798532352</v>
      </c>
      <c r="AJ126" s="219">
        <f t="shared" si="43"/>
        <v>95845302.798532352</v>
      </c>
      <c r="AK126" s="155">
        <f t="shared" si="43"/>
        <v>95845302.798532352</v>
      </c>
    </row>
    <row r="127" spans="2:37" x14ac:dyDescent="0.25">
      <c r="B127" s="144" t="s">
        <v>439</v>
      </c>
      <c r="C127" s="207"/>
      <c r="D127" s="207"/>
      <c r="E127" s="207"/>
      <c r="F127" s="207"/>
      <c r="G127" s="207"/>
      <c r="H127" s="207">
        <f t="shared" ref="H127:AK127" si="44">IF(H126*($D$61)&lt;0,0,H126*$D$61)</f>
        <v>0</v>
      </c>
      <c r="I127" s="207">
        <f t="shared" si="44"/>
        <v>0</v>
      </c>
      <c r="J127" s="207">
        <f t="shared" si="44"/>
        <v>0</v>
      </c>
      <c r="K127" s="207">
        <f t="shared" si="44"/>
        <v>0</v>
      </c>
      <c r="L127" s="207">
        <f t="shared" si="44"/>
        <v>0</v>
      </c>
      <c r="M127" s="207">
        <f t="shared" si="44"/>
        <v>0</v>
      </c>
      <c r="N127" s="207">
        <f t="shared" si="44"/>
        <v>0</v>
      </c>
      <c r="O127" s="207">
        <f t="shared" si="44"/>
        <v>0</v>
      </c>
      <c r="P127" s="215">
        <f t="shared" si="44"/>
        <v>0</v>
      </c>
      <c r="Q127" s="215">
        <f t="shared" si="44"/>
        <v>0</v>
      </c>
      <c r="R127" s="215">
        <f t="shared" si="44"/>
        <v>13333626.850571055</v>
      </c>
      <c r="S127" s="215">
        <f t="shared" si="44"/>
        <v>33545855.97948632</v>
      </c>
      <c r="T127" s="215">
        <f t="shared" si="44"/>
        <v>33545855.97948632</v>
      </c>
      <c r="U127" s="215">
        <f t="shared" si="44"/>
        <v>33545855.97948632</v>
      </c>
      <c r="V127" s="215">
        <f t="shared" si="44"/>
        <v>33545855.97948632</v>
      </c>
      <c r="W127" s="215">
        <f t="shared" si="44"/>
        <v>33545855.97948632</v>
      </c>
      <c r="X127" s="215">
        <f t="shared" si="44"/>
        <v>33545855.97948632</v>
      </c>
      <c r="Y127" s="215">
        <f t="shared" si="44"/>
        <v>33545855.97948632</v>
      </c>
      <c r="Z127" s="215">
        <f t="shared" si="44"/>
        <v>33545855.97948632</v>
      </c>
      <c r="AA127" s="215">
        <f t="shared" si="44"/>
        <v>33545855.97948632</v>
      </c>
      <c r="AB127" s="215">
        <f t="shared" si="44"/>
        <v>33545855.97948632</v>
      </c>
      <c r="AC127" s="215">
        <f t="shared" si="44"/>
        <v>33545855.97948632</v>
      </c>
      <c r="AD127" s="215">
        <f t="shared" si="44"/>
        <v>33545855.97948632</v>
      </c>
      <c r="AE127" s="215">
        <f t="shared" si="44"/>
        <v>33545855.97948632</v>
      </c>
      <c r="AF127" s="215">
        <f t="shared" si="44"/>
        <v>33545855.97948632</v>
      </c>
      <c r="AG127" s="215">
        <f t="shared" si="44"/>
        <v>33545855.97948632</v>
      </c>
      <c r="AH127" s="215">
        <f t="shared" si="44"/>
        <v>33545855.97948632</v>
      </c>
      <c r="AI127" s="215">
        <f t="shared" si="44"/>
        <v>33545855.97948632</v>
      </c>
      <c r="AJ127" s="215">
        <f t="shared" si="44"/>
        <v>33545855.97948632</v>
      </c>
      <c r="AK127" s="158">
        <f t="shared" si="44"/>
        <v>33545855.97948632</v>
      </c>
    </row>
    <row r="128" spans="2:37" x14ac:dyDescent="0.25">
      <c r="B128" s="144"/>
      <c r="C128" s="207"/>
      <c r="D128" s="207"/>
      <c r="E128" s="207"/>
      <c r="F128" s="207"/>
      <c r="G128" s="207"/>
      <c r="H128" s="207"/>
      <c r="I128" s="207"/>
      <c r="J128" s="207"/>
      <c r="K128" s="207"/>
      <c r="L128" s="207"/>
      <c r="M128" s="207"/>
      <c r="N128" s="207"/>
      <c r="O128" s="207"/>
      <c r="P128" s="207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  <c r="AA128" s="207"/>
      <c r="AB128" s="207"/>
      <c r="AC128" s="207"/>
      <c r="AD128" s="207"/>
      <c r="AE128" s="207"/>
      <c r="AF128" s="207"/>
      <c r="AG128" s="207"/>
      <c r="AH128" s="207"/>
      <c r="AI128" s="207"/>
      <c r="AJ128" s="207"/>
      <c r="AK128" s="81"/>
    </row>
    <row r="129" spans="2:37" x14ac:dyDescent="0.25">
      <c r="B129" s="144" t="s">
        <v>440</v>
      </c>
      <c r="C129" s="207"/>
      <c r="D129" s="207"/>
      <c r="E129" s="207"/>
      <c r="F129" s="207"/>
      <c r="G129" s="207"/>
      <c r="H129" s="211">
        <f t="shared" ref="H129:AK129" si="45">+H92-H76-H118-H127</f>
        <v>25043635.299784884</v>
      </c>
      <c r="I129" s="211">
        <f t="shared" si="45"/>
        <v>49004960.999417961</v>
      </c>
      <c r="J129" s="211">
        <f t="shared" si="45"/>
        <v>49004960.999417961</v>
      </c>
      <c r="K129" s="211">
        <f t="shared" si="45"/>
        <v>49004960.999417961</v>
      </c>
      <c r="L129" s="211">
        <f t="shared" si="45"/>
        <v>49004960.999417961</v>
      </c>
      <c r="M129" s="211">
        <f t="shared" si="45"/>
        <v>49004960.999417961</v>
      </c>
      <c r="N129" s="211">
        <f t="shared" si="45"/>
        <v>49004960.999417961</v>
      </c>
      <c r="O129" s="211">
        <f t="shared" si="45"/>
        <v>49004960.999417961</v>
      </c>
      <c r="P129" s="211">
        <f t="shared" si="45"/>
        <v>49004960.999417961</v>
      </c>
      <c r="Q129" s="211">
        <f t="shared" si="45"/>
        <v>49004960.999417961</v>
      </c>
      <c r="R129" s="211">
        <f t="shared" si="45"/>
        <v>82511675.947961301</v>
      </c>
      <c r="S129" s="211">
        <f t="shared" si="45"/>
        <v>62299446.819046035</v>
      </c>
      <c r="T129" s="211">
        <f t="shared" si="45"/>
        <v>62299446.819046035</v>
      </c>
      <c r="U129" s="211">
        <f t="shared" si="45"/>
        <v>62299446.819046035</v>
      </c>
      <c r="V129" s="211">
        <f t="shared" si="45"/>
        <v>62299446.819046035</v>
      </c>
      <c r="W129" s="211">
        <f t="shared" si="45"/>
        <v>62299446.819046035</v>
      </c>
      <c r="X129" s="211">
        <f t="shared" si="45"/>
        <v>62299446.819046035</v>
      </c>
      <c r="Y129" s="211">
        <f t="shared" si="45"/>
        <v>62299446.819046035</v>
      </c>
      <c r="Z129" s="211">
        <f t="shared" si="45"/>
        <v>62299446.819046035</v>
      </c>
      <c r="AA129" s="211">
        <f t="shared" si="45"/>
        <v>62299446.819046035</v>
      </c>
      <c r="AB129" s="211">
        <f t="shared" si="45"/>
        <v>62299446.819046035</v>
      </c>
      <c r="AC129" s="211">
        <f t="shared" si="45"/>
        <v>62299446.819046035</v>
      </c>
      <c r="AD129" s="211">
        <f t="shared" si="45"/>
        <v>62299446.819046035</v>
      </c>
      <c r="AE129" s="211">
        <f t="shared" si="45"/>
        <v>62299446.819046035</v>
      </c>
      <c r="AF129" s="211">
        <f t="shared" si="45"/>
        <v>62299446.819046035</v>
      </c>
      <c r="AG129" s="211">
        <f t="shared" si="45"/>
        <v>62299446.819046035</v>
      </c>
      <c r="AH129" s="211">
        <f t="shared" si="45"/>
        <v>62299446.819046035</v>
      </c>
      <c r="AI129" s="211">
        <f t="shared" si="45"/>
        <v>62299446.819046035</v>
      </c>
      <c r="AJ129" s="211">
        <f t="shared" si="45"/>
        <v>62299446.819046035</v>
      </c>
      <c r="AK129" s="152">
        <f t="shared" si="45"/>
        <v>62299446.819046035</v>
      </c>
    </row>
    <row r="130" spans="2:37" x14ac:dyDescent="0.25">
      <c r="B130" s="144" t="s">
        <v>441</v>
      </c>
      <c r="C130" s="207"/>
      <c r="D130" s="207"/>
      <c r="E130" s="207">
        <f t="shared" ref="E130:AK130" si="46">1/(1+$D$60)^E71</f>
        <v>1.2100000000000002</v>
      </c>
      <c r="F130" s="207">
        <f t="shared" si="46"/>
        <v>1.1000000000000001</v>
      </c>
      <c r="G130" s="207">
        <f t="shared" si="46"/>
        <v>1</v>
      </c>
      <c r="H130" s="207">
        <f t="shared" si="46"/>
        <v>0.90909090909090906</v>
      </c>
      <c r="I130" s="207">
        <f t="shared" si="46"/>
        <v>0.82644628099173545</v>
      </c>
      <c r="J130" s="207">
        <f t="shared" si="46"/>
        <v>0.75131480090157754</v>
      </c>
      <c r="K130" s="207">
        <f t="shared" si="46"/>
        <v>0.68301345536507052</v>
      </c>
      <c r="L130" s="207">
        <f t="shared" si="46"/>
        <v>0.62092132305915493</v>
      </c>
      <c r="M130" s="207">
        <f t="shared" si="46"/>
        <v>0.56447393005377722</v>
      </c>
      <c r="N130" s="207">
        <f t="shared" si="46"/>
        <v>0.51315811823070645</v>
      </c>
      <c r="O130" s="207">
        <f t="shared" si="46"/>
        <v>0.46650738020973315</v>
      </c>
      <c r="P130" s="207">
        <f t="shared" si="46"/>
        <v>0.42409761837248466</v>
      </c>
      <c r="Q130" s="207">
        <f t="shared" si="46"/>
        <v>0.38554328942953148</v>
      </c>
      <c r="R130" s="207">
        <f t="shared" si="46"/>
        <v>0.3504938994813922</v>
      </c>
      <c r="S130" s="207">
        <f t="shared" si="46"/>
        <v>0.31863081771035656</v>
      </c>
      <c r="T130" s="207">
        <f t="shared" si="46"/>
        <v>0.28966437973668779</v>
      </c>
      <c r="U130" s="207">
        <f t="shared" si="46"/>
        <v>0.26333125430607973</v>
      </c>
      <c r="V130" s="207">
        <f t="shared" si="46"/>
        <v>0.23939204936916339</v>
      </c>
      <c r="W130" s="207">
        <f t="shared" si="46"/>
        <v>0.21762913579014853</v>
      </c>
      <c r="X130" s="207">
        <f t="shared" si="46"/>
        <v>0.19784466890013502</v>
      </c>
      <c r="Y130" s="207">
        <f t="shared" si="46"/>
        <v>0.17985878990921364</v>
      </c>
      <c r="Z130" s="207">
        <f t="shared" si="46"/>
        <v>0.16350799082655781</v>
      </c>
      <c r="AA130" s="207">
        <f t="shared" si="46"/>
        <v>0.14864362802414349</v>
      </c>
      <c r="AB130" s="207">
        <f t="shared" si="46"/>
        <v>0.13513057093103953</v>
      </c>
      <c r="AC130" s="207">
        <f t="shared" si="46"/>
        <v>0.12284597357367227</v>
      </c>
      <c r="AD130" s="207">
        <f t="shared" si="46"/>
        <v>0.11167815779424752</v>
      </c>
      <c r="AE130" s="207">
        <f t="shared" si="46"/>
        <v>0.10152559799477048</v>
      </c>
      <c r="AF130" s="207">
        <f t="shared" si="46"/>
        <v>9.2295998177064048E-2</v>
      </c>
      <c r="AG130" s="207">
        <f t="shared" si="46"/>
        <v>8.3905452888240042E-2</v>
      </c>
      <c r="AH130" s="207">
        <f t="shared" si="46"/>
        <v>7.6277684443854576E-2</v>
      </c>
      <c r="AI130" s="207">
        <f t="shared" si="46"/>
        <v>6.9343349494413245E-2</v>
      </c>
      <c r="AJ130" s="207">
        <f t="shared" si="46"/>
        <v>6.3039408631284766E-2</v>
      </c>
      <c r="AK130" s="81">
        <f t="shared" si="46"/>
        <v>5.7308553301167964E-2</v>
      </c>
    </row>
    <row r="131" spans="2:37" x14ac:dyDescent="0.25">
      <c r="B131" s="144" t="s">
        <v>442</v>
      </c>
      <c r="C131" s="207"/>
      <c r="D131" s="214">
        <f>SUM(H131:AK131)</f>
        <v>490903935.89059234</v>
      </c>
      <c r="E131" s="207"/>
      <c r="F131" s="207"/>
      <c r="G131" s="207"/>
      <c r="H131" s="211">
        <f>+H130*H129</f>
        <v>22766941.181622621</v>
      </c>
      <c r="I131" s="211">
        <f t="shared" ref="I131:AK131" si="47">+I130*I129</f>
        <v>40499967.768114015</v>
      </c>
      <c r="J131" s="211">
        <f t="shared" si="47"/>
        <v>36818152.516467281</v>
      </c>
      <c r="K131" s="211">
        <f t="shared" si="47"/>
        <v>33471047.742242981</v>
      </c>
      <c r="L131" s="211">
        <f t="shared" si="47"/>
        <v>30428225.220220886</v>
      </c>
      <c r="M131" s="211">
        <f t="shared" si="47"/>
        <v>27662022.927473534</v>
      </c>
      <c r="N131" s="211">
        <f t="shared" si="47"/>
        <v>25147293.57043048</v>
      </c>
      <c r="O131" s="211">
        <f t="shared" si="47"/>
        <v>22861175.973118618</v>
      </c>
      <c r="P131" s="211">
        <f t="shared" si="47"/>
        <v>20782887.248289652</v>
      </c>
      <c r="Q131" s="211">
        <f t="shared" si="47"/>
        <v>18893533.862081502</v>
      </c>
      <c r="R131" s="211">
        <f t="shared" si="47"/>
        <v>28919839.055745956</v>
      </c>
      <c r="S131" s="211">
        <f t="shared" si="47"/>
        <v>19850523.682855509</v>
      </c>
      <c r="T131" s="211">
        <f t="shared" si="47"/>
        <v>18045930.620777737</v>
      </c>
      <c r="U131" s="211">
        <f t="shared" si="47"/>
        <v>16405391.473434301</v>
      </c>
      <c r="V131" s="211">
        <f t="shared" si="47"/>
        <v>14913992.248576637</v>
      </c>
      <c r="W131" s="211">
        <f t="shared" si="47"/>
        <v>13558174.771433307</v>
      </c>
      <c r="X131" s="211">
        <f t="shared" si="47"/>
        <v>12325613.428575734</v>
      </c>
      <c r="Y131" s="211">
        <f t="shared" si="47"/>
        <v>11205103.116887029</v>
      </c>
      <c r="Z131" s="211">
        <f t="shared" si="47"/>
        <v>10186457.378988206</v>
      </c>
      <c r="AA131" s="211">
        <f t="shared" si="47"/>
        <v>9260415.7990801893</v>
      </c>
      <c r="AB131" s="211">
        <f t="shared" si="47"/>
        <v>8418559.8173456248</v>
      </c>
      <c r="AC131" s="211">
        <f t="shared" si="47"/>
        <v>7653236.1975869304</v>
      </c>
      <c r="AD131" s="211">
        <f t="shared" si="47"/>
        <v>6957487.4523517545</v>
      </c>
      <c r="AE131" s="211">
        <f t="shared" si="47"/>
        <v>6324988.5930470508</v>
      </c>
      <c r="AF131" s="211">
        <f t="shared" si="47"/>
        <v>5749989.6300427718</v>
      </c>
      <c r="AG131" s="211">
        <f t="shared" si="47"/>
        <v>5227263.3000388835</v>
      </c>
      <c r="AH131" s="211">
        <f t="shared" si="47"/>
        <v>4752057.5454898933</v>
      </c>
      <c r="AI131" s="211">
        <f t="shared" si="47"/>
        <v>4320052.314081721</v>
      </c>
      <c r="AJ131" s="211">
        <f t="shared" si="47"/>
        <v>3927320.2855288368</v>
      </c>
      <c r="AK131" s="152">
        <f t="shared" si="47"/>
        <v>3570291.1686625788</v>
      </c>
    </row>
    <row r="132" spans="2:37" x14ac:dyDescent="0.25">
      <c r="B132" s="144" t="s">
        <v>443</v>
      </c>
      <c r="C132" s="207"/>
      <c r="D132" s="207"/>
      <c r="E132" s="211">
        <f>+SUM(E72,E77,E73)*E130</f>
        <v>51808615.123220161</v>
      </c>
      <c r="F132" s="211">
        <f>+(F72+F77)*F130</f>
        <v>157100964.71215227</v>
      </c>
      <c r="G132" s="211">
        <f>+(G72+G77+G74)*G130</f>
        <v>118387277.34523851</v>
      </c>
      <c r="H132" s="207"/>
      <c r="I132" s="207"/>
      <c r="J132" s="207"/>
      <c r="K132" s="207"/>
      <c r="L132" s="207"/>
      <c r="M132" s="207"/>
      <c r="N132" s="207"/>
      <c r="O132" s="207"/>
      <c r="P132" s="207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  <c r="AA132" s="207"/>
      <c r="AB132" s="207"/>
      <c r="AC132" s="207"/>
      <c r="AD132" s="207"/>
      <c r="AE132" s="207"/>
      <c r="AF132" s="207"/>
      <c r="AG132" s="207"/>
      <c r="AH132" s="207"/>
      <c r="AI132" s="207"/>
      <c r="AJ132" s="207"/>
      <c r="AK132" s="81"/>
    </row>
    <row r="133" spans="2:37" x14ac:dyDescent="0.25">
      <c r="B133" s="144"/>
      <c r="C133" s="207"/>
      <c r="D133" s="207"/>
      <c r="E133" s="207"/>
      <c r="F133" s="207"/>
      <c r="G133" s="207"/>
      <c r="H133" s="207"/>
      <c r="I133" s="207"/>
      <c r="J133" s="207"/>
      <c r="K133" s="207"/>
      <c r="L133" s="207"/>
      <c r="M133" s="207"/>
      <c r="N133" s="207"/>
      <c r="O133" s="207"/>
      <c r="P133" s="207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  <c r="AA133" s="207"/>
      <c r="AB133" s="207"/>
      <c r="AC133" s="207"/>
      <c r="AD133" s="207"/>
      <c r="AE133" s="207"/>
      <c r="AF133" s="207"/>
      <c r="AG133" s="207"/>
      <c r="AH133" s="207"/>
      <c r="AI133" s="207"/>
      <c r="AJ133" s="207"/>
      <c r="AK133" s="81"/>
    </row>
    <row r="134" spans="2:37" x14ac:dyDescent="0.25">
      <c r="B134" s="144"/>
      <c r="C134" s="207"/>
      <c r="D134" s="207"/>
      <c r="E134" s="207"/>
      <c r="F134" s="207"/>
      <c r="G134" s="207"/>
      <c r="H134" s="207"/>
      <c r="I134" s="207"/>
      <c r="J134" s="207"/>
      <c r="K134" s="207"/>
      <c r="L134" s="207"/>
      <c r="M134" s="207"/>
      <c r="N134" s="207"/>
      <c r="O134" s="207"/>
      <c r="P134" s="207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  <c r="AA134" s="207"/>
      <c r="AB134" s="207"/>
      <c r="AC134" s="207"/>
      <c r="AD134" s="207"/>
      <c r="AE134" s="207"/>
      <c r="AF134" s="207"/>
      <c r="AG134" s="207"/>
      <c r="AH134" s="207"/>
      <c r="AI134" s="207"/>
      <c r="AJ134" s="207"/>
      <c r="AK134" s="81"/>
    </row>
    <row r="135" spans="2:37" x14ac:dyDescent="0.25">
      <c r="B135" s="144" t="s">
        <v>444</v>
      </c>
      <c r="C135" s="207"/>
      <c r="D135" s="214">
        <f>SUM(H135:AK135)</f>
        <v>103024888.8516628</v>
      </c>
      <c r="E135" s="207"/>
      <c r="F135" s="207"/>
      <c r="G135" s="207"/>
      <c r="H135" s="211">
        <f>+H130*H127</f>
        <v>0</v>
      </c>
      <c r="I135" s="211">
        <f t="shared" ref="I135:AK135" si="48">+I130*I127</f>
        <v>0</v>
      </c>
      <c r="J135" s="211">
        <f t="shared" si="48"/>
        <v>0</v>
      </c>
      <c r="K135" s="211">
        <f t="shared" si="48"/>
        <v>0</v>
      </c>
      <c r="L135" s="211">
        <f t="shared" si="48"/>
        <v>0</v>
      </c>
      <c r="M135" s="211">
        <f t="shared" si="48"/>
        <v>0</v>
      </c>
      <c r="N135" s="211">
        <f t="shared" si="48"/>
        <v>0</v>
      </c>
      <c r="O135" s="211">
        <f t="shared" si="48"/>
        <v>0</v>
      </c>
      <c r="P135" s="211">
        <f t="shared" si="48"/>
        <v>0</v>
      </c>
      <c r="Q135" s="211">
        <f t="shared" si="48"/>
        <v>0</v>
      </c>
      <c r="R135" s="211">
        <f t="shared" si="48"/>
        <v>4673354.8690864434</v>
      </c>
      <c r="S135" s="211">
        <f t="shared" si="48"/>
        <v>10688743.52153758</v>
      </c>
      <c r="T135" s="211">
        <f t="shared" si="48"/>
        <v>9717039.5650341641</v>
      </c>
      <c r="U135" s="211">
        <f t="shared" si="48"/>
        <v>8833672.3318492379</v>
      </c>
      <c r="V135" s="211">
        <f t="shared" si="48"/>
        <v>8030611.2107720338</v>
      </c>
      <c r="W135" s="211">
        <f t="shared" si="48"/>
        <v>7300555.6461563949</v>
      </c>
      <c r="X135" s="211">
        <f t="shared" si="48"/>
        <v>6636868.7692330852</v>
      </c>
      <c r="Y135" s="211">
        <f t="shared" si="48"/>
        <v>6033517.062939168</v>
      </c>
      <c r="Z135" s="211">
        <f t="shared" si="48"/>
        <v>5485015.5117628789</v>
      </c>
      <c r="AA135" s="211">
        <f t="shared" si="48"/>
        <v>4986377.7379662544</v>
      </c>
      <c r="AB135" s="211">
        <f t="shared" si="48"/>
        <v>4533070.6708784131</v>
      </c>
      <c r="AC135" s="211">
        <f t="shared" si="48"/>
        <v>4120973.3371621924</v>
      </c>
      <c r="AD135" s="211">
        <f t="shared" si="48"/>
        <v>3746339.3974201749</v>
      </c>
      <c r="AE135" s="211">
        <f t="shared" si="48"/>
        <v>3405763.0885637957</v>
      </c>
      <c r="AF135" s="211">
        <f t="shared" si="48"/>
        <v>3096148.2623307225</v>
      </c>
      <c r="AG135" s="211">
        <f t="shared" si="48"/>
        <v>2814680.2384824748</v>
      </c>
      <c r="AH135" s="211">
        <f t="shared" si="48"/>
        <v>2558800.2168022497</v>
      </c>
      <c r="AI135" s="211">
        <f t="shared" si="48"/>
        <v>2326182.0152747724</v>
      </c>
      <c r="AJ135" s="211">
        <f t="shared" si="48"/>
        <v>2114710.9229770657</v>
      </c>
      <c r="AK135" s="152">
        <f t="shared" si="48"/>
        <v>1922464.4754336958</v>
      </c>
    </row>
    <row r="136" spans="2:37" x14ac:dyDescent="0.25">
      <c r="B136" s="144" t="s">
        <v>491</v>
      </c>
      <c r="C136" s="207"/>
      <c r="D136" s="214">
        <f t="shared" ref="D136:D151" si="49">SUM(H136:AK136)</f>
        <v>1074291097.7629058</v>
      </c>
      <c r="E136" s="207"/>
      <c r="F136" s="207"/>
      <c r="G136" s="207"/>
      <c r="H136" s="212">
        <f t="shared" ref="H136:AK136" si="50">+H130*H81</f>
        <v>79619535.601916596</v>
      </c>
      <c r="I136" s="212">
        <f t="shared" si="50"/>
        <v>96508528.002323136</v>
      </c>
      <c r="J136" s="212">
        <f t="shared" si="50"/>
        <v>87735025.45665738</v>
      </c>
      <c r="K136" s="212">
        <f t="shared" si="50"/>
        <v>79759114.051506713</v>
      </c>
      <c r="L136" s="212">
        <f t="shared" si="50"/>
        <v>72508285.50136973</v>
      </c>
      <c r="M136" s="212">
        <f t="shared" si="50"/>
        <v>65916623.183063395</v>
      </c>
      <c r="N136" s="212">
        <f t="shared" si="50"/>
        <v>59924202.893693976</v>
      </c>
      <c r="O136" s="212">
        <f t="shared" si="50"/>
        <v>54476548.085176349</v>
      </c>
      <c r="P136" s="212">
        <f t="shared" si="50"/>
        <v>49524134.622887589</v>
      </c>
      <c r="Q136" s="212">
        <f t="shared" si="50"/>
        <v>45021940.566261441</v>
      </c>
      <c r="R136" s="212">
        <f t="shared" si="50"/>
        <v>40929036.878419481</v>
      </c>
      <c r="S136" s="212">
        <f t="shared" si="50"/>
        <v>37208215.344017714</v>
      </c>
      <c r="T136" s="212">
        <f t="shared" si="50"/>
        <v>33825650.312743381</v>
      </c>
      <c r="U136" s="212">
        <f t="shared" si="50"/>
        <v>30750591.193403061</v>
      </c>
      <c r="V136" s="212">
        <f t="shared" si="50"/>
        <v>27955082.903093692</v>
      </c>
      <c r="W136" s="212">
        <f t="shared" si="50"/>
        <v>25413711.730085172</v>
      </c>
      <c r="X136" s="212">
        <f t="shared" si="50"/>
        <v>23103374.300077431</v>
      </c>
      <c r="Y136" s="212">
        <f t="shared" si="50"/>
        <v>21003067.545524932</v>
      </c>
      <c r="Z136" s="212">
        <f t="shared" si="50"/>
        <v>19093697.768659025</v>
      </c>
      <c r="AA136" s="212">
        <f t="shared" si="50"/>
        <v>17357907.062417299</v>
      </c>
      <c r="AB136" s="212">
        <f t="shared" si="50"/>
        <v>15779915.511288453</v>
      </c>
      <c r="AC136" s="212">
        <f t="shared" si="50"/>
        <v>14345377.737534953</v>
      </c>
      <c r="AD136" s="212">
        <f t="shared" si="50"/>
        <v>13041252.48866814</v>
      </c>
      <c r="AE136" s="212">
        <f t="shared" si="50"/>
        <v>11855684.080607401</v>
      </c>
      <c r="AF136" s="212">
        <f t="shared" si="50"/>
        <v>10777894.618733998</v>
      </c>
      <c r="AG136" s="212">
        <f t="shared" si="50"/>
        <v>9798086.0170309078</v>
      </c>
      <c r="AH136" s="212">
        <f t="shared" si="50"/>
        <v>8907350.9245735519</v>
      </c>
      <c r="AI136" s="212">
        <f t="shared" si="50"/>
        <v>8097591.7496123184</v>
      </c>
      <c r="AJ136" s="212">
        <f t="shared" si="50"/>
        <v>7361447.0451021073</v>
      </c>
      <c r="AK136" s="159">
        <f t="shared" si="50"/>
        <v>6692224.5864564609</v>
      </c>
    </row>
    <row r="137" spans="2:37" x14ac:dyDescent="0.25">
      <c r="B137" s="144" t="s">
        <v>492</v>
      </c>
      <c r="C137" s="207"/>
      <c r="D137" s="214">
        <f t="shared" si="49"/>
        <v>28568299.897670206</v>
      </c>
      <c r="E137" s="207"/>
      <c r="F137" s="207"/>
      <c r="G137" s="207"/>
      <c r="H137" s="212">
        <f t="shared" ref="H137:AK137" si="51">+$H$130*H83</f>
        <v>720209.24111773598</v>
      </c>
      <c r="I137" s="212">
        <f t="shared" si="51"/>
        <v>960278.9881569813</v>
      </c>
      <c r="J137" s="212">
        <f t="shared" si="51"/>
        <v>960278.9881569813</v>
      </c>
      <c r="K137" s="212">
        <f t="shared" si="51"/>
        <v>960278.9881569813</v>
      </c>
      <c r="L137" s="212">
        <f t="shared" si="51"/>
        <v>960278.9881569813</v>
      </c>
      <c r="M137" s="212">
        <f t="shared" si="51"/>
        <v>960278.9881569813</v>
      </c>
      <c r="N137" s="212">
        <f t="shared" si="51"/>
        <v>960278.9881569813</v>
      </c>
      <c r="O137" s="212">
        <f t="shared" si="51"/>
        <v>960278.9881569813</v>
      </c>
      <c r="P137" s="212">
        <f t="shared" si="51"/>
        <v>960278.9881569813</v>
      </c>
      <c r="Q137" s="212">
        <f t="shared" si="51"/>
        <v>960278.9881569813</v>
      </c>
      <c r="R137" s="212">
        <f t="shared" si="51"/>
        <v>960278.9881569813</v>
      </c>
      <c r="S137" s="212">
        <f t="shared" si="51"/>
        <v>960278.9881569813</v>
      </c>
      <c r="T137" s="212">
        <f t="shared" si="51"/>
        <v>960278.9881569813</v>
      </c>
      <c r="U137" s="212">
        <f t="shared" si="51"/>
        <v>960278.9881569813</v>
      </c>
      <c r="V137" s="212">
        <f t="shared" si="51"/>
        <v>960278.9881569813</v>
      </c>
      <c r="W137" s="212">
        <f t="shared" si="51"/>
        <v>960278.9881569813</v>
      </c>
      <c r="X137" s="212">
        <f t="shared" si="51"/>
        <v>960278.9881569813</v>
      </c>
      <c r="Y137" s="212">
        <f t="shared" si="51"/>
        <v>960278.9881569813</v>
      </c>
      <c r="Z137" s="212">
        <f t="shared" si="51"/>
        <v>960278.9881569813</v>
      </c>
      <c r="AA137" s="212">
        <f t="shared" si="51"/>
        <v>960278.9881569813</v>
      </c>
      <c r="AB137" s="212">
        <f t="shared" si="51"/>
        <v>960278.9881569813</v>
      </c>
      <c r="AC137" s="212">
        <f t="shared" si="51"/>
        <v>960278.9881569813</v>
      </c>
      <c r="AD137" s="212">
        <f t="shared" si="51"/>
        <v>960278.9881569813</v>
      </c>
      <c r="AE137" s="212">
        <f t="shared" si="51"/>
        <v>960278.9881569813</v>
      </c>
      <c r="AF137" s="212">
        <f t="shared" si="51"/>
        <v>960278.9881569813</v>
      </c>
      <c r="AG137" s="212">
        <f t="shared" si="51"/>
        <v>960278.9881569813</v>
      </c>
      <c r="AH137" s="212">
        <f t="shared" si="51"/>
        <v>960278.9881569813</v>
      </c>
      <c r="AI137" s="212">
        <f t="shared" si="51"/>
        <v>960278.9881569813</v>
      </c>
      <c r="AJ137" s="212">
        <f t="shared" si="51"/>
        <v>960278.9881569813</v>
      </c>
      <c r="AK137" s="159">
        <f t="shared" si="51"/>
        <v>960278.9881569813</v>
      </c>
    </row>
    <row r="138" spans="2:37" x14ac:dyDescent="0.25">
      <c r="B138" s="144" t="s">
        <v>493</v>
      </c>
      <c r="C138" s="207"/>
      <c r="D138" s="214">
        <f t="shared" si="49"/>
        <v>6645351.3316778811</v>
      </c>
      <c r="E138" s="207"/>
      <c r="F138" s="207"/>
      <c r="G138" s="207"/>
      <c r="H138" s="212">
        <f t="shared" ref="H138:AK138" si="52">+$H$130*H84</f>
        <v>167529.86550448442</v>
      </c>
      <c r="I138" s="212">
        <f t="shared" si="52"/>
        <v>223373.15400597922</v>
      </c>
      <c r="J138" s="212">
        <f t="shared" si="52"/>
        <v>223373.15400597922</v>
      </c>
      <c r="K138" s="212">
        <f t="shared" si="52"/>
        <v>223373.15400597922</v>
      </c>
      <c r="L138" s="212">
        <f t="shared" si="52"/>
        <v>223373.15400597922</v>
      </c>
      <c r="M138" s="212">
        <f t="shared" si="52"/>
        <v>223373.15400597922</v>
      </c>
      <c r="N138" s="212">
        <f t="shared" si="52"/>
        <v>223373.15400597922</v>
      </c>
      <c r="O138" s="212">
        <f t="shared" si="52"/>
        <v>223373.15400597922</v>
      </c>
      <c r="P138" s="212">
        <f t="shared" si="52"/>
        <v>223373.15400597922</v>
      </c>
      <c r="Q138" s="212">
        <f t="shared" si="52"/>
        <v>223373.15400597922</v>
      </c>
      <c r="R138" s="212">
        <f t="shared" si="52"/>
        <v>223373.15400597922</v>
      </c>
      <c r="S138" s="212">
        <f t="shared" si="52"/>
        <v>223373.15400597922</v>
      </c>
      <c r="T138" s="212">
        <f t="shared" si="52"/>
        <v>223373.15400597922</v>
      </c>
      <c r="U138" s="212">
        <f t="shared" si="52"/>
        <v>223373.15400597922</v>
      </c>
      <c r="V138" s="212">
        <f t="shared" si="52"/>
        <v>223373.15400597922</v>
      </c>
      <c r="W138" s="212">
        <f t="shared" si="52"/>
        <v>223373.15400597922</v>
      </c>
      <c r="X138" s="212">
        <f t="shared" si="52"/>
        <v>223373.15400597922</v>
      </c>
      <c r="Y138" s="212">
        <f t="shared" si="52"/>
        <v>223373.15400597922</v>
      </c>
      <c r="Z138" s="212">
        <f t="shared" si="52"/>
        <v>223373.15400597922</v>
      </c>
      <c r="AA138" s="212">
        <f t="shared" si="52"/>
        <v>223373.15400597922</v>
      </c>
      <c r="AB138" s="212">
        <f t="shared" si="52"/>
        <v>223373.15400597922</v>
      </c>
      <c r="AC138" s="212">
        <f t="shared" si="52"/>
        <v>223373.15400597922</v>
      </c>
      <c r="AD138" s="212">
        <f t="shared" si="52"/>
        <v>223373.15400597922</v>
      </c>
      <c r="AE138" s="212">
        <f t="shared" si="52"/>
        <v>223373.15400597922</v>
      </c>
      <c r="AF138" s="212">
        <f t="shared" si="52"/>
        <v>223373.15400597922</v>
      </c>
      <c r="AG138" s="212">
        <f t="shared" si="52"/>
        <v>223373.15400597922</v>
      </c>
      <c r="AH138" s="212">
        <f t="shared" si="52"/>
        <v>223373.15400597922</v>
      </c>
      <c r="AI138" s="212">
        <f t="shared" si="52"/>
        <v>223373.15400597922</v>
      </c>
      <c r="AJ138" s="212">
        <f t="shared" si="52"/>
        <v>223373.15400597922</v>
      </c>
      <c r="AK138" s="159">
        <f t="shared" si="52"/>
        <v>223373.15400597922</v>
      </c>
    </row>
    <row r="139" spans="2:37" x14ac:dyDescent="0.25">
      <c r="B139" s="144" t="s">
        <v>494</v>
      </c>
      <c r="C139" s="207"/>
      <c r="D139" s="214">
        <f t="shared" si="49"/>
        <v>0</v>
      </c>
      <c r="E139" s="207"/>
      <c r="F139" s="207"/>
      <c r="G139" s="207"/>
      <c r="H139" s="212">
        <f t="shared" ref="H139:AK139" si="53">+$H$130*H85</f>
        <v>0</v>
      </c>
      <c r="I139" s="212">
        <f t="shared" si="53"/>
        <v>0</v>
      </c>
      <c r="J139" s="212">
        <f t="shared" si="53"/>
        <v>0</v>
      </c>
      <c r="K139" s="212">
        <f t="shared" si="53"/>
        <v>0</v>
      </c>
      <c r="L139" s="212">
        <f t="shared" si="53"/>
        <v>0</v>
      </c>
      <c r="M139" s="212">
        <f t="shared" si="53"/>
        <v>0</v>
      </c>
      <c r="N139" s="212">
        <f t="shared" si="53"/>
        <v>0</v>
      </c>
      <c r="O139" s="212">
        <f t="shared" si="53"/>
        <v>0</v>
      </c>
      <c r="P139" s="212">
        <f t="shared" si="53"/>
        <v>0</v>
      </c>
      <c r="Q139" s="212">
        <f t="shared" si="53"/>
        <v>0</v>
      </c>
      <c r="R139" s="212">
        <f t="shared" si="53"/>
        <v>0</v>
      </c>
      <c r="S139" s="212">
        <f t="shared" si="53"/>
        <v>0</v>
      </c>
      <c r="T139" s="212">
        <f t="shared" si="53"/>
        <v>0</v>
      </c>
      <c r="U139" s="212">
        <f t="shared" si="53"/>
        <v>0</v>
      </c>
      <c r="V139" s="212">
        <f t="shared" si="53"/>
        <v>0</v>
      </c>
      <c r="W139" s="212">
        <f t="shared" si="53"/>
        <v>0</v>
      </c>
      <c r="X139" s="212">
        <f t="shared" si="53"/>
        <v>0</v>
      </c>
      <c r="Y139" s="212">
        <f t="shared" si="53"/>
        <v>0</v>
      </c>
      <c r="Z139" s="212">
        <f t="shared" si="53"/>
        <v>0</v>
      </c>
      <c r="AA139" s="212">
        <f t="shared" si="53"/>
        <v>0</v>
      </c>
      <c r="AB139" s="212">
        <f t="shared" si="53"/>
        <v>0</v>
      </c>
      <c r="AC139" s="212">
        <f t="shared" si="53"/>
        <v>0</v>
      </c>
      <c r="AD139" s="212">
        <f t="shared" si="53"/>
        <v>0</v>
      </c>
      <c r="AE139" s="212">
        <f t="shared" si="53"/>
        <v>0</v>
      </c>
      <c r="AF139" s="212">
        <f t="shared" si="53"/>
        <v>0</v>
      </c>
      <c r="AG139" s="212">
        <f t="shared" si="53"/>
        <v>0</v>
      </c>
      <c r="AH139" s="212">
        <f t="shared" si="53"/>
        <v>0</v>
      </c>
      <c r="AI139" s="212">
        <f t="shared" si="53"/>
        <v>0</v>
      </c>
      <c r="AJ139" s="212">
        <f t="shared" si="53"/>
        <v>0</v>
      </c>
      <c r="AK139" s="159">
        <f t="shared" si="53"/>
        <v>0</v>
      </c>
    </row>
    <row r="140" spans="2:37" x14ac:dyDescent="0.25">
      <c r="B140" s="144" t="s">
        <v>495</v>
      </c>
      <c r="C140" s="207"/>
      <c r="D140" s="214">
        <f t="shared" si="49"/>
        <v>139277220.43098703</v>
      </c>
      <c r="E140" s="207"/>
      <c r="F140" s="207"/>
      <c r="G140" s="207"/>
      <c r="H140" s="212">
        <f t="shared" ref="H140:AK140" si="54">+$H$130*H86</f>
        <v>3511190.4310332891</v>
      </c>
      <c r="I140" s="212">
        <f t="shared" si="54"/>
        <v>4681587.2413777187</v>
      </c>
      <c r="J140" s="212">
        <f t="shared" si="54"/>
        <v>4681587.2413777187</v>
      </c>
      <c r="K140" s="212">
        <f t="shared" si="54"/>
        <v>4681587.2413777187</v>
      </c>
      <c r="L140" s="212">
        <f t="shared" si="54"/>
        <v>4681587.2413777187</v>
      </c>
      <c r="M140" s="212">
        <f t="shared" si="54"/>
        <v>4681587.2413777187</v>
      </c>
      <c r="N140" s="212">
        <f t="shared" si="54"/>
        <v>4681587.2413777187</v>
      </c>
      <c r="O140" s="212">
        <f t="shared" si="54"/>
        <v>4681587.2413777187</v>
      </c>
      <c r="P140" s="212">
        <f t="shared" si="54"/>
        <v>4681587.2413777187</v>
      </c>
      <c r="Q140" s="212">
        <f t="shared" si="54"/>
        <v>4681587.2413777187</v>
      </c>
      <c r="R140" s="212">
        <f t="shared" si="54"/>
        <v>4681587.2413777187</v>
      </c>
      <c r="S140" s="212">
        <f t="shared" si="54"/>
        <v>4681587.2413777187</v>
      </c>
      <c r="T140" s="212">
        <f t="shared" si="54"/>
        <v>4681587.2413777187</v>
      </c>
      <c r="U140" s="212">
        <f t="shared" si="54"/>
        <v>4681587.2413777187</v>
      </c>
      <c r="V140" s="212">
        <f t="shared" si="54"/>
        <v>4681587.2413777187</v>
      </c>
      <c r="W140" s="212">
        <f t="shared" si="54"/>
        <v>4681587.2413777187</v>
      </c>
      <c r="X140" s="212">
        <f t="shared" si="54"/>
        <v>4681587.2413777187</v>
      </c>
      <c r="Y140" s="212">
        <f t="shared" si="54"/>
        <v>4681587.2413777187</v>
      </c>
      <c r="Z140" s="212">
        <f t="shared" si="54"/>
        <v>4681587.2413777187</v>
      </c>
      <c r="AA140" s="212">
        <f t="shared" si="54"/>
        <v>4681587.2413777187</v>
      </c>
      <c r="AB140" s="212">
        <f t="shared" si="54"/>
        <v>4681587.2413777187</v>
      </c>
      <c r="AC140" s="212">
        <f t="shared" si="54"/>
        <v>4681587.2413777187</v>
      </c>
      <c r="AD140" s="212">
        <f t="shared" si="54"/>
        <v>4681587.2413777187</v>
      </c>
      <c r="AE140" s="212">
        <f t="shared" si="54"/>
        <v>4681587.2413777187</v>
      </c>
      <c r="AF140" s="212">
        <f t="shared" si="54"/>
        <v>4681587.2413777187</v>
      </c>
      <c r="AG140" s="212">
        <f t="shared" si="54"/>
        <v>4681587.2413777187</v>
      </c>
      <c r="AH140" s="212">
        <f t="shared" si="54"/>
        <v>4681587.2413777187</v>
      </c>
      <c r="AI140" s="212">
        <f t="shared" si="54"/>
        <v>4681587.2413777187</v>
      </c>
      <c r="AJ140" s="212">
        <f t="shared" si="54"/>
        <v>4681587.2413777187</v>
      </c>
      <c r="AK140" s="159">
        <f t="shared" si="54"/>
        <v>4681587.2413777187</v>
      </c>
    </row>
    <row r="141" spans="2:37" x14ac:dyDescent="0.25">
      <c r="B141" s="144" t="s">
        <v>496</v>
      </c>
      <c r="C141" s="207"/>
      <c r="D141" s="214">
        <f t="shared" si="49"/>
        <v>138159504.60577559</v>
      </c>
      <c r="E141" s="207"/>
      <c r="F141" s="207"/>
      <c r="G141" s="207"/>
      <c r="H141" s="212">
        <f t="shared" ref="H141:AK141" si="55">+$H$130*H87</f>
        <v>3483012.7211540081</v>
      </c>
      <c r="I141" s="212">
        <f t="shared" si="55"/>
        <v>4644016.9615386771</v>
      </c>
      <c r="J141" s="212">
        <f t="shared" si="55"/>
        <v>4644016.9615386771</v>
      </c>
      <c r="K141" s="212">
        <f t="shared" si="55"/>
        <v>4644016.9615386771</v>
      </c>
      <c r="L141" s="212">
        <f t="shared" si="55"/>
        <v>4644016.9615386771</v>
      </c>
      <c r="M141" s="212">
        <f t="shared" si="55"/>
        <v>4644016.9615386771</v>
      </c>
      <c r="N141" s="212">
        <f t="shared" si="55"/>
        <v>4644016.9615386771</v>
      </c>
      <c r="O141" s="212">
        <f t="shared" si="55"/>
        <v>4644016.9615386771</v>
      </c>
      <c r="P141" s="212">
        <f t="shared" si="55"/>
        <v>4644016.9615386771</v>
      </c>
      <c r="Q141" s="212">
        <f t="shared" si="55"/>
        <v>4644016.9615386771</v>
      </c>
      <c r="R141" s="212">
        <f t="shared" si="55"/>
        <v>4644016.9615386771</v>
      </c>
      <c r="S141" s="212">
        <f t="shared" si="55"/>
        <v>4644016.9615386771</v>
      </c>
      <c r="T141" s="212">
        <f t="shared" si="55"/>
        <v>4644016.9615386771</v>
      </c>
      <c r="U141" s="212">
        <f t="shared" si="55"/>
        <v>4644016.9615386771</v>
      </c>
      <c r="V141" s="212">
        <f t="shared" si="55"/>
        <v>4644016.9615386771</v>
      </c>
      <c r="W141" s="212">
        <f t="shared" si="55"/>
        <v>4644016.9615386771</v>
      </c>
      <c r="X141" s="212">
        <f t="shared" si="55"/>
        <v>4644016.9615386771</v>
      </c>
      <c r="Y141" s="212">
        <f t="shared" si="55"/>
        <v>4644016.9615386771</v>
      </c>
      <c r="Z141" s="212">
        <f t="shared" si="55"/>
        <v>4644016.9615386771</v>
      </c>
      <c r="AA141" s="212">
        <f t="shared" si="55"/>
        <v>4644016.9615386771</v>
      </c>
      <c r="AB141" s="212">
        <f t="shared" si="55"/>
        <v>4644016.9615386771</v>
      </c>
      <c r="AC141" s="212">
        <f t="shared" si="55"/>
        <v>4644016.9615386771</v>
      </c>
      <c r="AD141" s="212">
        <f t="shared" si="55"/>
        <v>4644016.9615386771</v>
      </c>
      <c r="AE141" s="212">
        <f t="shared" si="55"/>
        <v>4644016.9615386771</v>
      </c>
      <c r="AF141" s="212">
        <f t="shared" si="55"/>
        <v>4644016.9615386771</v>
      </c>
      <c r="AG141" s="212">
        <f t="shared" si="55"/>
        <v>4644016.9615386771</v>
      </c>
      <c r="AH141" s="212">
        <f t="shared" si="55"/>
        <v>4644016.9615386771</v>
      </c>
      <c r="AI141" s="212">
        <f t="shared" si="55"/>
        <v>4644016.9615386771</v>
      </c>
      <c r="AJ141" s="212">
        <f t="shared" si="55"/>
        <v>4644016.9615386771</v>
      </c>
      <c r="AK141" s="159">
        <f t="shared" si="55"/>
        <v>4644016.9615386771</v>
      </c>
    </row>
    <row r="142" spans="2:37" x14ac:dyDescent="0.25">
      <c r="B142" s="144" t="s">
        <v>497</v>
      </c>
      <c r="C142" s="207"/>
      <c r="D142" s="214">
        <f t="shared" si="49"/>
        <v>175315807.40111536</v>
      </c>
      <c r="E142" s="207"/>
      <c r="F142" s="207"/>
      <c r="G142" s="207"/>
      <c r="H142" s="212">
        <f t="shared" ref="H142:AK142" si="56">+$H$130*H88</f>
        <v>4419726.2370029064</v>
      </c>
      <c r="I142" s="212">
        <f t="shared" si="56"/>
        <v>5892968.3160038758</v>
      </c>
      <c r="J142" s="212">
        <f t="shared" si="56"/>
        <v>5892968.3160038758</v>
      </c>
      <c r="K142" s="212">
        <f t="shared" si="56"/>
        <v>5892968.3160038758</v>
      </c>
      <c r="L142" s="212">
        <f t="shared" si="56"/>
        <v>5892968.3160038758</v>
      </c>
      <c r="M142" s="212">
        <f t="shared" si="56"/>
        <v>5892968.3160038758</v>
      </c>
      <c r="N142" s="212">
        <f t="shared" si="56"/>
        <v>5892968.3160038758</v>
      </c>
      <c r="O142" s="212">
        <f t="shared" si="56"/>
        <v>5892968.3160038758</v>
      </c>
      <c r="P142" s="212">
        <f t="shared" si="56"/>
        <v>5892968.3160038758</v>
      </c>
      <c r="Q142" s="212">
        <f t="shared" si="56"/>
        <v>5892968.3160038758</v>
      </c>
      <c r="R142" s="212">
        <f t="shared" si="56"/>
        <v>5892968.3160038758</v>
      </c>
      <c r="S142" s="212">
        <f t="shared" si="56"/>
        <v>5892968.3160038758</v>
      </c>
      <c r="T142" s="212">
        <f t="shared" si="56"/>
        <v>5892968.3160038758</v>
      </c>
      <c r="U142" s="212">
        <f t="shared" si="56"/>
        <v>5892968.3160038758</v>
      </c>
      <c r="V142" s="212">
        <f t="shared" si="56"/>
        <v>5892968.3160038758</v>
      </c>
      <c r="W142" s="212">
        <f t="shared" si="56"/>
        <v>5892968.3160038758</v>
      </c>
      <c r="X142" s="212">
        <f t="shared" si="56"/>
        <v>5892968.3160038758</v>
      </c>
      <c r="Y142" s="212">
        <f t="shared" si="56"/>
        <v>5892968.3160038758</v>
      </c>
      <c r="Z142" s="212">
        <f t="shared" si="56"/>
        <v>5892968.3160038758</v>
      </c>
      <c r="AA142" s="212">
        <f t="shared" si="56"/>
        <v>5892968.3160038758</v>
      </c>
      <c r="AB142" s="212">
        <f t="shared" si="56"/>
        <v>5892968.3160038758</v>
      </c>
      <c r="AC142" s="212">
        <f t="shared" si="56"/>
        <v>5892968.3160038758</v>
      </c>
      <c r="AD142" s="212">
        <f t="shared" si="56"/>
        <v>5892968.3160038758</v>
      </c>
      <c r="AE142" s="212">
        <f t="shared" si="56"/>
        <v>5892968.3160038758</v>
      </c>
      <c r="AF142" s="212">
        <f t="shared" si="56"/>
        <v>5892968.3160038758</v>
      </c>
      <c r="AG142" s="212">
        <f t="shared" si="56"/>
        <v>5892968.3160038758</v>
      </c>
      <c r="AH142" s="212">
        <f t="shared" si="56"/>
        <v>5892968.3160038758</v>
      </c>
      <c r="AI142" s="212">
        <f t="shared" si="56"/>
        <v>5892968.3160038758</v>
      </c>
      <c r="AJ142" s="212">
        <f t="shared" si="56"/>
        <v>5892968.3160038758</v>
      </c>
      <c r="AK142" s="159">
        <f t="shared" si="56"/>
        <v>5892968.3160038758</v>
      </c>
    </row>
    <row r="143" spans="2:37" x14ac:dyDescent="0.25">
      <c r="B143" s="144" t="str">
        <f>IF(G3="Maximum Jet", "NPV Sales Diesel", "NPV Sales Jet Fuel")</f>
        <v>NPV Sales Diesel</v>
      </c>
      <c r="C143" s="207"/>
      <c r="D143" s="214">
        <f t="shared" si="49"/>
        <v>663098385.70960486</v>
      </c>
      <c r="E143" s="207"/>
      <c r="F143" s="207"/>
      <c r="G143" s="207"/>
      <c r="H143" s="212">
        <f t="shared" ref="H143:AK143" si="57">+$H$130*H89</f>
        <v>16716766.026292559</v>
      </c>
      <c r="I143" s="212">
        <f t="shared" si="57"/>
        <v>22289021.368390076</v>
      </c>
      <c r="J143" s="212">
        <f t="shared" si="57"/>
        <v>22289021.368390076</v>
      </c>
      <c r="K143" s="212">
        <f t="shared" si="57"/>
        <v>22289021.368390076</v>
      </c>
      <c r="L143" s="212">
        <f t="shared" si="57"/>
        <v>22289021.368390076</v>
      </c>
      <c r="M143" s="212">
        <f t="shared" si="57"/>
        <v>22289021.368390076</v>
      </c>
      <c r="N143" s="212">
        <f t="shared" si="57"/>
        <v>22289021.368390076</v>
      </c>
      <c r="O143" s="212">
        <f t="shared" si="57"/>
        <v>22289021.368390076</v>
      </c>
      <c r="P143" s="212">
        <f t="shared" si="57"/>
        <v>22289021.368390076</v>
      </c>
      <c r="Q143" s="212">
        <f t="shared" si="57"/>
        <v>22289021.368390076</v>
      </c>
      <c r="R143" s="212">
        <f t="shared" si="57"/>
        <v>22289021.368390076</v>
      </c>
      <c r="S143" s="212">
        <f t="shared" si="57"/>
        <v>22289021.368390076</v>
      </c>
      <c r="T143" s="212">
        <f t="shared" si="57"/>
        <v>22289021.368390076</v>
      </c>
      <c r="U143" s="212">
        <f t="shared" si="57"/>
        <v>22289021.368390076</v>
      </c>
      <c r="V143" s="212">
        <f t="shared" si="57"/>
        <v>22289021.368390076</v>
      </c>
      <c r="W143" s="212">
        <f t="shared" si="57"/>
        <v>22289021.368390076</v>
      </c>
      <c r="X143" s="212">
        <f t="shared" si="57"/>
        <v>22289021.368390076</v>
      </c>
      <c r="Y143" s="212">
        <f t="shared" si="57"/>
        <v>22289021.368390076</v>
      </c>
      <c r="Z143" s="212">
        <f t="shared" si="57"/>
        <v>22289021.368390076</v>
      </c>
      <c r="AA143" s="212">
        <f t="shared" si="57"/>
        <v>22289021.368390076</v>
      </c>
      <c r="AB143" s="212">
        <f t="shared" si="57"/>
        <v>22289021.368390076</v>
      </c>
      <c r="AC143" s="212">
        <f t="shared" si="57"/>
        <v>22289021.368390076</v>
      </c>
      <c r="AD143" s="212">
        <f t="shared" si="57"/>
        <v>22289021.368390076</v>
      </c>
      <c r="AE143" s="212">
        <f t="shared" si="57"/>
        <v>22289021.368390076</v>
      </c>
      <c r="AF143" s="212">
        <f t="shared" si="57"/>
        <v>22289021.368390076</v>
      </c>
      <c r="AG143" s="212">
        <f t="shared" si="57"/>
        <v>22289021.368390076</v>
      </c>
      <c r="AH143" s="212">
        <f t="shared" si="57"/>
        <v>22289021.368390076</v>
      </c>
      <c r="AI143" s="212">
        <f t="shared" si="57"/>
        <v>22289021.368390076</v>
      </c>
      <c r="AJ143" s="212">
        <f t="shared" si="57"/>
        <v>22289021.368390076</v>
      </c>
      <c r="AK143" s="159">
        <f t="shared" si="57"/>
        <v>22289021.368390076</v>
      </c>
    </row>
    <row r="144" spans="2:37" x14ac:dyDescent="0.25">
      <c r="B144" s="144" t="s">
        <v>498</v>
      </c>
      <c r="C144" s="207"/>
      <c r="D144" s="214">
        <f t="shared" si="49"/>
        <v>0</v>
      </c>
      <c r="E144" s="207"/>
      <c r="F144" s="207"/>
      <c r="G144" s="207"/>
      <c r="H144" s="212">
        <f t="shared" ref="H144:AK144" si="58">+$H$130*H90</f>
        <v>0</v>
      </c>
      <c r="I144" s="212">
        <f t="shared" si="58"/>
        <v>0</v>
      </c>
      <c r="J144" s="212">
        <f t="shared" si="58"/>
        <v>0</v>
      </c>
      <c r="K144" s="212">
        <f t="shared" si="58"/>
        <v>0</v>
      </c>
      <c r="L144" s="212">
        <f t="shared" si="58"/>
        <v>0</v>
      </c>
      <c r="M144" s="212">
        <f t="shared" si="58"/>
        <v>0</v>
      </c>
      <c r="N144" s="212">
        <f t="shared" si="58"/>
        <v>0</v>
      </c>
      <c r="O144" s="212">
        <f t="shared" si="58"/>
        <v>0</v>
      </c>
      <c r="P144" s="212">
        <f t="shared" si="58"/>
        <v>0</v>
      </c>
      <c r="Q144" s="212">
        <f t="shared" si="58"/>
        <v>0</v>
      </c>
      <c r="R144" s="212">
        <f t="shared" si="58"/>
        <v>0</v>
      </c>
      <c r="S144" s="212">
        <f t="shared" si="58"/>
        <v>0</v>
      </c>
      <c r="T144" s="212">
        <f t="shared" si="58"/>
        <v>0</v>
      </c>
      <c r="U144" s="212">
        <f t="shared" si="58"/>
        <v>0</v>
      </c>
      <c r="V144" s="212">
        <f t="shared" si="58"/>
        <v>0</v>
      </c>
      <c r="W144" s="212">
        <f t="shared" si="58"/>
        <v>0</v>
      </c>
      <c r="X144" s="212">
        <f t="shared" si="58"/>
        <v>0</v>
      </c>
      <c r="Y144" s="212">
        <f t="shared" si="58"/>
        <v>0</v>
      </c>
      <c r="Z144" s="212">
        <f t="shared" si="58"/>
        <v>0</v>
      </c>
      <c r="AA144" s="212">
        <f t="shared" si="58"/>
        <v>0</v>
      </c>
      <c r="AB144" s="212">
        <f t="shared" si="58"/>
        <v>0</v>
      </c>
      <c r="AC144" s="212">
        <f t="shared" si="58"/>
        <v>0</v>
      </c>
      <c r="AD144" s="212">
        <f t="shared" si="58"/>
        <v>0</v>
      </c>
      <c r="AE144" s="212">
        <f t="shared" si="58"/>
        <v>0</v>
      </c>
      <c r="AF144" s="212">
        <f t="shared" si="58"/>
        <v>0</v>
      </c>
      <c r="AG144" s="212">
        <f t="shared" si="58"/>
        <v>0</v>
      </c>
      <c r="AH144" s="212">
        <f t="shared" si="58"/>
        <v>0</v>
      </c>
      <c r="AI144" s="212">
        <f t="shared" si="58"/>
        <v>0</v>
      </c>
      <c r="AJ144" s="212">
        <f t="shared" si="58"/>
        <v>0</v>
      </c>
      <c r="AK144" s="159">
        <f t="shared" si="58"/>
        <v>0</v>
      </c>
    </row>
    <row r="145" spans="2:37" x14ac:dyDescent="0.25">
      <c r="B145" s="144" t="str">
        <f t="shared" ref="B145:B152" si="59">CONCATENATE("NPV ", B5)</f>
        <v>NPV Electricity</v>
      </c>
      <c r="C145" s="207"/>
      <c r="D145" s="214">
        <f t="shared" si="49"/>
        <v>54103640.757077374</v>
      </c>
      <c r="E145" s="207"/>
      <c r="F145" s="207"/>
      <c r="G145" s="207"/>
      <c r="H145" s="212">
        <f t="shared" ref="H145:AK145" si="60">H95*H$130</f>
        <v>4009813.3182167835</v>
      </c>
      <c r="I145" s="212">
        <f t="shared" si="60"/>
        <v>4860379.7796567064</v>
      </c>
      <c r="J145" s="212">
        <f t="shared" si="60"/>
        <v>4418527.072415187</v>
      </c>
      <c r="K145" s="212">
        <f t="shared" si="60"/>
        <v>4016842.7931047156</v>
      </c>
      <c r="L145" s="212">
        <f t="shared" si="60"/>
        <v>3651675.2664588317</v>
      </c>
      <c r="M145" s="212">
        <f t="shared" si="60"/>
        <v>3319704.7876898469</v>
      </c>
      <c r="N145" s="212">
        <f t="shared" si="60"/>
        <v>3017913.4433544059</v>
      </c>
      <c r="O145" s="212">
        <f t="shared" si="60"/>
        <v>2743557.6757767326</v>
      </c>
      <c r="P145" s="212">
        <f t="shared" si="60"/>
        <v>2494143.3416152112</v>
      </c>
      <c r="Q145" s="212">
        <f t="shared" si="60"/>
        <v>2267403.0378320101</v>
      </c>
      <c r="R145" s="212">
        <f t="shared" si="60"/>
        <v>2061275.4889381907</v>
      </c>
      <c r="S145" s="212">
        <f t="shared" si="60"/>
        <v>1873886.8081256282</v>
      </c>
      <c r="T145" s="212">
        <f t="shared" si="60"/>
        <v>1703533.4619323893</v>
      </c>
      <c r="U145" s="212">
        <f t="shared" si="60"/>
        <v>1548666.7835748987</v>
      </c>
      <c r="V145" s="212">
        <f t="shared" si="60"/>
        <v>1407878.894158999</v>
      </c>
      <c r="W145" s="212">
        <f t="shared" si="60"/>
        <v>1279889.9037809081</v>
      </c>
      <c r="X145" s="212">
        <f t="shared" si="60"/>
        <v>1163536.2761644619</v>
      </c>
      <c r="Y145" s="212">
        <f t="shared" si="60"/>
        <v>1057760.2510586015</v>
      </c>
      <c r="Z145" s="212">
        <f t="shared" si="60"/>
        <v>961600.22823509213</v>
      </c>
      <c r="AA145" s="212">
        <f t="shared" si="60"/>
        <v>874182.02566826565</v>
      </c>
      <c r="AB145" s="212">
        <f t="shared" si="60"/>
        <v>794710.93242569605</v>
      </c>
      <c r="AC145" s="212">
        <f t="shared" si="60"/>
        <v>722464.48402335984</v>
      </c>
      <c r="AD145" s="212">
        <f t="shared" si="60"/>
        <v>656785.89456669078</v>
      </c>
      <c r="AE145" s="212">
        <f t="shared" si="60"/>
        <v>597078.08596971899</v>
      </c>
      <c r="AF145" s="212">
        <f t="shared" si="60"/>
        <v>542798.25997247163</v>
      </c>
      <c r="AG145" s="212">
        <f t="shared" si="60"/>
        <v>493452.96361133782</v>
      </c>
      <c r="AH145" s="212">
        <f t="shared" si="60"/>
        <v>448593.60328303435</v>
      </c>
      <c r="AI145" s="212">
        <f t="shared" si="60"/>
        <v>407812.36662094027</v>
      </c>
      <c r="AJ145" s="212">
        <f t="shared" si="60"/>
        <v>370738.51510994567</v>
      </c>
      <c r="AK145" s="159">
        <f t="shared" si="60"/>
        <v>337035.01373631426</v>
      </c>
    </row>
    <row r="146" spans="2:37" x14ac:dyDescent="0.25">
      <c r="B146" s="144" t="str">
        <f t="shared" si="59"/>
        <v>NPV Ammonia</v>
      </c>
      <c r="C146" s="207"/>
      <c r="D146" s="214">
        <f t="shared" si="49"/>
        <v>34768437.903311022</v>
      </c>
      <c r="E146" s="207"/>
      <c r="F146" s="207"/>
      <c r="G146" s="207"/>
      <c r="H146" s="212">
        <f t="shared" ref="H146:AK146" si="61">H96*H$130</f>
        <v>2576812.6397307692</v>
      </c>
      <c r="I146" s="212">
        <f t="shared" si="61"/>
        <v>3123409.2602797197</v>
      </c>
      <c r="J146" s="212">
        <f t="shared" si="61"/>
        <v>2839462.963890654</v>
      </c>
      <c r="K146" s="212">
        <f t="shared" si="61"/>
        <v>2581329.9671733221</v>
      </c>
      <c r="L146" s="212">
        <f t="shared" si="61"/>
        <v>2346663.6065212013</v>
      </c>
      <c r="M146" s="212">
        <f t="shared" si="61"/>
        <v>2133330.5513829105</v>
      </c>
      <c r="N146" s="212">
        <f t="shared" si="61"/>
        <v>1939391.4103480999</v>
      </c>
      <c r="O146" s="212">
        <f t="shared" si="61"/>
        <v>1763083.1003164544</v>
      </c>
      <c r="P146" s="212">
        <f t="shared" si="61"/>
        <v>1602802.8184695041</v>
      </c>
      <c r="Q146" s="212">
        <f t="shared" si="61"/>
        <v>1457093.4713359126</v>
      </c>
      <c r="R146" s="212">
        <f t="shared" si="61"/>
        <v>1324630.4284871931</v>
      </c>
      <c r="S146" s="212">
        <f t="shared" si="61"/>
        <v>1204209.480442903</v>
      </c>
      <c r="T146" s="212">
        <f t="shared" si="61"/>
        <v>1094735.89131173</v>
      </c>
      <c r="U146" s="212">
        <f t="shared" si="61"/>
        <v>995214.44664702693</v>
      </c>
      <c r="V146" s="212">
        <f t="shared" si="61"/>
        <v>904740.40604275174</v>
      </c>
      <c r="W146" s="212">
        <f t="shared" si="61"/>
        <v>822491.27822068334</v>
      </c>
      <c r="X146" s="212">
        <f t="shared" si="61"/>
        <v>747719.34383698483</v>
      </c>
      <c r="Y146" s="212">
        <f t="shared" si="61"/>
        <v>679744.8580336225</v>
      </c>
      <c r="Z146" s="212">
        <f t="shared" si="61"/>
        <v>617949.87093965674</v>
      </c>
      <c r="AA146" s="212">
        <f t="shared" si="61"/>
        <v>561772.60994514253</v>
      </c>
      <c r="AB146" s="212">
        <f t="shared" si="61"/>
        <v>510702.37267740228</v>
      </c>
      <c r="AC146" s="212">
        <f t="shared" si="61"/>
        <v>464274.88425218378</v>
      </c>
      <c r="AD146" s="212">
        <f t="shared" si="61"/>
        <v>422068.07659289433</v>
      </c>
      <c r="AE146" s="212">
        <f t="shared" si="61"/>
        <v>383698.25144808582</v>
      </c>
      <c r="AF146" s="212">
        <f t="shared" si="61"/>
        <v>348816.59222553245</v>
      </c>
      <c r="AG146" s="212">
        <f t="shared" si="61"/>
        <v>317105.99293230224</v>
      </c>
      <c r="AH146" s="212">
        <f t="shared" si="61"/>
        <v>288278.17539300199</v>
      </c>
      <c r="AI146" s="212">
        <f t="shared" si="61"/>
        <v>262071.0685390927</v>
      </c>
      <c r="AJ146" s="212">
        <f t="shared" si="61"/>
        <v>238246.42594462971</v>
      </c>
      <c r="AK146" s="159">
        <f t="shared" si="61"/>
        <v>216587.65994966336</v>
      </c>
    </row>
    <row r="147" spans="2:37" x14ac:dyDescent="0.25">
      <c r="B147" s="144" t="str">
        <f t="shared" si="59"/>
        <v>NPV DAP</v>
      </c>
      <c r="C147" s="207"/>
      <c r="D147" s="214">
        <f t="shared" si="49"/>
        <v>16118520.345261011</v>
      </c>
      <c r="E147" s="207"/>
      <c r="F147" s="207"/>
      <c r="G147" s="207"/>
      <c r="H147" s="212">
        <f t="shared" ref="H147:AK147" si="62">H97*H$130</f>
        <v>1194600.8927674824</v>
      </c>
      <c r="I147" s="212">
        <f t="shared" si="62"/>
        <v>1448001.0821424027</v>
      </c>
      <c r="J147" s="212">
        <f t="shared" si="62"/>
        <v>1316364.6201294567</v>
      </c>
      <c r="K147" s="212">
        <f t="shared" si="62"/>
        <v>1196695.1092085971</v>
      </c>
      <c r="L147" s="212">
        <f t="shared" si="62"/>
        <v>1087904.6447350881</v>
      </c>
      <c r="M147" s="212">
        <f t="shared" si="62"/>
        <v>989004.2224864437</v>
      </c>
      <c r="N147" s="212">
        <f t="shared" si="62"/>
        <v>899094.74771494861</v>
      </c>
      <c r="O147" s="212">
        <f t="shared" si="62"/>
        <v>817358.86155904422</v>
      </c>
      <c r="P147" s="212">
        <f t="shared" si="62"/>
        <v>743053.51050822204</v>
      </c>
      <c r="Q147" s="212">
        <f t="shared" si="62"/>
        <v>675503.19137111085</v>
      </c>
      <c r="R147" s="212">
        <f t="shared" si="62"/>
        <v>614093.8103373734</v>
      </c>
      <c r="S147" s="212">
        <f t="shared" si="62"/>
        <v>558267.10030670313</v>
      </c>
      <c r="T147" s="212">
        <f t="shared" si="62"/>
        <v>507515.54573336651</v>
      </c>
      <c r="U147" s="212">
        <f t="shared" si="62"/>
        <v>461377.76884851488</v>
      </c>
      <c r="V147" s="212">
        <f t="shared" si="62"/>
        <v>419434.33531683171</v>
      </c>
      <c r="W147" s="212">
        <f t="shared" si="62"/>
        <v>381303.94119711971</v>
      </c>
      <c r="X147" s="212">
        <f t="shared" si="62"/>
        <v>346639.94654283609</v>
      </c>
      <c r="Y147" s="212">
        <f t="shared" si="62"/>
        <v>315127.22412985098</v>
      </c>
      <c r="Z147" s="212">
        <f t="shared" si="62"/>
        <v>286479.2946635008</v>
      </c>
      <c r="AA147" s="212">
        <f t="shared" si="62"/>
        <v>260435.72242136442</v>
      </c>
      <c r="AB147" s="212">
        <f t="shared" si="62"/>
        <v>236759.74765578582</v>
      </c>
      <c r="AC147" s="212">
        <f t="shared" si="62"/>
        <v>215236.13423253252</v>
      </c>
      <c r="AD147" s="212">
        <f t="shared" si="62"/>
        <v>195669.21293866591</v>
      </c>
      <c r="AE147" s="212">
        <f t="shared" si="62"/>
        <v>177881.1026715145</v>
      </c>
      <c r="AF147" s="212">
        <f t="shared" si="62"/>
        <v>161710.0933377404</v>
      </c>
      <c r="AG147" s="212">
        <f t="shared" si="62"/>
        <v>147009.17576158218</v>
      </c>
      <c r="AH147" s="212">
        <f t="shared" si="62"/>
        <v>133644.70523780197</v>
      </c>
      <c r="AI147" s="212">
        <f t="shared" si="62"/>
        <v>121495.18657981996</v>
      </c>
      <c r="AJ147" s="212">
        <f t="shared" si="62"/>
        <v>110450.16961801813</v>
      </c>
      <c r="AK147" s="159">
        <f t="shared" si="62"/>
        <v>100409.24510728921</v>
      </c>
    </row>
    <row r="148" spans="2:37" x14ac:dyDescent="0.25">
      <c r="B148" s="144" t="str">
        <f t="shared" si="59"/>
        <v>NPV Cultivation CO2</v>
      </c>
      <c r="C148" s="207"/>
      <c r="D148" s="214">
        <f t="shared" si="49"/>
        <v>175921464.86155123</v>
      </c>
      <c r="E148" s="207"/>
      <c r="F148" s="207"/>
      <c r="G148" s="207"/>
      <c r="H148" s="212">
        <f t="shared" ref="H148:AK148" si="63">H98*H$130</f>
        <v>13038165.692569928</v>
      </c>
      <c r="I148" s="212">
        <f t="shared" si="63"/>
        <v>15803837.203115063</v>
      </c>
      <c r="J148" s="212">
        <f t="shared" si="63"/>
        <v>14367124.730104599</v>
      </c>
      <c r="K148" s="212">
        <f t="shared" si="63"/>
        <v>13061022.481913274</v>
      </c>
      <c r="L148" s="212">
        <f t="shared" si="63"/>
        <v>11873656.801739337</v>
      </c>
      <c r="M148" s="212">
        <f t="shared" si="63"/>
        <v>10794233.456126671</v>
      </c>
      <c r="N148" s="212">
        <f t="shared" si="63"/>
        <v>9812939.5055696983</v>
      </c>
      <c r="O148" s="212">
        <f t="shared" si="63"/>
        <v>8920854.0959724542</v>
      </c>
      <c r="P148" s="212">
        <f t="shared" si="63"/>
        <v>8109867.3599749571</v>
      </c>
      <c r="Q148" s="212">
        <f t="shared" si="63"/>
        <v>7372606.6908863243</v>
      </c>
      <c r="R148" s="212">
        <f t="shared" si="63"/>
        <v>6702369.7189875664</v>
      </c>
      <c r="S148" s="212">
        <f t="shared" si="63"/>
        <v>6093063.3808977883</v>
      </c>
      <c r="T148" s="212">
        <f t="shared" si="63"/>
        <v>5539148.5280888984</v>
      </c>
      <c r="U148" s="212">
        <f t="shared" si="63"/>
        <v>5035589.5709899059</v>
      </c>
      <c r="V148" s="212">
        <f t="shared" si="63"/>
        <v>4577808.7008999148</v>
      </c>
      <c r="W148" s="212">
        <f t="shared" si="63"/>
        <v>4161644.273545377</v>
      </c>
      <c r="X148" s="212">
        <f t="shared" si="63"/>
        <v>3783312.9759503426</v>
      </c>
      <c r="Y148" s="212">
        <f t="shared" si="63"/>
        <v>3439375.4326821291</v>
      </c>
      <c r="Z148" s="212">
        <f t="shared" si="63"/>
        <v>3126704.9388019349</v>
      </c>
      <c r="AA148" s="212">
        <f t="shared" si="63"/>
        <v>2842459.0352744865</v>
      </c>
      <c r="AB148" s="212">
        <f t="shared" si="63"/>
        <v>2584053.6684313514</v>
      </c>
      <c r="AC148" s="212">
        <f t="shared" si="63"/>
        <v>2349139.6985739553</v>
      </c>
      <c r="AD148" s="212">
        <f t="shared" si="63"/>
        <v>2135581.5441581411</v>
      </c>
      <c r="AE148" s="212">
        <f t="shared" si="63"/>
        <v>1941437.7674164921</v>
      </c>
      <c r="AF148" s="212">
        <f t="shared" si="63"/>
        <v>1764943.4249240833</v>
      </c>
      <c r="AG148" s="212">
        <f t="shared" si="63"/>
        <v>1604494.0226582575</v>
      </c>
      <c r="AH148" s="212">
        <f t="shared" si="63"/>
        <v>1458630.9296893249</v>
      </c>
      <c r="AI148" s="212">
        <f t="shared" si="63"/>
        <v>1326028.117899386</v>
      </c>
      <c r="AJ148" s="212">
        <f t="shared" si="63"/>
        <v>1205480.1071812601</v>
      </c>
      <c r="AK148" s="159">
        <f t="shared" si="63"/>
        <v>1095891.006528418</v>
      </c>
    </row>
    <row r="149" spans="2:37" x14ac:dyDescent="0.25">
      <c r="B149" s="144" t="str">
        <f t="shared" si="59"/>
        <v>NPV Labor</v>
      </c>
      <c r="C149" s="207"/>
      <c r="D149" s="214">
        <f t="shared" si="49"/>
        <v>40121702.427610449</v>
      </c>
      <c r="E149" s="207"/>
      <c r="F149" s="207"/>
      <c r="G149" s="207"/>
      <c r="H149" s="212">
        <f t="shared" ref="H149:AK149" si="64">H99*H$130</f>
        <v>2973562.1206363635</v>
      </c>
      <c r="I149" s="212">
        <f t="shared" si="64"/>
        <v>3604317.7219834705</v>
      </c>
      <c r="J149" s="212">
        <f t="shared" si="64"/>
        <v>3276652.4745304273</v>
      </c>
      <c r="K149" s="212">
        <f t="shared" si="64"/>
        <v>2978774.9768458433</v>
      </c>
      <c r="L149" s="212">
        <f t="shared" si="64"/>
        <v>2707977.2516780389</v>
      </c>
      <c r="M149" s="212">
        <f t="shared" si="64"/>
        <v>2461797.5015254896</v>
      </c>
      <c r="N149" s="212">
        <f t="shared" si="64"/>
        <v>2237997.7286595358</v>
      </c>
      <c r="O149" s="212">
        <f t="shared" si="64"/>
        <v>2034543.3896904869</v>
      </c>
      <c r="P149" s="212">
        <f t="shared" si="64"/>
        <v>1849584.8997186245</v>
      </c>
      <c r="Q149" s="212">
        <f t="shared" si="64"/>
        <v>1681440.8179260222</v>
      </c>
      <c r="R149" s="212">
        <f t="shared" si="64"/>
        <v>1528582.5617509291</v>
      </c>
      <c r="S149" s="212">
        <f t="shared" si="64"/>
        <v>1389620.5106826627</v>
      </c>
      <c r="T149" s="212">
        <f t="shared" si="64"/>
        <v>1263291.3733478752</v>
      </c>
      <c r="U149" s="212">
        <f t="shared" si="64"/>
        <v>1148446.7030435225</v>
      </c>
      <c r="V149" s="212">
        <f t="shared" si="64"/>
        <v>1044042.4573122934</v>
      </c>
      <c r="W149" s="212">
        <f t="shared" si="64"/>
        <v>949129.50664753933</v>
      </c>
      <c r="X149" s="212">
        <f t="shared" si="64"/>
        <v>862845.00604321761</v>
      </c>
      <c r="Y149" s="212">
        <f t="shared" si="64"/>
        <v>784404.55094837956</v>
      </c>
      <c r="Z149" s="212">
        <f t="shared" si="64"/>
        <v>713095.04631670844</v>
      </c>
      <c r="AA149" s="212">
        <f t="shared" si="64"/>
        <v>648268.22392428061</v>
      </c>
      <c r="AB149" s="212">
        <f t="shared" si="64"/>
        <v>589334.74902207323</v>
      </c>
      <c r="AC149" s="212">
        <f t="shared" si="64"/>
        <v>535758.86274733918</v>
      </c>
      <c r="AD149" s="212">
        <f t="shared" si="64"/>
        <v>487053.5115884901</v>
      </c>
      <c r="AE149" s="212">
        <f t="shared" si="64"/>
        <v>442775.91962590016</v>
      </c>
      <c r="AF149" s="212">
        <f t="shared" si="64"/>
        <v>402523.56329627277</v>
      </c>
      <c r="AG149" s="212">
        <f t="shared" si="64"/>
        <v>365930.51208752068</v>
      </c>
      <c r="AH149" s="212">
        <f t="shared" si="64"/>
        <v>332664.10189774603</v>
      </c>
      <c r="AI149" s="212">
        <f t="shared" si="64"/>
        <v>302421.91081613273</v>
      </c>
      <c r="AJ149" s="212">
        <f t="shared" si="64"/>
        <v>274929.00983284792</v>
      </c>
      <c r="AK149" s="159">
        <f t="shared" si="64"/>
        <v>249935.4634844072</v>
      </c>
    </row>
    <row r="150" spans="2:37" x14ac:dyDescent="0.25">
      <c r="B150" s="144" t="str">
        <f t="shared" si="59"/>
        <v>NPV Labor Burdens</v>
      </c>
      <c r="C150" s="207"/>
      <c r="D150" s="214">
        <f t="shared" si="49"/>
        <v>36109532.185401388</v>
      </c>
      <c r="E150" s="207"/>
      <c r="F150" s="207"/>
      <c r="G150" s="207"/>
      <c r="H150" s="212">
        <f t="shared" ref="H150:AK150" si="65">H100*H$130</f>
        <v>2676205.9086136366</v>
      </c>
      <c r="I150" s="212">
        <f t="shared" si="65"/>
        <v>3243885.9498347109</v>
      </c>
      <c r="J150" s="212">
        <f t="shared" si="65"/>
        <v>2948987.2271224642</v>
      </c>
      <c r="K150" s="212">
        <f t="shared" si="65"/>
        <v>2680897.4792022402</v>
      </c>
      <c r="L150" s="212">
        <f t="shared" si="65"/>
        <v>2437179.5265474906</v>
      </c>
      <c r="M150" s="212">
        <f t="shared" si="65"/>
        <v>2215617.7514068098</v>
      </c>
      <c r="N150" s="212">
        <f t="shared" si="65"/>
        <v>2014197.9558243721</v>
      </c>
      <c r="O150" s="212">
        <f t="shared" si="65"/>
        <v>1831089.0507494293</v>
      </c>
      <c r="P150" s="212">
        <f t="shared" si="65"/>
        <v>1664626.4097722082</v>
      </c>
      <c r="Q150" s="212">
        <f t="shared" si="65"/>
        <v>1513296.7361565528</v>
      </c>
      <c r="R150" s="212">
        <f t="shared" si="65"/>
        <v>1375724.3055968659</v>
      </c>
      <c r="S150" s="212">
        <f t="shared" si="65"/>
        <v>1250658.4596335145</v>
      </c>
      <c r="T150" s="212">
        <f t="shared" si="65"/>
        <v>1136962.2360304678</v>
      </c>
      <c r="U150" s="212">
        <f t="shared" si="65"/>
        <v>1033602.0327549705</v>
      </c>
      <c r="V150" s="212">
        <f t="shared" si="65"/>
        <v>939638.21159542771</v>
      </c>
      <c r="W150" s="212">
        <f t="shared" si="65"/>
        <v>854216.55599584337</v>
      </c>
      <c r="X150" s="212">
        <f t="shared" si="65"/>
        <v>776560.50545076665</v>
      </c>
      <c r="Y150" s="212">
        <f t="shared" si="65"/>
        <v>705964.09586433321</v>
      </c>
      <c r="Z150" s="212">
        <f t="shared" si="65"/>
        <v>641785.54169484822</v>
      </c>
      <c r="AA150" s="212">
        <f t="shared" si="65"/>
        <v>583441.40154077124</v>
      </c>
      <c r="AB150" s="212">
        <f t="shared" si="65"/>
        <v>530401.27412797383</v>
      </c>
      <c r="AC150" s="212">
        <f t="shared" si="65"/>
        <v>482182.97647997609</v>
      </c>
      <c r="AD150" s="212">
        <f t="shared" si="65"/>
        <v>438348.16043634189</v>
      </c>
      <c r="AE150" s="212">
        <f t="shared" si="65"/>
        <v>398498.32766940177</v>
      </c>
      <c r="AF150" s="212">
        <f t="shared" si="65"/>
        <v>362271.20697218331</v>
      </c>
      <c r="AG150" s="212">
        <f t="shared" si="65"/>
        <v>329337.46088380303</v>
      </c>
      <c r="AH150" s="212">
        <f t="shared" si="65"/>
        <v>299397.69171254814</v>
      </c>
      <c r="AI150" s="212">
        <f t="shared" si="65"/>
        <v>272179.71973868011</v>
      </c>
      <c r="AJ150" s="212">
        <f t="shared" si="65"/>
        <v>247436.10885334556</v>
      </c>
      <c r="AK150" s="159">
        <f t="shared" si="65"/>
        <v>224941.91713940504</v>
      </c>
    </row>
    <row r="151" spans="2:37" x14ac:dyDescent="0.25">
      <c r="B151" s="144" t="str">
        <f t="shared" si="59"/>
        <v>NPV Maintenance</v>
      </c>
      <c r="C151" s="207"/>
      <c r="D151" s="214">
        <f t="shared" si="49"/>
        <v>25020579.560224131</v>
      </c>
      <c r="E151" s="207"/>
      <c r="F151" s="207"/>
      <c r="G151" s="207"/>
      <c r="H151" s="212">
        <f t="shared" ref="H151:AK151" si="66">H101*H$130</f>
        <v>1854364.1748723777</v>
      </c>
      <c r="I151" s="212">
        <f t="shared" si="66"/>
        <v>2247714.1513604578</v>
      </c>
      <c r="J151" s="212">
        <f t="shared" si="66"/>
        <v>2043376.5012367791</v>
      </c>
      <c r="K151" s="212">
        <f t="shared" si="66"/>
        <v>1857615.0011243448</v>
      </c>
      <c r="L151" s="212">
        <f t="shared" si="66"/>
        <v>1688740.9101130406</v>
      </c>
      <c r="M151" s="212">
        <f t="shared" si="66"/>
        <v>1535219.0091936733</v>
      </c>
      <c r="N151" s="212">
        <f t="shared" si="66"/>
        <v>1395653.6447215208</v>
      </c>
      <c r="O151" s="212">
        <f t="shared" si="66"/>
        <v>1268776.040655928</v>
      </c>
      <c r="P151" s="212">
        <f t="shared" si="66"/>
        <v>1153432.7642326618</v>
      </c>
      <c r="Q151" s="212">
        <f t="shared" si="66"/>
        <v>1048575.2402115107</v>
      </c>
      <c r="R151" s="212">
        <f t="shared" si="66"/>
        <v>953250.2183741004</v>
      </c>
      <c r="S151" s="212">
        <f t="shared" si="66"/>
        <v>866591.1076128186</v>
      </c>
      <c r="T151" s="212">
        <f t="shared" si="66"/>
        <v>787810.09782983514</v>
      </c>
      <c r="U151" s="212">
        <f t="shared" si="66"/>
        <v>716190.9980271227</v>
      </c>
      <c r="V151" s="212">
        <f t="shared" si="66"/>
        <v>651082.72547920235</v>
      </c>
      <c r="W151" s="212">
        <f t="shared" si="66"/>
        <v>591893.38679927494</v>
      </c>
      <c r="X151" s="212">
        <f t="shared" si="66"/>
        <v>538084.89709024993</v>
      </c>
      <c r="Y151" s="212">
        <f t="shared" si="66"/>
        <v>489168.08826386346</v>
      </c>
      <c r="Z151" s="212">
        <f t="shared" si="66"/>
        <v>444698.26205805759</v>
      </c>
      <c r="AA151" s="212">
        <f t="shared" si="66"/>
        <v>404271.14732550696</v>
      </c>
      <c r="AB151" s="212">
        <f t="shared" si="66"/>
        <v>367519.22484136996</v>
      </c>
      <c r="AC151" s="212">
        <f t="shared" si="66"/>
        <v>334108.38621942716</v>
      </c>
      <c r="AD151" s="212">
        <f t="shared" si="66"/>
        <v>303734.89656311559</v>
      </c>
      <c r="AE151" s="212">
        <f t="shared" si="66"/>
        <v>276122.63323919603</v>
      </c>
      <c r="AF151" s="212">
        <f t="shared" si="66"/>
        <v>251020.57567199631</v>
      </c>
      <c r="AG151" s="212">
        <f t="shared" si="66"/>
        <v>228200.52333817846</v>
      </c>
      <c r="AH151" s="212">
        <f t="shared" si="66"/>
        <v>207455.02121652587</v>
      </c>
      <c r="AI151" s="212">
        <f t="shared" si="66"/>
        <v>188595.47383320529</v>
      </c>
      <c r="AJ151" s="212">
        <f t="shared" si="66"/>
        <v>171450.43075745937</v>
      </c>
      <c r="AK151" s="159">
        <f t="shared" si="66"/>
        <v>155864.02796132668</v>
      </c>
    </row>
    <row r="152" spans="2:37" x14ac:dyDescent="0.25">
      <c r="B152" s="144" t="str">
        <f t="shared" si="59"/>
        <v>NPV Property Tax and Insurance</v>
      </c>
      <c r="C152" s="207"/>
      <c r="D152" s="214">
        <f>SUM(H152:AK152)</f>
        <v>25923508.040014189</v>
      </c>
      <c r="E152" s="207"/>
      <c r="F152" s="207"/>
      <c r="G152" s="207"/>
      <c r="H152" s="212">
        <f t="shared" ref="H152:AK152" si="67">H102*H$130</f>
        <v>1921283.4171451048</v>
      </c>
      <c r="I152" s="212">
        <f t="shared" si="67"/>
        <v>2328828.3844183087</v>
      </c>
      <c r="J152" s="212">
        <f t="shared" si="67"/>
        <v>2117116.7131075528</v>
      </c>
      <c r="K152" s="212">
        <f t="shared" si="67"/>
        <v>1924651.5573705025</v>
      </c>
      <c r="L152" s="212">
        <f t="shared" si="67"/>
        <v>1749683.2339731839</v>
      </c>
      <c r="M152" s="212">
        <f t="shared" si="67"/>
        <v>1590621.1217938035</v>
      </c>
      <c r="N152" s="212">
        <f t="shared" si="67"/>
        <v>1446019.2016307302</v>
      </c>
      <c r="O152" s="212">
        <f t="shared" si="67"/>
        <v>1314562.9105733912</v>
      </c>
      <c r="P152" s="212">
        <f t="shared" si="67"/>
        <v>1195057.1914303557</v>
      </c>
      <c r="Q152" s="212">
        <f t="shared" si="67"/>
        <v>1086415.6285730505</v>
      </c>
      <c r="R152" s="212">
        <f t="shared" si="67"/>
        <v>987650.57143004565</v>
      </c>
      <c r="S152" s="212">
        <f t="shared" si="67"/>
        <v>897864.15584549611</v>
      </c>
      <c r="T152" s="212">
        <f t="shared" si="67"/>
        <v>816240.14167772373</v>
      </c>
      <c r="U152" s="212">
        <f t="shared" si="67"/>
        <v>742036.49243429408</v>
      </c>
      <c r="V152" s="212">
        <f t="shared" si="67"/>
        <v>674578.62948572193</v>
      </c>
      <c r="W152" s="212">
        <f t="shared" si="67"/>
        <v>613253.29953247448</v>
      </c>
      <c r="X152" s="212">
        <f t="shared" si="67"/>
        <v>557502.99957497674</v>
      </c>
      <c r="Y152" s="212">
        <f t="shared" si="67"/>
        <v>506820.90870452428</v>
      </c>
      <c r="Z152" s="212">
        <f t="shared" si="67"/>
        <v>460746.2806404765</v>
      </c>
      <c r="AA152" s="212">
        <f t="shared" si="67"/>
        <v>418860.25512770598</v>
      </c>
      <c r="AB152" s="212">
        <f t="shared" si="67"/>
        <v>380782.05011609633</v>
      </c>
      <c r="AC152" s="212">
        <f t="shared" si="67"/>
        <v>346165.50010554201</v>
      </c>
      <c r="AD152" s="212">
        <f t="shared" si="67"/>
        <v>314695.90918685636</v>
      </c>
      <c r="AE152" s="212">
        <f t="shared" si="67"/>
        <v>286087.19016986946</v>
      </c>
      <c r="AF152" s="212">
        <f t="shared" si="67"/>
        <v>260079.26379079037</v>
      </c>
      <c r="AG152" s="212">
        <f t="shared" si="67"/>
        <v>236435.69435526396</v>
      </c>
      <c r="AH152" s="212">
        <f t="shared" si="67"/>
        <v>214941.54032296722</v>
      </c>
      <c r="AI152" s="212">
        <f t="shared" si="67"/>
        <v>195401.40029360654</v>
      </c>
      <c r="AJ152" s="212">
        <f t="shared" si="67"/>
        <v>177637.63663055139</v>
      </c>
      <c r="AK152" s="159">
        <f t="shared" si="67"/>
        <v>161488.76057322853</v>
      </c>
    </row>
    <row r="153" spans="2:37" x14ac:dyDescent="0.25">
      <c r="B153" s="144" t="s">
        <v>502</v>
      </c>
      <c r="C153" s="207"/>
      <c r="D153" s="214">
        <f t="shared" ref="D153:D167" si="68">SUM(H153:AK153)</f>
        <v>0</v>
      </c>
      <c r="E153" s="207"/>
      <c r="F153" s="207"/>
      <c r="G153" s="207"/>
      <c r="H153" s="212">
        <f t="shared" ref="H153:H162" si="69">H103*H$130</f>
        <v>0</v>
      </c>
      <c r="I153" s="212">
        <f t="shared" ref="I153:AK153" si="70">I103*I$130</f>
        <v>0</v>
      </c>
      <c r="J153" s="212">
        <f t="shared" si="70"/>
        <v>0</v>
      </c>
      <c r="K153" s="212">
        <f t="shared" si="70"/>
        <v>0</v>
      </c>
      <c r="L153" s="212">
        <f t="shared" si="70"/>
        <v>0</v>
      </c>
      <c r="M153" s="212">
        <f t="shared" si="70"/>
        <v>0</v>
      </c>
      <c r="N153" s="212">
        <f t="shared" si="70"/>
        <v>0</v>
      </c>
      <c r="O153" s="212">
        <f t="shared" si="70"/>
        <v>0</v>
      </c>
      <c r="P153" s="212">
        <f t="shared" si="70"/>
        <v>0</v>
      </c>
      <c r="Q153" s="212">
        <f t="shared" si="70"/>
        <v>0</v>
      </c>
      <c r="R153" s="212">
        <f t="shared" si="70"/>
        <v>0</v>
      </c>
      <c r="S153" s="212">
        <f t="shared" si="70"/>
        <v>0</v>
      </c>
      <c r="T153" s="212">
        <f t="shared" si="70"/>
        <v>0</v>
      </c>
      <c r="U153" s="212">
        <f t="shared" si="70"/>
        <v>0</v>
      </c>
      <c r="V153" s="212">
        <f t="shared" si="70"/>
        <v>0</v>
      </c>
      <c r="W153" s="212">
        <f t="shared" si="70"/>
        <v>0</v>
      </c>
      <c r="X153" s="212">
        <f t="shared" si="70"/>
        <v>0</v>
      </c>
      <c r="Y153" s="212">
        <f t="shared" si="70"/>
        <v>0</v>
      </c>
      <c r="Z153" s="212">
        <f t="shared" si="70"/>
        <v>0</v>
      </c>
      <c r="AA153" s="212">
        <f t="shared" si="70"/>
        <v>0</v>
      </c>
      <c r="AB153" s="212">
        <f t="shared" si="70"/>
        <v>0</v>
      </c>
      <c r="AC153" s="212">
        <f t="shared" si="70"/>
        <v>0</v>
      </c>
      <c r="AD153" s="212">
        <f t="shared" si="70"/>
        <v>0</v>
      </c>
      <c r="AE153" s="212">
        <f t="shared" si="70"/>
        <v>0</v>
      </c>
      <c r="AF153" s="212">
        <f t="shared" si="70"/>
        <v>0</v>
      </c>
      <c r="AG153" s="212">
        <f t="shared" si="70"/>
        <v>0</v>
      </c>
      <c r="AH153" s="212">
        <f t="shared" si="70"/>
        <v>0</v>
      </c>
      <c r="AI153" s="212">
        <f t="shared" si="70"/>
        <v>0</v>
      </c>
      <c r="AJ153" s="212">
        <f t="shared" si="70"/>
        <v>0</v>
      </c>
      <c r="AK153" s="212">
        <f t="shared" si="70"/>
        <v>0</v>
      </c>
    </row>
    <row r="154" spans="2:37" x14ac:dyDescent="0.25">
      <c r="B154" s="144" t="str">
        <f t="shared" ref="B154:B167" si="71">CONCATENATE("NPV ", B14)</f>
        <v>NPV WHE Annual Hexane</v>
      </c>
      <c r="C154" s="207"/>
      <c r="D154" s="214">
        <f t="shared" si="68"/>
        <v>2403239.6258373791</v>
      </c>
      <c r="E154" s="207"/>
      <c r="F154" s="207"/>
      <c r="G154" s="207"/>
      <c r="H154" s="212">
        <f t="shared" si="69"/>
        <v>178112.63943986016</v>
      </c>
      <c r="I154" s="212">
        <f t="shared" ref="I154:AK154" si="72">I104*I$130</f>
        <v>215894.10841195166</v>
      </c>
      <c r="J154" s="212">
        <f t="shared" si="72"/>
        <v>196267.37128359237</v>
      </c>
      <c r="K154" s="212">
        <f t="shared" si="72"/>
        <v>178424.882985084</v>
      </c>
      <c r="L154" s="212">
        <f t="shared" si="72"/>
        <v>162204.43907734906</v>
      </c>
      <c r="M154" s="212">
        <f t="shared" si="72"/>
        <v>147458.58097940823</v>
      </c>
      <c r="N154" s="212">
        <f t="shared" si="72"/>
        <v>134053.25543582565</v>
      </c>
      <c r="O154" s="212">
        <f t="shared" si="72"/>
        <v>121866.59585075059</v>
      </c>
      <c r="P154" s="212">
        <f t="shared" si="72"/>
        <v>110787.81440977326</v>
      </c>
      <c r="Q154" s="212">
        <f t="shared" si="72"/>
        <v>100716.19491797568</v>
      </c>
      <c r="R154" s="212">
        <f t="shared" si="72"/>
        <v>91560.177198159698</v>
      </c>
      <c r="S154" s="212">
        <f t="shared" si="72"/>
        <v>83236.524725599724</v>
      </c>
      <c r="T154" s="212">
        <f t="shared" si="72"/>
        <v>75669.567932363381</v>
      </c>
      <c r="U154" s="212">
        <f t="shared" si="72"/>
        <v>68790.51630214852</v>
      </c>
      <c r="V154" s="212">
        <f t="shared" si="72"/>
        <v>62536.833001953193</v>
      </c>
      <c r="W154" s="212">
        <f t="shared" si="72"/>
        <v>56851.666365411991</v>
      </c>
      <c r="X154" s="212">
        <f t="shared" si="72"/>
        <v>51683.333059465447</v>
      </c>
      <c r="Y154" s="212">
        <f t="shared" si="72"/>
        <v>46984.848235877675</v>
      </c>
      <c r="Z154" s="212">
        <f t="shared" si="72"/>
        <v>42713.49839625242</v>
      </c>
      <c r="AA154" s="212">
        <f t="shared" si="72"/>
        <v>38830.45308750221</v>
      </c>
      <c r="AB154" s="212">
        <f t="shared" si="72"/>
        <v>35300.411897729275</v>
      </c>
      <c r="AC154" s="212">
        <f t="shared" si="72"/>
        <v>32091.283543390244</v>
      </c>
      <c r="AD154" s="212">
        <f t="shared" si="72"/>
        <v>29173.894130354765</v>
      </c>
      <c r="AE154" s="212">
        <f t="shared" si="72"/>
        <v>26521.721936686154</v>
      </c>
      <c r="AF154" s="212">
        <f t="shared" si="72"/>
        <v>24110.656306078316</v>
      </c>
      <c r="AG154" s="212">
        <f t="shared" si="72"/>
        <v>21918.778460071197</v>
      </c>
      <c r="AH154" s="212">
        <f t="shared" si="72"/>
        <v>19926.162236428358</v>
      </c>
      <c r="AI154" s="212">
        <f t="shared" si="72"/>
        <v>18114.692942207595</v>
      </c>
      <c r="AJ154" s="212">
        <f t="shared" si="72"/>
        <v>16467.902674734178</v>
      </c>
      <c r="AK154" s="159">
        <f t="shared" si="72"/>
        <v>14970.820613394706</v>
      </c>
    </row>
    <row r="155" spans="2:37" x14ac:dyDescent="0.25">
      <c r="B155" s="144" t="str">
        <f t="shared" si="71"/>
        <v>NPV HEFA HT Catalyst</v>
      </c>
      <c r="C155" s="207"/>
      <c r="D155" s="214">
        <f t="shared" si="68"/>
        <v>512037.03894494835</v>
      </c>
      <c r="E155" s="207"/>
      <c r="F155" s="207"/>
      <c r="G155" s="207"/>
      <c r="H155" s="212">
        <f t="shared" si="69"/>
        <v>37948.886793041951</v>
      </c>
      <c r="I155" s="212">
        <f t="shared" ref="I155:AK155" si="73">I105*I$130</f>
        <v>45998.650658232669</v>
      </c>
      <c r="J155" s="212">
        <f t="shared" si="73"/>
        <v>41816.955143847874</v>
      </c>
      <c r="K155" s="212">
        <f t="shared" si="73"/>
        <v>38015.413767134429</v>
      </c>
      <c r="L155" s="212">
        <f t="shared" si="73"/>
        <v>34559.467061031297</v>
      </c>
      <c r="M155" s="212">
        <f t="shared" si="73"/>
        <v>31417.69732821027</v>
      </c>
      <c r="N155" s="212">
        <f t="shared" si="73"/>
        <v>28561.543025645693</v>
      </c>
      <c r="O155" s="212">
        <f t="shared" si="73"/>
        <v>25965.039114223357</v>
      </c>
      <c r="P155" s="212">
        <f t="shared" si="73"/>
        <v>23604.581012930325</v>
      </c>
      <c r="Q155" s="212">
        <f t="shared" si="73"/>
        <v>21458.71001175484</v>
      </c>
      <c r="R155" s="212">
        <f t="shared" si="73"/>
        <v>19507.918192504396</v>
      </c>
      <c r="S155" s="212">
        <f t="shared" si="73"/>
        <v>17734.471084094905</v>
      </c>
      <c r="T155" s="212">
        <f t="shared" si="73"/>
        <v>16122.246440086279</v>
      </c>
      <c r="U155" s="212">
        <f t="shared" si="73"/>
        <v>14656.587672805703</v>
      </c>
      <c r="V155" s="212">
        <f t="shared" si="73"/>
        <v>13324.170611641548</v>
      </c>
      <c r="W155" s="212">
        <f t="shared" si="73"/>
        <v>12112.882374219589</v>
      </c>
      <c r="X155" s="212">
        <f t="shared" si="73"/>
        <v>11011.711249290534</v>
      </c>
      <c r="Y155" s="212">
        <f t="shared" si="73"/>
        <v>10010.646590264121</v>
      </c>
      <c r="Z155" s="212">
        <f t="shared" si="73"/>
        <v>9100.5878093310184</v>
      </c>
      <c r="AA155" s="212">
        <f t="shared" si="73"/>
        <v>8273.2616448463814</v>
      </c>
      <c r="AB155" s="212">
        <f t="shared" si="73"/>
        <v>7521.1469498603456</v>
      </c>
      <c r="AC155" s="212">
        <f t="shared" si="73"/>
        <v>6837.4063180548583</v>
      </c>
      <c r="AD155" s="212">
        <f t="shared" si="73"/>
        <v>6215.8239255044164</v>
      </c>
      <c r="AE155" s="212">
        <f t="shared" si="73"/>
        <v>5650.7490231858337</v>
      </c>
      <c r="AF155" s="212">
        <f t="shared" si="73"/>
        <v>5137.0445665325751</v>
      </c>
      <c r="AG155" s="212">
        <f t="shared" si="73"/>
        <v>4670.0405150296137</v>
      </c>
      <c r="AH155" s="212">
        <f t="shared" si="73"/>
        <v>4245.4913772996479</v>
      </c>
      <c r="AI155" s="212">
        <f t="shared" si="73"/>
        <v>3859.5376157269525</v>
      </c>
      <c r="AJ155" s="212">
        <f t="shared" si="73"/>
        <v>3508.6705597517748</v>
      </c>
      <c r="AK155" s="159">
        <f t="shared" si="73"/>
        <v>3189.7005088652495</v>
      </c>
    </row>
    <row r="156" spans="2:37" x14ac:dyDescent="0.25">
      <c r="B156" s="144" t="str">
        <f t="shared" si="71"/>
        <v>NPV HEFA ISO Catalyst</v>
      </c>
      <c r="C156" s="207"/>
      <c r="D156" s="214">
        <f t="shared" si="68"/>
        <v>682716.05192683369</v>
      </c>
      <c r="E156" s="207"/>
      <c r="F156" s="207"/>
      <c r="G156" s="207"/>
      <c r="H156" s="212">
        <f t="shared" si="69"/>
        <v>50598.515724073419</v>
      </c>
      <c r="I156" s="212">
        <f t="shared" ref="I156:AK156" si="74">I106*I$130</f>
        <v>61331.534210998077</v>
      </c>
      <c r="J156" s="212">
        <f t="shared" si="74"/>
        <v>55755.940191816422</v>
      </c>
      <c r="K156" s="212">
        <f t="shared" si="74"/>
        <v>50687.218356196754</v>
      </c>
      <c r="L156" s="212">
        <f t="shared" si="74"/>
        <v>46079.289414724313</v>
      </c>
      <c r="M156" s="212">
        <f t="shared" si="74"/>
        <v>41890.263104294834</v>
      </c>
      <c r="N156" s="212">
        <f t="shared" si="74"/>
        <v>38082.05736754075</v>
      </c>
      <c r="O156" s="212">
        <f t="shared" si="74"/>
        <v>34620.05215230977</v>
      </c>
      <c r="P156" s="212">
        <f t="shared" si="74"/>
        <v>31472.774683917974</v>
      </c>
      <c r="Q156" s="212">
        <f t="shared" si="74"/>
        <v>28611.613349016337</v>
      </c>
      <c r="R156" s="212">
        <f t="shared" si="74"/>
        <v>26010.557590014847</v>
      </c>
      <c r="S156" s="212">
        <f t="shared" si="74"/>
        <v>23645.961445468045</v>
      </c>
      <c r="T156" s="212">
        <f t="shared" si="74"/>
        <v>21496.328586789132</v>
      </c>
      <c r="U156" s="212">
        <f t="shared" si="74"/>
        <v>19542.116897081021</v>
      </c>
      <c r="V156" s="212">
        <f t="shared" si="74"/>
        <v>17765.560815528203</v>
      </c>
      <c r="W156" s="212">
        <f t="shared" si="74"/>
        <v>16150.509832298365</v>
      </c>
      <c r="X156" s="212">
        <f t="shared" si="74"/>
        <v>14682.281665725786</v>
      </c>
      <c r="Y156" s="212">
        <f t="shared" si="74"/>
        <v>13347.528787023441</v>
      </c>
      <c r="Z156" s="212">
        <f t="shared" si="74"/>
        <v>12134.117079112217</v>
      </c>
      <c r="AA156" s="212">
        <f t="shared" si="74"/>
        <v>11031.015526465653</v>
      </c>
      <c r="AB156" s="212">
        <f t="shared" si="74"/>
        <v>10028.195933150593</v>
      </c>
      <c r="AC156" s="212">
        <f t="shared" si="74"/>
        <v>9116.5417574096282</v>
      </c>
      <c r="AD156" s="212">
        <f t="shared" si="74"/>
        <v>8287.7652340087516</v>
      </c>
      <c r="AE156" s="212">
        <f t="shared" si="74"/>
        <v>7534.3320309170485</v>
      </c>
      <c r="AF156" s="212">
        <f t="shared" si="74"/>
        <v>6849.3927553791327</v>
      </c>
      <c r="AG156" s="212">
        <f t="shared" si="74"/>
        <v>6226.7206867083023</v>
      </c>
      <c r="AH156" s="212">
        <f t="shared" si="74"/>
        <v>5660.6551697348195</v>
      </c>
      <c r="AI156" s="212">
        <f t="shared" si="74"/>
        <v>5146.0501543043811</v>
      </c>
      <c r="AJ156" s="212">
        <f t="shared" si="74"/>
        <v>4678.2274130039832</v>
      </c>
      <c r="AK156" s="159">
        <f t="shared" si="74"/>
        <v>4252.9340118218024</v>
      </c>
    </row>
    <row r="157" spans="2:37" x14ac:dyDescent="0.25">
      <c r="B157" s="144" t="str">
        <f t="shared" si="71"/>
        <v>NPV HEFA Water</v>
      </c>
      <c r="C157" s="207"/>
      <c r="D157" s="214">
        <f t="shared" si="68"/>
        <v>1033602.4694938016</v>
      </c>
      <c r="E157" s="207"/>
      <c r="F157" s="207"/>
      <c r="G157" s="207"/>
      <c r="H157" s="212">
        <f t="shared" si="69"/>
        <v>76603.956590034955</v>
      </c>
      <c r="I157" s="212">
        <f t="shared" ref="I157:AK157" si="75">I107*I$130</f>
        <v>92853.280715193876</v>
      </c>
      <c r="J157" s="212">
        <f t="shared" si="75"/>
        <v>84412.073377448964</v>
      </c>
      <c r="K157" s="212">
        <f t="shared" si="75"/>
        <v>76738.248524953611</v>
      </c>
      <c r="L157" s="212">
        <f t="shared" si="75"/>
        <v>69762.04411359418</v>
      </c>
      <c r="M157" s="212">
        <f t="shared" si="75"/>
        <v>63420.040103267434</v>
      </c>
      <c r="N157" s="212">
        <f t="shared" si="75"/>
        <v>57654.581912061294</v>
      </c>
      <c r="O157" s="212">
        <f t="shared" si="75"/>
        <v>52413.256283692084</v>
      </c>
      <c r="P157" s="212">
        <f t="shared" si="75"/>
        <v>47648.414803356442</v>
      </c>
      <c r="Q157" s="212">
        <f t="shared" si="75"/>
        <v>43316.740730324032</v>
      </c>
      <c r="R157" s="212">
        <f t="shared" si="75"/>
        <v>39378.855209385481</v>
      </c>
      <c r="S157" s="212">
        <f t="shared" si="75"/>
        <v>35798.959281259529</v>
      </c>
      <c r="T157" s="212">
        <f t="shared" si="75"/>
        <v>32544.508437508663</v>
      </c>
      <c r="U157" s="212">
        <f t="shared" si="75"/>
        <v>29585.916761371504</v>
      </c>
      <c r="V157" s="212">
        <f t="shared" si="75"/>
        <v>26896.287964883184</v>
      </c>
      <c r="W157" s="212">
        <f t="shared" si="75"/>
        <v>24451.170877166529</v>
      </c>
      <c r="X157" s="212">
        <f t="shared" si="75"/>
        <v>22228.337161060481</v>
      </c>
      <c r="Y157" s="212">
        <f t="shared" si="75"/>
        <v>20207.579237327707</v>
      </c>
      <c r="Z157" s="212">
        <f t="shared" si="75"/>
        <v>18370.526579388821</v>
      </c>
      <c r="AA157" s="212">
        <f t="shared" si="75"/>
        <v>16700.478708535295</v>
      </c>
      <c r="AB157" s="212">
        <f t="shared" si="75"/>
        <v>15182.253371395722</v>
      </c>
      <c r="AC157" s="212">
        <f t="shared" si="75"/>
        <v>13802.048519450653</v>
      </c>
      <c r="AD157" s="212">
        <f t="shared" si="75"/>
        <v>12547.316835864229</v>
      </c>
      <c r="AE157" s="212">
        <f t="shared" si="75"/>
        <v>11406.651668967483</v>
      </c>
      <c r="AF157" s="212">
        <f t="shared" si="75"/>
        <v>10369.683335424981</v>
      </c>
      <c r="AG157" s="212">
        <f t="shared" si="75"/>
        <v>9426.9848503863468</v>
      </c>
      <c r="AH157" s="212">
        <f t="shared" si="75"/>
        <v>8569.986227623951</v>
      </c>
      <c r="AI157" s="212">
        <f t="shared" si="75"/>
        <v>7790.8965705672272</v>
      </c>
      <c r="AJ157" s="212">
        <f t="shared" si="75"/>
        <v>7082.6332459702062</v>
      </c>
      <c r="AK157" s="159">
        <f t="shared" si="75"/>
        <v>6438.7574963365505</v>
      </c>
    </row>
    <row r="158" spans="2:37" x14ac:dyDescent="0.25">
      <c r="B158" s="144" t="str">
        <f t="shared" si="71"/>
        <v>NPV HEFA SMR Catalyst</v>
      </c>
      <c r="C158" s="207"/>
      <c r="D158" s="214">
        <f t="shared" si="68"/>
        <v>0</v>
      </c>
      <c r="E158" s="207"/>
      <c r="F158" s="207"/>
      <c r="G158" s="207"/>
      <c r="H158" s="212">
        <f t="shared" si="69"/>
        <v>0</v>
      </c>
      <c r="I158" s="212">
        <f t="shared" ref="I158:AK158" si="76">I108*I$130</f>
        <v>0</v>
      </c>
      <c r="J158" s="212">
        <f t="shared" si="76"/>
        <v>0</v>
      </c>
      <c r="K158" s="212">
        <f t="shared" si="76"/>
        <v>0</v>
      </c>
      <c r="L158" s="212">
        <f t="shared" si="76"/>
        <v>0</v>
      </c>
      <c r="M158" s="212">
        <f t="shared" si="76"/>
        <v>0</v>
      </c>
      <c r="N158" s="212">
        <f t="shared" si="76"/>
        <v>0</v>
      </c>
      <c r="O158" s="212">
        <f t="shared" si="76"/>
        <v>0</v>
      </c>
      <c r="P158" s="212">
        <f t="shared" si="76"/>
        <v>0</v>
      </c>
      <c r="Q158" s="212">
        <f t="shared" si="76"/>
        <v>0</v>
      </c>
      <c r="R158" s="212">
        <f t="shared" si="76"/>
        <v>0</v>
      </c>
      <c r="S158" s="212">
        <f t="shared" si="76"/>
        <v>0</v>
      </c>
      <c r="T158" s="212">
        <f t="shared" si="76"/>
        <v>0</v>
      </c>
      <c r="U158" s="212">
        <f t="shared" si="76"/>
        <v>0</v>
      </c>
      <c r="V158" s="212">
        <f t="shared" si="76"/>
        <v>0</v>
      </c>
      <c r="W158" s="212">
        <f t="shared" si="76"/>
        <v>0</v>
      </c>
      <c r="X158" s="212">
        <f t="shared" si="76"/>
        <v>0</v>
      </c>
      <c r="Y158" s="212">
        <f t="shared" si="76"/>
        <v>0</v>
      </c>
      <c r="Z158" s="212">
        <f t="shared" si="76"/>
        <v>0</v>
      </c>
      <c r="AA158" s="212">
        <f t="shared" si="76"/>
        <v>0</v>
      </c>
      <c r="AB158" s="212">
        <f t="shared" si="76"/>
        <v>0</v>
      </c>
      <c r="AC158" s="212">
        <f t="shared" si="76"/>
        <v>0</v>
      </c>
      <c r="AD158" s="212">
        <f t="shared" si="76"/>
        <v>0</v>
      </c>
      <c r="AE158" s="212">
        <f t="shared" si="76"/>
        <v>0</v>
      </c>
      <c r="AF158" s="212">
        <f t="shared" si="76"/>
        <v>0</v>
      </c>
      <c r="AG158" s="212">
        <f t="shared" si="76"/>
        <v>0</v>
      </c>
      <c r="AH158" s="212">
        <f t="shared" si="76"/>
        <v>0</v>
      </c>
      <c r="AI158" s="212">
        <f t="shared" si="76"/>
        <v>0</v>
      </c>
      <c r="AJ158" s="212">
        <f t="shared" si="76"/>
        <v>0</v>
      </c>
      <c r="AK158" s="159">
        <f t="shared" si="76"/>
        <v>0</v>
      </c>
    </row>
    <row r="159" spans="2:37" x14ac:dyDescent="0.25">
      <c r="B159" s="144" t="str">
        <f t="shared" si="71"/>
        <v>NPV HEFA Purchased H2</v>
      </c>
      <c r="C159" s="207"/>
      <c r="D159" s="214">
        <f t="shared" si="68"/>
        <v>36962867.46854426</v>
      </c>
      <c r="E159" s="207"/>
      <c r="F159" s="207"/>
      <c r="G159" s="207"/>
      <c r="H159" s="212">
        <f t="shared" si="69"/>
        <v>2739449.6226293705</v>
      </c>
      <c r="I159" s="212">
        <f t="shared" ref="I159:W159" si="77">I109*I$130</f>
        <v>3320544.9971265099</v>
      </c>
      <c r="J159" s="212">
        <f t="shared" si="77"/>
        <v>3018677.2701150086</v>
      </c>
      <c r="K159" s="212">
        <f t="shared" si="77"/>
        <v>2744252.063740917</v>
      </c>
      <c r="L159" s="212">
        <f t="shared" si="77"/>
        <v>2494774.603400833</v>
      </c>
      <c r="M159" s="212">
        <f t="shared" si="77"/>
        <v>2267976.9121825756</v>
      </c>
      <c r="N159" s="212">
        <f t="shared" si="77"/>
        <v>2061797.1928932501</v>
      </c>
      <c r="O159" s="212">
        <f t="shared" si="77"/>
        <v>1874361.0844484093</v>
      </c>
      <c r="P159" s="212">
        <f t="shared" si="77"/>
        <v>1703964.6222258266</v>
      </c>
      <c r="Q159" s="212">
        <f t="shared" si="77"/>
        <v>1549058.7474780239</v>
      </c>
      <c r="R159" s="212">
        <f t="shared" si="77"/>
        <v>1408235.2249800216</v>
      </c>
      <c r="S159" s="212">
        <f t="shared" si="77"/>
        <v>1280213.8408909289</v>
      </c>
      <c r="T159" s="212">
        <f t="shared" si="77"/>
        <v>1163830.7644462988</v>
      </c>
      <c r="U159" s="212">
        <f t="shared" si="77"/>
        <v>1058027.9676784533</v>
      </c>
      <c r="V159" s="212">
        <f t="shared" si="77"/>
        <v>961843.60698041203</v>
      </c>
      <c r="W159" s="212">
        <f t="shared" si="77"/>
        <v>874403.27907310182</v>
      </c>
      <c r="X159" s="212">
        <f t="shared" ref="I159:AK167" si="78">X109*X$130</f>
        <v>794912.07188463805</v>
      </c>
      <c r="Y159" s="212">
        <f t="shared" si="78"/>
        <v>722647.33807694353</v>
      </c>
      <c r="Z159" s="212">
        <f t="shared" si="78"/>
        <v>656952.12552449398</v>
      </c>
      <c r="AA159" s="212">
        <f t="shared" si="78"/>
        <v>597229.20502226742</v>
      </c>
      <c r="AB159" s="212">
        <f t="shared" si="78"/>
        <v>542935.64092933387</v>
      </c>
      <c r="AC159" s="212">
        <f t="shared" si="78"/>
        <v>493577.85539030348</v>
      </c>
      <c r="AD159" s="212">
        <f t="shared" si="78"/>
        <v>448707.1412639122</v>
      </c>
      <c r="AE159" s="212">
        <f t="shared" si="78"/>
        <v>407915.58296719298</v>
      </c>
      <c r="AF159" s="212">
        <f t="shared" si="78"/>
        <v>370832.34815199353</v>
      </c>
      <c r="AG159" s="212">
        <f t="shared" si="78"/>
        <v>337120.31650181225</v>
      </c>
      <c r="AH159" s="212">
        <f t="shared" si="78"/>
        <v>306473.01500164747</v>
      </c>
      <c r="AI159" s="212">
        <f t="shared" si="78"/>
        <v>278611.83181967953</v>
      </c>
      <c r="AJ159" s="212">
        <f t="shared" si="78"/>
        <v>253283.48347243591</v>
      </c>
      <c r="AK159" s="159">
        <f t="shared" si="78"/>
        <v>230257.712247669</v>
      </c>
    </row>
    <row r="160" spans="2:37" x14ac:dyDescent="0.25">
      <c r="B160" s="144" t="str">
        <f t="shared" si="71"/>
        <v>NPV Supplemental Electricity</v>
      </c>
      <c r="C160" s="207"/>
      <c r="D160" s="214">
        <f t="shared" si="68"/>
        <v>6818239.4545480404</v>
      </c>
      <c r="E160" s="207"/>
      <c r="F160" s="207"/>
      <c r="G160" s="207"/>
      <c r="H160" s="212">
        <f t="shared" si="69"/>
        <v>505323.98539300711</v>
      </c>
      <c r="I160" s="212">
        <f t="shared" si="78"/>
        <v>612513.92168849334</v>
      </c>
      <c r="J160" s="212">
        <f t="shared" si="78"/>
        <v>556830.83789863018</v>
      </c>
      <c r="K160" s="212">
        <f t="shared" si="78"/>
        <v>506209.85263511841</v>
      </c>
      <c r="L160" s="212">
        <f t="shared" si="78"/>
        <v>460190.77512283484</v>
      </c>
      <c r="M160" s="212">
        <f t="shared" si="78"/>
        <v>418355.25011166802</v>
      </c>
      <c r="N160" s="212">
        <f t="shared" si="78"/>
        <v>380322.95464697084</v>
      </c>
      <c r="O160" s="212">
        <f t="shared" si="78"/>
        <v>345748.14058815537</v>
      </c>
      <c r="P160" s="212">
        <f t="shared" si="78"/>
        <v>314316.49144377757</v>
      </c>
      <c r="Q160" s="212">
        <f t="shared" si="78"/>
        <v>285742.26494888868</v>
      </c>
      <c r="R160" s="212">
        <f t="shared" si="78"/>
        <v>259765.69540808059</v>
      </c>
      <c r="S160" s="212">
        <f t="shared" si="78"/>
        <v>236150.63218916417</v>
      </c>
      <c r="T160" s="212">
        <f t="shared" si="78"/>
        <v>214682.39289924016</v>
      </c>
      <c r="U160" s="212">
        <f t="shared" si="78"/>
        <v>195165.81172658192</v>
      </c>
      <c r="V160" s="212">
        <f t="shared" si="78"/>
        <v>177423.46520598355</v>
      </c>
      <c r="W160" s="212">
        <f t="shared" si="78"/>
        <v>161294.05927816685</v>
      </c>
      <c r="X160" s="212">
        <f t="shared" si="78"/>
        <v>146630.9629801517</v>
      </c>
      <c r="Y160" s="212">
        <f t="shared" si="78"/>
        <v>133300.87543650152</v>
      </c>
      <c r="Z160" s="212">
        <f t="shared" si="78"/>
        <v>121182.61403318317</v>
      </c>
      <c r="AA160" s="212">
        <f t="shared" si="78"/>
        <v>110166.01275743927</v>
      </c>
      <c r="AB160" s="212">
        <f t="shared" si="78"/>
        <v>100150.92068858114</v>
      </c>
      <c r="AC160" s="212">
        <f t="shared" si="78"/>
        <v>91046.291535073746</v>
      </c>
      <c r="AD160" s="212">
        <f t="shared" si="78"/>
        <v>82769.355940976122</v>
      </c>
      <c r="AE160" s="212">
        <f t="shared" si="78"/>
        <v>75244.869037251032</v>
      </c>
      <c r="AF160" s="212">
        <f t="shared" si="78"/>
        <v>68404.426397500923</v>
      </c>
      <c r="AG160" s="212">
        <f t="shared" si="78"/>
        <v>62185.842179546293</v>
      </c>
      <c r="AH160" s="212">
        <f t="shared" si="78"/>
        <v>56532.583799587534</v>
      </c>
      <c r="AI160" s="212">
        <f t="shared" si="78"/>
        <v>51393.257999625028</v>
      </c>
      <c r="AJ160" s="212">
        <f t="shared" si="78"/>
        <v>46721.143636022745</v>
      </c>
      <c r="AK160" s="159">
        <f t="shared" si="78"/>
        <v>42473.766941838861</v>
      </c>
    </row>
    <row r="161" spans="2:37" x14ac:dyDescent="0.25">
      <c r="B161" s="144" t="str">
        <f t="shared" si="71"/>
        <v>NPV Supplemental Natural Gas</v>
      </c>
      <c r="C161" s="207"/>
      <c r="D161" s="214">
        <f t="shared" si="68"/>
        <v>28818477.505229022</v>
      </c>
      <c r="E161" s="207"/>
      <c r="F161" s="207"/>
      <c r="G161" s="207"/>
      <c r="H161" s="212">
        <f t="shared" si="69"/>
        <v>2135839.9045646852</v>
      </c>
      <c r="I161" s="212">
        <f t="shared" si="78"/>
        <v>2588896.8540177997</v>
      </c>
      <c r="J161" s="212">
        <f t="shared" si="78"/>
        <v>2353542.5945616355</v>
      </c>
      <c r="K161" s="212">
        <f t="shared" si="78"/>
        <v>2139584.1768742143</v>
      </c>
      <c r="L161" s="212">
        <f t="shared" si="78"/>
        <v>1945076.5244311036</v>
      </c>
      <c r="M161" s="212">
        <f t="shared" si="78"/>
        <v>1768251.3858464579</v>
      </c>
      <c r="N161" s="212">
        <f t="shared" si="78"/>
        <v>1607501.2598604159</v>
      </c>
      <c r="O161" s="212">
        <f t="shared" si="78"/>
        <v>1461364.7816912872</v>
      </c>
      <c r="P161" s="212">
        <f t="shared" si="78"/>
        <v>1328513.4379011702</v>
      </c>
      <c r="Q161" s="212">
        <f t="shared" si="78"/>
        <v>1207739.4890010636</v>
      </c>
      <c r="R161" s="212">
        <f t="shared" si="78"/>
        <v>1097944.9900009669</v>
      </c>
      <c r="S161" s="212">
        <f t="shared" si="78"/>
        <v>998131.80909178802</v>
      </c>
      <c r="T161" s="212">
        <f t="shared" si="78"/>
        <v>907392.55371980742</v>
      </c>
      <c r="U161" s="212">
        <f t="shared" si="78"/>
        <v>824902.32156346098</v>
      </c>
      <c r="V161" s="212">
        <f t="shared" si="78"/>
        <v>749911.20142132812</v>
      </c>
      <c r="W161" s="212">
        <f t="shared" si="78"/>
        <v>681737.45583757106</v>
      </c>
      <c r="X161" s="212">
        <f t="shared" si="78"/>
        <v>619761.3234887009</v>
      </c>
      <c r="Y161" s="212">
        <f t="shared" si="78"/>
        <v>563419.3849897281</v>
      </c>
      <c r="Z161" s="212">
        <f t="shared" si="78"/>
        <v>512199.44089975266</v>
      </c>
      <c r="AA161" s="212">
        <f t="shared" si="78"/>
        <v>465635.8553634116</v>
      </c>
      <c r="AB161" s="212">
        <f t="shared" si="78"/>
        <v>423305.32305764686</v>
      </c>
      <c r="AC161" s="212">
        <f t="shared" si="78"/>
        <v>384823.0209614971</v>
      </c>
      <c r="AD161" s="212">
        <f t="shared" si="78"/>
        <v>349839.10996499733</v>
      </c>
      <c r="AE161" s="212">
        <f t="shared" si="78"/>
        <v>318035.55451363395</v>
      </c>
      <c r="AF161" s="212">
        <f t="shared" si="78"/>
        <v>289123.23137603077</v>
      </c>
      <c r="AG161" s="212">
        <f t="shared" si="78"/>
        <v>262839.3012509371</v>
      </c>
      <c r="AH161" s="212">
        <f t="shared" si="78"/>
        <v>238944.8193190337</v>
      </c>
      <c r="AI161" s="212">
        <f t="shared" si="78"/>
        <v>217222.56301730333</v>
      </c>
      <c r="AJ161" s="212">
        <f t="shared" si="78"/>
        <v>197475.05728845758</v>
      </c>
      <c r="AK161" s="159">
        <f t="shared" si="78"/>
        <v>179522.77935314324</v>
      </c>
    </row>
    <row r="162" spans="2:37" x14ac:dyDescent="0.25">
      <c r="B162" s="144" t="str">
        <f t="shared" si="71"/>
        <v>NPV Labor</v>
      </c>
      <c r="C162" s="207"/>
      <c r="D162" s="214">
        <f t="shared" si="68"/>
        <v>9456475.1023840159</v>
      </c>
      <c r="E162" s="207"/>
      <c r="F162" s="207"/>
      <c r="G162" s="207"/>
      <c r="H162" s="212">
        <f t="shared" si="69"/>
        <v>700853.01614318183</v>
      </c>
      <c r="I162" s="212">
        <f t="shared" si="78"/>
        <v>849518.80744628084</v>
      </c>
      <c r="J162" s="212">
        <f t="shared" si="78"/>
        <v>772289.82495116431</v>
      </c>
      <c r="K162" s="212">
        <f t="shared" si="78"/>
        <v>702081.65904651303</v>
      </c>
      <c r="L162" s="212">
        <f t="shared" si="78"/>
        <v>638256.05367864808</v>
      </c>
      <c r="M162" s="212">
        <f t="shared" si="78"/>
        <v>580232.77607149829</v>
      </c>
      <c r="N162" s="212">
        <f t="shared" si="78"/>
        <v>527484.34188318008</v>
      </c>
      <c r="O162" s="212">
        <f t="shared" si="78"/>
        <v>479531.21989380015</v>
      </c>
      <c r="P162" s="212">
        <f t="shared" si="78"/>
        <v>435937.4726307274</v>
      </c>
      <c r="Q162" s="212">
        <f t="shared" si="78"/>
        <v>396306.7933006612</v>
      </c>
      <c r="R162" s="212">
        <f t="shared" si="78"/>
        <v>360278.90300060104</v>
      </c>
      <c r="S162" s="212">
        <f t="shared" si="78"/>
        <v>327526.27545509191</v>
      </c>
      <c r="T162" s="212">
        <f t="shared" si="78"/>
        <v>297751.15950462897</v>
      </c>
      <c r="U162" s="212">
        <f t="shared" si="78"/>
        <v>270682.87227693538</v>
      </c>
      <c r="V162" s="212">
        <f t="shared" si="78"/>
        <v>246075.33843357759</v>
      </c>
      <c r="W162" s="212">
        <f t="shared" si="78"/>
        <v>223704.85312143419</v>
      </c>
      <c r="X162" s="212">
        <f t="shared" si="78"/>
        <v>203368.04829221289</v>
      </c>
      <c r="Y162" s="212">
        <f t="shared" si="78"/>
        <v>184880.0439020117</v>
      </c>
      <c r="Z162" s="212">
        <f t="shared" si="78"/>
        <v>168072.76718364697</v>
      </c>
      <c r="AA162" s="212">
        <f t="shared" si="78"/>
        <v>152793.42471240635</v>
      </c>
      <c r="AB162" s="212">
        <f t="shared" si="78"/>
        <v>138903.11337491486</v>
      </c>
      <c r="AC162" s="212">
        <f t="shared" si="78"/>
        <v>126275.55761355894</v>
      </c>
      <c r="AD162" s="212">
        <f t="shared" si="78"/>
        <v>114795.96146687175</v>
      </c>
      <c r="AE162" s="212">
        <f t="shared" si="78"/>
        <v>104359.96496988343</v>
      </c>
      <c r="AF162" s="212">
        <f t="shared" si="78"/>
        <v>94872.69542716672</v>
      </c>
      <c r="AG162" s="212">
        <f t="shared" si="78"/>
        <v>86247.904933787926</v>
      </c>
      <c r="AH162" s="212">
        <f t="shared" si="78"/>
        <v>78407.186303443566</v>
      </c>
      <c r="AI162" s="212">
        <f t="shared" si="78"/>
        <v>71279.26027585777</v>
      </c>
      <c r="AJ162" s="212">
        <f t="shared" si="78"/>
        <v>64799.327523507069</v>
      </c>
      <c r="AK162" s="159">
        <f t="shared" si="78"/>
        <v>58908.479566824601</v>
      </c>
    </row>
    <row r="163" spans="2:37" x14ac:dyDescent="0.25">
      <c r="B163" s="144" t="str">
        <f t="shared" si="71"/>
        <v>NPV Labor Burden</v>
      </c>
      <c r="C163" s="207"/>
      <c r="D163" s="214">
        <f t="shared" si="68"/>
        <v>0</v>
      </c>
      <c r="E163" s="207"/>
      <c r="F163" s="207"/>
      <c r="G163" s="207"/>
      <c r="H163" s="212">
        <f t="shared" ref="H163:H166" si="79">H113*H$130</f>
        <v>0</v>
      </c>
      <c r="I163" s="212">
        <f t="shared" si="78"/>
        <v>0</v>
      </c>
      <c r="J163" s="212">
        <f t="shared" si="78"/>
        <v>0</v>
      </c>
      <c r="K163" s="212">
        <f t="shared" si="78"/>
        <v>0</v>
      </c>
      <c r="L163" s="212">
        <f t="shared" si="78"/>
        <v>0</v>
      </c>
      <c r="M163" s="212">
        <f t="shared" si="78"/>
        <v>0</v>
      </c>
      <c r="N163" s="212">
        <f t="shared" si="78"/>
        <v>0</v>
      </c>
      <c r="O163" s="212">
        <f t="shared" si="78"/>
        <v>0</v>
      </c>
      <c r="P163" s="212">
        <f t="shared" si="78"/>
        <v>0</v>
      </c>
      <c r="Q163" s="212">
        <f t="shared" si="78"/>
        <v>0</v>
      </c>
      <c r="R163" s="212">
        <f t="shared" si="78"/>
        <v>0</v>
      </c>
      <c r="S163" s="212">
        <f t="shared" si="78"/>
        <v>0</v>
      </c>
      <c r="T163" s="212">
        <f t="shared" si="78"/>
        <v>0</v>
      </c>
      <c r="U163" s="212">
        <f t="shared" si="78"/>
        <v>0</v>
      </c>
      <c r="V163" s="212">
        <f t="shared" si="78"/>
        <v>0</v>
      </c>
      <c r="W163" s="212">
        <f t="shared" si="78"/>
        <v>0</v>
      </c>
      <c r="X163" s="212">
        <f t="shared" si="78"/>
        <v>0</v>
      </c>
      <c r="Y163" s="212">
        <f t="shared" si="78"/>
        <v>0</v>
      </c>
      <c r="Z163" s="212">
        <f t="shared" si="78"/>
        <v>0</v>
      </c>
      <c r="AA163" s="212">
        <f t="shared" si="78"/>
        <v>0</v>
      </c>
      <c r="AB163" s="212">
        <f t="shared" si="78"/>
        <v>0</v>
      </c>
      <c r="AC163" s="212">
        <f t="shared" si="78"/>
        <v>0</v>
      </c>
      <c r="AD163" s="212">
        <f t="shared" si="78"/>
        <v>0</v>
      </c>
      <c r="AE163" s="212">
        <f t="shared" si="78"/>
        <v>0</v>
      </c>
      <c r="AF163" s="212">
        <f t="shared" si="78"/>
        <v>0</v>
      </c>
      <c r="AG163" s="212">
        <f t="shared" si="78"/>
        <v>0</v>
      </c>
      <c r="AH163" s="212">
        <f t="shared" si="78"/>
        <v>0</v>
      </c>
      <c r="AI163" s="212">
        <f t="shared" si="78"/>
        <v>0</v>
      </c>
      <c r="AJ163" s="212">
        <f t="shared" si="78"/>
        <v>0</v>
      </c>
      <c r="AK163" s="159">
        <f t="shared" si="78"/>
        <v>0</v>
      </c>
    </row>
    <row r="164" spans="2:37" x14ac:dyDescent="0.25">
      <c r="B164" s="144" t="str">
        <f t="shared" si="71"/>
        <v>NPV Equipment Maintenance</v>
      </c>
      <c r="C164" s="207"/>
      <c r="D164" s="214">
        <f t="shared" si="68"/>
        <v>61366752.362512432</v>
      </c>
      <c r="E164" s="207"/>
      <c r="F164" s="207"/>
      <c r="G164" s="207"/>
      <c r="H164" s="212">
        <f>H114*H$130</f>
        <v>4548108.3615750009</v>
      </c>
      <c r="I164" s="212">
        <f t="shared" si="78"/>
        <v>5512858.6200909093</v>
      </c>
      <c r="J164" s="212">
        <f t="shared" si="78"/>
        <v>5011689.654628098</v>
      </c>
      <c r="K164" s="212">
        <f t="shared" si="78"/>
        <v>4556081.5042073624</v>
      </c>
      <c r="L164" s="212">
        <f t="shared" si="78"/>
        <v>4141892.2765521468</v>
      </c>
      <c r="M164" s="212">
        <f t="shared" si="78"/>
        <v>3765356.6150474064</v>
      </c>
      <c r="N164" s="212">
        <f t="shared" si="78"/>
        <v>3423051.4682249143</v>
      </c>
      <c r="O164" s="212">
        <f t="shared" si="78"/>
        <v>3111864.9711135584</v>
      </c>
      <c r="P164" s="212">
        <f t="shared" si="78"/>
        <v>2828968.1555577801</v>
      </c>
      <c r="Q164" s="212">
        <f t="shared" si="78"/>
        <v>2571789.2323252545</v>
      </c>
      <c r="R164" s="212">
        <f t="shared" si="78"/>
        <v>2337990.2112047765</v>
      </c>
      <c r="S164" s="212">
        <f t="shared" si="78"/>
        <v>2125445.6465497967</v>
      </c>
      <c r="T164" s="212">
        <f t="shared" si="78"/>
        <v>1932223.3150452699</v>
      </c>
      <c r="U164" s="212">
        <f t="shared" si="78"/>
        <v>1756566.6500411539</v>
      </c>
      <c r="V164" s="212">
        <f t="shared" si="78"/>
        <v>1596878.7727646853</v>
      </c>
      <c r="W164" s="212">
        <f t="shared" si="78"/>
        <v>1451707.9752406231</v>
      </c>
      <c r="X164" s="212">
        <f t="shared" si="78"/>
        <v>1319734.5229460208</v>
      </c>
      <c r="Y164" s="212">
        <f t="shared" si="78"/>
        <v>1199758.6572236554</v>
      </c>
      <c r="Z164" s="212">
        <f t="shared" si="78"/>
        <v>1090689.6883851408</v>
      </c>
      <c r="AA164" s="212">
        <f t="shared" si="78"/>
        <v>991536.08035012824</v>
      </c>
      <c r="AB164" s="212">
        <f t="shared" si="78"/>
        <v>901396.43668193475</v>
      </c>
      <c r="AC164" s="212">
        <f t="shared" si="78"/>
        <v>819451.30607448588</v>
      </c>
      <c r="AD164" s="212">
        <f t="shared" si="78"/>
        <v>744955.73279498715</v>
      </c>
      <c r="AE164" s="212">
        <f t="shared" si="78"/>
        <v>677232.48435907939</v>
      </c>
      <c r="AF164" s="212">
        <f t="shared" si="78"/>
        <v>615665.89487189008</v>
      </c>
      <c r="AG164" s="212">
        <f t="shared" si="78"/>
        <v>559696.26806535467</v>
      </c>
      <c r="AH164" s="212">
        <f t="shared" si="78"/>
        <v>508814.78915032238</v>
      </c>
      <c r="AI164" s="212">
        <f t="shared" si="78"/>
        <v>462558.89922756574</v>
      </c>
      <c r="AJ164" s="212">
        <f t="shared" si="78"/>
        <v>420508.09020687791</v>
      </c>
      <c r="AK164" s="159">
        <f t="shared" si="78"/>
        <v>382280.0820062526</v>
      </c>
    </row>
    <row r="165" spans="2:37" x14ac:dyDescent="0.25">
      <c r="B165" s="144" t="str">
        <f t="shared" si="71"/>
        <v>NPV Property Tax and Insurance</v>
      </c>
      <c r="C165" s="207"/>
      <c r="D165" s="214">
        <f t="shared" si="68"/>
        <v>16736387.007979162</v>
      </c>
      <c r="E165" s="207"/>
      <c r="F165" s="207"/>
      <c r="G165" s="207"/>
      <c r="H165" s="212">
        <f t="shared" si="79"/>
        <v>1240393.189522028</v>
      </c>
      <c r="I165" s="212">
        <f t="shared" si="78"/>
        <v>1503506.8963903368</v>
      </c>
      <c r="J165" s="212">
        <f t="shared" si="78"/>
        <v>1366824.4512639423</v>
      </c>
      <c r="K165" s="212">
        <f t="shared" si="78"/>
        <v>1242567.6829672204</v>
      </c>
      <c r="L165" s="212">
        <f t="shared" si="78"/>
        <v>1129606.9845156546</v>
      </c>
      <c r="M165" s="212">
        <f t="shared" si="78"/>
        <v>1026915.440468777</v>
      </c>
      <c r="N165" s="212">
        <f t="shared" si="78"/>
        <v>933559.4913352516</v>
      </c>
      <c r="O165" s="212">
        <f t="shared" si="78"/>
        <v>848690.44666841056</v>
      </c>
      <c r="P165" s="212">
        <f t="shared" si="78"/>
        <v>771536.769698555</v>
      </c>
      <c r="Q165" s="212">
        <f t="shared" si="78"/>
        <v>701397.06336232275</v>
      </c>
      <c r="R165" s="212">
        <f t="shared" si="78"/>
        <v>637633.69396574784</v>
      </c>
      <c r="S165" s="212">
        <f t="shared" si="78"/>
        <v>579666.9945143162</v>
      </c>
      <c r="T165" s="212">
        <f t="shared" si="78"/>
        <v>526969.99501301476</v>
      </c>
      <c r="U165" s="212">
        <f t="shared" si="78"/>
        <v>479063.6318300133</v>
      </c>
      <c r="V165" s="212">
        <f t="shared" si="78"/>
        <v>435512.39257273934</v>
      </c>
      <c r="W165" s="212">
        <f t="shared" si="78"/>
        <v>395920.35688430851</v>
      </c>
      <c r="X165" s="212">
        <f t="shared" si="78"/>
        <v>359927.59716755315</v>
      </c>
      <c r="Y165" s="212">
        <f t="shared" si="78"/>
        <v>327206.90651595738</v>
      </c>
      <c r="Z165" s="212">
        <f t="shared" si="78"/>
        <v>297460.82410541573</v>
      </c>
      <c r="AA165" s="212">
        <f t="shared" si="78"/>
        <v>270418.93100492342</v>
      </c>
      <c r="AB165" s="212">
        <f t="shared" si="78"/>
        <v>245835.39182265766</v>
      </c>
      <c r="AC165" s="212">
        <f t="shared" si="78"/>
        <v>223486.71983877965</v>
      </c>
      <c r="AD165" s="212">
        <f t="shared" si="78"/>
        <v>203169.74530798147</v>
      </c>
      <c r="AE165" s="212">
        <f t="shared" si="78"/>
        <v>184699.76846180137</v>
      </c>
      <c r="AF165" s="212">
        <f t="shared" si="78"/>
        <v>167908.88041981938</v>
      </c>
      <c r="AG165" s="212">
        <f t="shared" si="78"/>
        <v>152644.43674529035</v>
      </c>
      <c r="AH165" s="212">
        <f t="shared" si="78"/>
        <v>138767.66976844575</v>
      </c>
      <c r="AI165" s="212">
        <f t="shared" si="78"/>
        <v>126152.4270622234</v>
      </c>
      <c r="AJ165" s="212">
        <f t="shared" si="78"/>
        <v>114684.02460202127</v>
      </c>
      <c r="AK165" s="159">
        <f t="shared" si="78"/>
        <v>104258.20418365569</v>
      </c>
    </row>
    <row r="166" spans="2:37" x14ac:dyDescent="0.25">
      <c r="B166" s="144" t="str">
        <f t="shared" si="71"/>
        <v>NPV Misc. Supplies</v>
      </c>
      <c r="C166" s="207"/>
      <c r="D166" s="214">
        <f t="shared" si="68"/>
        <v>2231518.2677270179</v>
      </c>
      <c r="E166" s="207"/>
      <c r="F166" s="207"/>
      <c r="G166" s="207"/>
      <c r="H166" s="212">
        <f t="shared" si="79"/>
        <v>165385.75860267485</v>
      </c>
      <c r="I166" s="212">
        <f t="shared" si="78"/>
        <v>200467.58618506038</v>
      </c>
      <c r="J166" s="212">
        <f t="shared" si="78"/>
        <v>182243.26016823668</v>
      </c>
      <c r="K166" s="212">
        <f t="shared" si="78"/>
        <v>165675.69106203335</v>
      </c>
      <c r="L166" s="212">
        <f t="shared" si="78"/>
        <v>150614.2646018485</v>
      </c>
      <c r="M166" s="212">
        <f t="shared" si="78"/>
        <v>136922.05872895318</v>
      </c>
      <c r="N166" s="212">
        <f t="shared" si="78"/>
        <v>124474.59884450285</v>
      </c>
      <c r="O166" s="212">
        <f t="shared" si="78"/>
        <v>113158.72622227532</v>
      </c>
      <c r="P166" s="212">
        <f t="shared" si="78"/>
        <v>102871.56929297757</v>
      </c>
      <c r="Q166" s="212">
        <f t="shared" si="78"/>
        <v>93519.608448161409</v>
      </c>
      <c r="R166" s="212">
        <f t="shared" si="78"/>
        <v>85017.825861964913</v>
      </c>
      <c r="S166" s="212">
        <f t="shared" si="78"/>
        <v>77288.932601786291</v>
      </c>
      <c r="T166" s="212">
        <f t="shared" si="78"/>
        <v>70262.666001623904</v>
      </c>
      <c r="U166" s="212">
        <f t="shared" si="78"/>
        <v>63875.150910567158</v>
      </c>
      <c r="V166" s="212">
        <f t="shared" si="78"/>
        <v>58068.319009606508</v>
      </c>
      <c r="W166" s="212">
        <f t="shared" si="78"/>
        <v>52789.380917824099</v>
      </c>
      <c r="X166" s="212">
        <f t="shared" si="78"/>
        <v>47990.346288930996</v>
      </c>
      <c r="Y166" s="212">
        <f t="shared" si="78"/>
        <v>43627.587535391809</v>
      </c>
      <c r="Z166" s="212">
        <f t="shared" si="78"/>
        <v>39661.443213992548</v>
      </c>
      <c r="AA166" s="212">
        <f t="shared" si="78"/>
        <v>36055.85746726596</v>
      </c>
      <c r="AB166" s="212">
        <f t="shared" si="78"/>
        <v>32778.052242969046</v>
      </c>
      <c r="AC166" s="212">
        <f t="shared" si="78"/>
        <v>29798.229311790037</v>
      </c>
      <c r="AD166" s="212">
        <f t="shared" si="78"/>
        <v>27089.299374354578</v>
      </c>
      <c r="AE166" s="212">
        <f t="shared" si="78"/>
        <v>24626.635794867801</v>
      </c>
      <c r="AF166" s="212">
        <f t="shared" si="78"/>
        <v>22387.850722607087</v>
      </c>
      <c r="AG166" s="212">
        <f t="shared" si="78"/>
        <v>20352.591566006442</v>
      </c>
      <c r="AH166" s="212">
        <f t="shared" si="78"/>
        <v>18502.355969096763</v>
      </c>
      <c r="AI166" s="212">
        <f t="shared" si="78"/>
        <v>16820.323608269784</v>
      </c>
      <c r="AJ166" s="212">
        <f t="shared" si="78"/>
        <v>15291.203280245258</v>
      </c>
      <c r="AK166" s="159">
        <f t="shared" si="78"/>
        <v>13901.09389113205</v>
      </c>
    </row>
    <row r="167" spans="2:37" x14ac:dyDescent="0.25">
      <c r="B167" s="144" t="str">
        <f t="shared" si="71"/>
        <v>NPV Fixed OPEX Contingency</v>
      </c>
      <c r="C167" s="207"/>
      <c r="D167" s="214">
        <f t="shared" si="68"/>
        <v>8979113.2740531135</v>
      </c>
      <c r="E167" s="207"/>
      <c r="F167" s="207"/>
      <c r="G167" s="207"/>
      <c r="H167" s="212">
        <f>H117*H$130</f>
        <v>665474.0325837587</v>
      </c>
      <c r="I167" s="212">
        <f t="shared" si="78"/>
        <v>806635.1910106166</v>
      </c>
      <c r="J167" s="212">
        <f t="shared" si="78"/>
        <v>733304.71910056041</v>
      </c>
      <c r="K167" s="212">
        <f t="shared" si="78"/>
        <v>666640.65372778219</v>
      </c>
      <c r="L167" s="212">
        <f t="shared" si="78"/>
        <v>606036.95793434745</v>
      </c>
      <c r="M167" s="212">
        <f t="shared" si="78"/>
        <v>550942.68903122493</v>
      </c>
      <c r="N167" s="212">
        <f t="shared" si="78"/>
        <v>500856.99002838618</v>
      </c>
      <c r="O167" s="212">
        <f t="shared" si="78"/>
        <v>455324.53638944199</v>
      </c>
      <c r="P167" s="212">
        <f t="shared" si="78"/>
        <v>413931.39671767451</v>
      </c>
      <c r="Q167" s="212">
        <f t="shared" si="78"/>
        <v>376301.26974334044</v>
      </c>
      <c r="R167" s="212">
        <f t="shared" si="78"/>
        <v>342092.06340303674</v>
      </c>
      <c r="S167" s="212">
        <f t="shared" si="78"/>
        <v>310992.78491185157</v>
      </c>
      <c r="T167" s="212">
        <f t="shared" si="78"/>
        <v>282720.71355622873</v>
      </c>
      <c r="U167" s="212">
        <f t="shared" si="78"/>
        <v>257018.83050566239</v>
      </c>
      <c r="V167" s="212">
        <f t="shared" si="78"/>
        <v>233653.48227787489</v>
      </c>
      <c r="W167" s="212">
        <f t="shared" si="78"/>
        <v>212412.25661624991</v>
      </c>
      <c r="X167" s="212">
        <f t="shared" si="78"/>
        <v>193102.0514693181</v>
      </c>
      <c r="Y167" s="212">
        <f t="shared" si="78"/>
        <v>175547.31951756187</v>
      </c>
      <c r="Z167" s="212">
        <f t="shared" si="78"/>
        <v>159588.47228869257</v>
      </c>
      <c r="AA167" s="212">
        <f t="shared" si="78"/>
        <v>145080.42935335691</v>
      </c>
      <c r="AB167" s="212">
        <f t="shared" si="78"/>
        <v>131891.29941214263</v>
      </c>
      <c r="AC167" s="212">
        <f t="shared" si="78"/>
        <v>119901.18128376601</v>
      </c>
      <c r="AD167" s="212">
        <f t="shared" si="78"/>
        <v>109001.07389433273</v>
      </c>
      <c r="AE167" s="212">
        <f t="shared" si="78"/>
        <v>99091.885358484316</v>
      </c>
      <c r="AF167" s="212">
        <f t="shared" si="78"/>
        <v>90083.532144076627</v>
      </c>
      <c r="AG167" s="212">
        <f t="shared" si="78"/>
        <v>81894.120130978743</v>
      </c>
      <c r="AH167" s="212">
        <f t="shared" si="78"/>
        <v>74449.200119071582</v>
      </c>
      <c r="AI167" s="212">
        <f t="shared" si="78"/>
        <v>67681.091017337792</v>
      </c>
      <c r="AJ167" s="212">
        <f t="shared" si="78"/>
        <v>61528.264561216172</v>
      </c>
      <c r="AK167" s="159">
        <f t="shared" si="78"/>
        <v>55934.785964741975</v>
      </c>
    </row>
    <row r="168" spans="2:37" x14ac:dyDescent="0.25">
      <c r="B168" s="144" t="s">
        <v>452</v>
      </c>
      <c r="C168" s="207"/>
      <c r="D168" s="214">
        <f>SUM(E168:G168)</f>
        <v>225627292.46965104</v>
      </c>
      <c r="E168" s="215">
        <f>E72*E130</f>
        <v>20282988.401803702</v>
      </c>
      <c r="F168" s="215">
        <f>F72*F130</f>
        <v>138293102.73957065</v>
      </c>
      <c r="G168" s="215">
        <f>G72*G130</f>
        <v>67051201.328276686</v>
      </c>
      <c r="H168" s="207"/>
      <c r="I168" s="207"/>
      <c r="J168" s="207"/>
      <c r="K168" s="207"/>
      <c r="L168" s="207"/>
      <c r="M168" s="207"/>
      <c r="N168" s="207"/>
      <c r="O168" s="207"/>
      <c r="P168" s="207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  <c r="AA168" s="207"/>
      <c r="AB168" s="207"/>
      <c r="AC168" s="207"/>
      <c r="AD168" s="207"/>
      <c r="AE168" s="207"/>
      <c r="AF168" s="207"/>
      <c r="AG168" s="207"/>
      <c r="AH168" s="207"/>
      <c r="AI168" s="207"/>
      <c r="AJ168" s="207"/>
      <c r="AK168" s="81"/>
    </row>
    <row r="169" spans="2:37" ht="15.75" thickBot="1" x14ac:dyDescent="0.3">
      <c r="B169" s="146" t="s">
        <v>445</v>
      </c>
      <c r="C169" s="147"/>
      <c r="D169" s="160">
        <f>E169</f>
        <v>29091668.113200016</v>
      </c>
      <c r="E169" s="161">
        <f>E73*E130</f>
        <v>29091668.113200016</v>
      </c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62"/>
    </row>
  </sheetData>
  <mergeCells count="16">
    <mergeCell ref="L6:M6"/>
    <mergeCell ref="B63:D63"/>
    <mergeCell ref="B64:D64"/>
    <mergeCell ref="B69:D69"/>
    <mergeCell ref="B39:D39"/>
    <mergeCell ref="B44:D44"/>
    <mergeCell ref="B45:D45"/>
    <mergeCell ref="B49:D49"/>
    <mergeCell ref="B58:D58"/>
    <mergeCell ref="B59:D59"/>
    <mergeCell ref="B38:D38"/>
    <mergeCell ref="B2:D2"/>
    <mergeCell ref="B29:D29"/>
    <mergeCell ref="B30:D30"/>
    <mergeCell ref="B35:D35"/>
    <mergeCell ref="B36:D36"/>
  </mergeCells>
  <dataValidations count="1">
    <dataValidation type="list" allowBlank="1" showInputMessage="1" showErrorMessage="1" sqref="G4" xr:uid="{00000000-0002-0000-0500-000000000000}">
      <formula1>"Include Cultivation, Conversion Only"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Solve_MFSP">
                <anchor moveWithCells="1" sizeWithCells="1">
                  <from>
                    <xdr:col>4</xdr:col>
                    <xdr:colOff>200025</xdr:colOff>
                    <xdr:row>63</xdr:row>
                    <xdr:rowOff>142875</xdr:rowOff>
                  </from>
                  <to>
                    <xdr:col>5</xdr:col>
                    <xdr:colOff>771525</xdr:colOff>
                    <xdr:row>66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CA75-4383-4837-BE82-6E154C20D59A}">
  <sheetPr codeName="Sheet3"/>
  <dimension ref="A1:M135"/>
  <sheetViews>
    <sheetView topLeftCell="A9" zoomScale="85" zoomScaleNormal="85" workbookViewId="0">
      <selection activeCell="F10" sqref="F10"/>
    </sheetView>
  </sheetViews>
  <sheetFormatPr defaultRowHeight="15" x14ac:dyDescent="0.25"/>
  <cols>
    <col min="1" max="1" width="50.85546875" customWidth="1"/>
    <col min="2" max="2" width="65.140625" customWidth="1"/>
    <col min="3" max="3" width="21.28515625" bestFit="1" customWidth="1"/>
    <col min="4" max="4" width="22.7109375" bestFit="1" customWidth="1"/>
    <col min="5" max="5" width="18.140625" bestFit="1" customWidth="1"/>
    <col min="6" max="6" width="18.42578125" bestFit="1" customWidth="1"/>
    <col min="7" max="7" width="18.140625" bestFit="1" customWidth="1"/>
    <col min="8" max="8" width="25.5703125" bestFit="1" customWidth="1"/>
    <col min="9" max="9" width="21.42578125" bestFit="1" customWidth="1"/>
    <col min="10" max="10" width="22" bestFit="1" customWidth="1"/>
    <col min="11" max="11" width="20.42578125" bestFit="1" customWidth="1"/>
    <col min="12" max="12" width="23.5703125" bestFit="1" customWidth="1"/>
    <col min="26" max="26" width="12.28515625" bestFit="1" customWidth="1"/>
  </cols>
  <sheetData>
    <row r="1" spans="1:12" x14ac:dyDescent="0.25">
      <c r="A1" s="267" t="s">
        <v>207</v>
      </c>
      <c r="B1" s="71" t="s">
        <v>595</v>
      </c>
    </row>
    <row r="2" spans="1:12" x14ac:dyDescent="0.25">
      <c r="A2" s="268" t="s">
        <v>234</v>
      </c>
      <c r="B2" s="277">
        <v>0.92625259999999998</v>
      </c>
    </row>
    <row r="3" spans="1:12" x14ac:dyDescent="0.25">
      <c r="A3" s="266"/>
      <c r="B3" s="266"/>
    </row>
    <row r="5" spans="1:12" x14ac:dyDescent="0.25">
      <c r="A5" s="402" t="s">
        <v>235</v>
      </c>
      <c r="B5" s="402"/>
      <c r="C5" s="402"/>
      <c r="D5" s="402"/>
    </row>
    <row r="6" spans="1:12" x14ac:dyDescent="0.25">
      <c r="A6" s="269" t="s">
        <v>278</v>
      </c>
      <c r="B6" s="270" t="s">
        <v>0</v>
      </c>
      <c r="C6" s="271" t="s">
        <v>1</v>
      </c>
      <c r="D6" s="272" t="s">
        <v>2</v>
      </c>
    </row>
    <row r="7" spans="1:12" x14ac:dyDescent="0.25">
      <c r="A7" s="333" t="s">
        <v>235</v>
      </c>
      <c r="B7" s="56" t="s">
        <v>268</v>
      </c>
      <c r="C7" s="72">
        <v>137.68079230769231</v>
      </c>
      <c r="D7" s="56" t="s">
        <v>274</v>
      </c>
    </row>
    <row r="8" spans="1:12" x14ac:dyDescent="0.25">
      <c r="A8" s="333"/>
      <c r="B8" s="56" t="s">
        <v>269</v>
      </c>
      <c r="C8" s="72">
        <v>9.9869433600628388E-3</v>
      </c>
      <c r="D8" s="56" t="s">
        <v>275</v>
      </c>
    </row>
    <row r="9" spans="1:12" ht="15.75" thickBot="1" x14ac:dyDescent="0.3">
      <c r="A9" s="403"/>
      <c r="B9" s="58" t="s">
        <v>270</v>
      </c>
      <c r="C9" s="73">
        <v>0</v>
      </c>
      <c r="D9" s="58" t="s">
        <v>274</v>
      </c>
    </row>
    <row r="10" spans="1:12" ht="15" customHeight="1" x14ac:dyDescent="0.25">
      <c r="A10" s="408" t="s">
        <v>272</v>
      </c>
      <c r="B10" s="57" t="s">
        <v>271</v>
      </c>
      <c r="C10" s="74"/>
      <c r="D10" s="57" t="s">
        <v>276</v>
      </c>
    </row>
    <row r="11" spans="1:12" x14ac:dyDescent="0.25">
      <c r="A11" s="338"/>
      <c r="B11" s="56" t="s">
        <v>273</v>
      </c>
      <c r="C11" s="72"/>
      <c r="D11" s="56" t="s">
        <v>277</v>
      </c>
    </row>
    <row r="12" spans="1:12" x14ac:dyDescent="0.25">
      <c r="A12" s="266"/>
      <c r="B12" s="266"/>
      <c r="C12" s="266"/>
    </row>
    <row r="15" spans="1:12" x14ac:dyDescent="0.25">
      <c r="A15" s="400" t="s">
        <v>255</v>
      </c>
      <c r="B15" s="400"/>
      <c r="C15" s="400"/>
      <c r="D15" s="400"/>
      <c r="E15" s="400"/>
      <c r="F15" s="400"/>
      <c r="G15" s="400"/>
      <c r="H15" s="400"/>
      <c r="I15" s="400"/>
      <c r="J15" s="400"/>
      <c r="K15" s="400"/>
      <c r="L15" s="400"/>
    </row>
    <row r="16" spans="1:12" x14ac:dyDescent="0.25">
      <c r="A16" s="401" t="s">
        <v>266</v>
      </c>
      <c r="B16" s="405" t="s">
        <v>229</v>
      </c>
      <c r="C16" s="404" t="s">
        <v>225</v>
      </c>
      <c r="D16" s="404"/>
      <c r="E16" s="404"/>
      <c r="F16" s="404"/>
      <c r="G16" s="404"/>
      <c r="H16" s="404"/>
      <c r="I16" s="404"/>
      <c r="J16" s="404"/>
      <c r="K16" s="404"/>
      <c r="L16" s="404"/>
    </row>
    <row r="17" spans="1:12" x14ac:dyDescent="0.25">
      <c r="A17" s="401"/>
      <c r="B17" s="406"/>
      <c r="C17" s="273" t="s">
        <v>205</v>
      </c>
      <c r="D17" s="273" t="s">
        <v>208</v>
      </c>
      <c r="E17" s="273" t="s">
        <v>210</v>
      </c>
      <c r="F17" s="273" t="s">
        <v>212</v>
      </c>
      <c r="G17" s="273" t="s">
        <v>214</v>
      </c>
      <c r="H17" s="273" t="s">
        <v>215</v>
      </c>
      <c r="I17" s="273" t="s">
        <v>217</v>
      </c>
      <c r="J17" s="273" t="s">
        <v>219</v>
      </c>
      <c r="K17" s="273" t="s">
        <v>221</v>
      </c>
      <c r="L17" s="273" t="s">
        <v>223</v>
      </c>
    </row>
    <row r="18" spans="1:12" x14ac:dyDescent="0.25">
      <c r="A18" s="401"/>
      <c r="B18" s="407"/>
      <c r="C18" s="273" t="s">
        <v>206</v>
      </c>
      <c r="D18" s="273" t="s">
        <v>209</v>
      </c>
      <c r="E18" s="273" t="s">
        <v>211</v>
      </c>
      <c r="F18" s="273" t="s">
        <v>213</v>
      </c>
      <c r="G18" s="273" t="s">
        <v>213</v>
      </c>
      <c r="H18" s="273" t="s">
        <v>216</v>
      </c>
      <c r="I18" s="273" t="s">
        <v>218</v>
      </c>
      <c r="J18" s="273" t="s">
        <v>220</v>
      </c>
      <c r="K18" s="273" t="s">
        <v>222</v>
      </c>
      <c r="L18" s="273" t="s">
        <v>224</v>
      </c>
    </row>
    <row r="19" spans="1:12" ht="15.75" thickBot="1" x14ac:dyDescent="0.3">
      <c r="A19" s="66" t="s">
        <v>248</v>
      </c>
      <c r="B19" s="67" t="s">
        <v>249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-319169949.0448581</v>
      </c>
      <c r="I19" s="73">
        <v>0</v>
      </c>
      <c r="J19" s="73">
        <v>0</v>
      </c>
      <c r="K19" s="73">
        <v>0</v>
      </c>
      <c r="L19" s="73">
        <v>0</v>
      </c>
    </row>
    <row r="20" spans="1:12" x14ac:dyDescent="0.25">
      <c r="A20" s="62" t="s">
        <v>546</v>
      </c>
      <c r="B20" s="279" t="s">
        <v>558</v>
      </c>
      <c r="C20" s="74">
        <v>1139.6784707517943</v>
      </c>
      <c r="D20" s="74">
        <v>9390.9505989947884</v>
      </c>
      <c r="E20" s="74">
        <v>61737568.026234277</v>
      </c>
      <c r="F20" s="74">
        <v>0.73395293516415561</v>
      </c>
      <c r="G20" s="74">
        <v>0.37062343868848352</v>
      </c>
      <c r="H20" s="74">
        <v>11977610.443351889</v>
      </c>
      <c r="I20" s="74">
        <v>201859.85073955782</v>
      </c>
      <c r="J20" s="74">
        <v>0.11351197568687872</v>
      </c>
      <c r="K20" s="74">
        <v>4649.8881606673212</v>
      </c>
      <c r="L20" s="74">
        <v>27134559.122990645</v>
      </c>
    </row>
    <row r="21" spans="1:12" x14ac:dyDescent="0.25">
      <c r="A21" s="59" t="s">
        <v>547</v>
      </c>
      <c r="B21" s="278" t="s">
        <v>556</v>
      </c>
      <c r="C21" s="72">
        <v>184.15152666101648</v>
      </c>
      <c r="D21" s="72">
        <v>2204.7763823775913</v>
      </c>
      <c r="E21" s="72">
        <v>1754208.9665054751</v>
      </c>
      <c r="F21" s="72">
        <v>3.5295062699109078E-2</v>
      </c>
      <c r="G21" s="72">
        <v>2.4188007052425659E-2</v>
      </c>
      <c r="H21" s="72">
        <v>230137.27943301835</v>
      </c>
      <c r="I21" s="72">
        <v>53132.494113531109</v>
      </c>
      <c r="J21" s="72">
        <v>3.6952843561378524E-3</v>
      </c>
      <c r="K21" s="72">
        <v>276.28085487964995</v>
      </c>
      <c r="L21" s="72">
        <v>420927.75229613588</v>
      </c>
    </row>
    <row r="22" spans="1:12" x14ac:dyDescent="0.25">
      <c r="A22" s="59" t="s">
        <v>548</v>
      </c>
      <c r="B22" s="278" t="s">
        <v>559</v>
      </c>
      <c r="C22" s="72">
        <v>5020.933290478848</v>
      </c>
      <c r="D22" s="72">
        <v>37298.361586414307</v>
      </c>
      <c r="E22" s="72">
        <v>259651007.16342816</v>
      </c>
      <c r="F22" s="72">
        <v>3.9962530271158188</v>
      </c>
      <c r="G22" s="72">
        <v>0.45085931587973332</v>
      </c>
      <c r="H22" s="72">
        <v>3773128.8997685192</v>
      </c>
      <c r="I22" s="72">
        <v>221433.40491275085</v>
      </c>
      <c r="J22" s="72">
        <v>5.2771033563196061E-2</v>
      </c>
      <c r="K22" s="72">
        <v>28742.281387333009</v>
      </c>
      <c r="L22" s="72">
        <v>6301783.619682637</v>
      </c>
    </row>
    <row r="23" spans="1:12" x14ac:dyDescent="0.25">
      <c r="A23" s="59" t="s">
        <v>549</v>
      </c>
      <c r="B23" s="278" t="s">
        <v>556</v>
      </c>
      <c r="C23" s="72">
        <v>103.48117894670325</v>
      </c>
      <c r="D23" s="72">
        <v>1238.9409064322401</v>
      </c>
      <c r="E23" s="72">
        <v>985751.3280735265</v>
      </c>
      <c r="F23" s="72">
        <v>1.983352929690807E-2</v>
      </c>
      <c r="G23" s="72">
        <v>1.3592086536234222E-2</v>
      </c>
      <c r="H23" s="72">
        <v>129322.18063635014</v>
      </c>
      <c r="I23" s="72">
        <v>29857.005428839067</v>
      </c>
      <c r="J23" s="72">
        <v>2.076509430303864E-3</v>
      </c>
      <c r="K23" s="72">
        <v>155.25186840279113</v>
      </c>
      <c r="L23" s="72">
        <v>236534.01548590552</v>
      </c>
    </row>
    <row r="24" spans="1:12" x14ac:dyDescent="0.25">
      <c r="A24" s="59" t="s">
        <v>245</v>
      </c>
      <c r="B24" s="61" t="s">
        <v>244</v>
      </c>
      <c r="C24" s="72">
        <v>9149.4690655295744</v>
      </c>
      <c r="D24" s="72">
        <v>19497.320591379565</v>
      </c>
      <c r="E24" s="72">
        <v>56024059.329858378</v>
      </c>
      <c r="F24" s="72">
        <v>1.2768996112045077</v>
      </c>
      <c r="G24" s="72">
        <v>0.48172268762003889</v>
      </c>
      <c r="H24" s="72">
        <v>5111300.3263747888</v>
      </c>
      <c r="I24" s="72">
        <v>212264.04487418552</v>
      </c>
      <c r="J24" s="72">
        <v>0.31786451746319838</v>
      </c>
      <c r="K24" s="72">
        <v>29251.307843992952</v>
      </c>
      <c r="L24" s="72">
        <v>5348370.9247471057</v>
      </c>
    </row>
    <row r="25" spans="1:12" x14ac:dyDescent="0.25">
      <c r="A25" s="62" t="s">
        <v>584</v>
      </c>
      <c r="B25" s="63" t="s">
        <v>585</v>
      </c>
      <c r="C25" s="74">
        <v>0</v>
      </c>
      <c r="D25" s="74">
        <v>0</v>
      </c>
      <c r="E25" s="74">
        <v>0</v>
      </c>
      <c r="F25" s="74">
        <v>0</v>
      </c>
      <c r="G25" s="74">
        <v>0</v>
      </c>
      <c r="H25" s="74">
        <v>0</v>
      </c>
      <c r="I25" s="74">
        <v>0</v>
      </c>
      <c r="J25" s="74">
        <v>0</v>
      </c>
      <c r="K25" s="74">
        <v>0</v>
      </c>
      <c r="L25" s="74">
        <v>0</v>
      </c>
    </row>
    <row r="26" spans="1:12" x14ac:dyDescent="0.25">
      <c r="A26" s="62" t="s">
        <v>226</v>
      </c>
      <c r="B26" s="63" t="s">
        <v>231</v>
      </c>
      <c r="C26" s="74">
        <v>100048.16989376993</v>
      </c>
      <c r="D26" s="74">
        <v>355487.77913095488</v>
      </c>
      <c r="E26" s="74">
        <v>244937395.10893422</v>
      </c>
      <c r="F26" s="74">
        <v>7.2644720264336433</v>
      </c>
      <c r="G26" s="74">
        <v>2.4375005311835198</v>
      </c>
      <c r="H26" s="74">
        <v>55609389.273648188</v>
      </c>
      <c r="I26" s="74">
        <v>3818727.317711948</v>
      </c>
      <c r="J26" s="74">
        <v>0.59316515389392066</v>
      </c>
      <c r="K26" s="74">
        <v>205455.47888644537</v>
      </c>
      <c r="L26" s="74">
        <v>81889364.529557973</v>
      </c>
    </row>
    <row r="27" spans="1:12" x14ac:dyDescent="0.25">
      <c r="A27" s="59" t="s">
        <v>227</v>
      </c>
      <c r="B27" s="61" t="s">
        <v>232</v>
      </c>
      <c r="C27" s="72">
        <v>35055.161430394299</v>
      </c>
      <c r="D27" s="72">
        <v>124556.8159537516</v>
      </c>
      <c r="E27" s="72">
        <v>85821858.960546911</v>
      </c>
      <c r="F27" s="72">
        <v>2.5453463053207996</v>
      </c>
      <c r="G27" s="72">
        <v>0.85405834707458217</v>
      </c>
      <c r="H27" s="72">
        <v>19484575.48102301</v>
      </c>
      <c r="I27" s="72">
        <v>1338016.5046815597</v>
      </c>
      <c r="J27" s="72">
        <v>0.20783488840140082</v>
      </c>
      <c r="K27" s="72">
        <v>71988.073212839459</v>
      </c>
      <c r="L27" s="72">
        <v>28692627.72186717</v>
      </c>
    </row>
    <row r="28" spans="1:12" ht="15.75" thickBot="1" x14ac:dyDescent="0.3">
      <c r="A28" s="64" t="s">
        <v>228</v>
      </c>
      <c r="B28" s="65" t="s">
        <v>233</v>
      </c>
      <c r="C28" s="73">
        <v>82.749905257587884</v>
      </c>
      <c r="D28" s="73">
        <v>294.02416930315724</v>
      </c>
      <c r="E28" s="73">
        <v>202587.87602837314</v>
      </c>
      <c r="F28" s="73">
        <v>6.0084494556178246E-3</v>
      </c>
      <c r="G28" s="73">
        <v>2.0160582470916005E-3</v>
      </c>
      <c r="H28" s="73">
        <v>45994.561406897468</v>
      </c>
      <c r="I28" s="73">
        <v>3158.4718049390708</v>
      </c>
      <c r="J28" s="73">
        <v>4.9060727786367022E-4</v>
      </c>
      <c r="K28" s="73">
        <v>169.93235788878127</v>
      </c>
      <c r="L28" s="73">
        <v>67730.745735979406</v>
      </c>
    </row>
    <row r="29" spans="1:12" x14ac:dyDescent="0.25">
      <c r="A29" s="62" t="s">
        <v>557</v>
      </c>
      <c r="B29" s="63" t="s">
        <v>560</v>
      </c>
      <c r="C29" s="74">
        <v>2270.1588661507808</v>
      </c>
      <c r="D29" s="74">
        <v>14652.843590609586</v>
      </c>
      <c r="E29" s="74">
        <v>37560810.330858372</v>
      </c>
      <c r="F29" s="74">
        <v>0.61707045543553052</v>
      </c>
      <c r="G29" s="74">
        <v>0.82138475338910077</v>
      </c>
      <c r="H29" s="74">
        <v>10331080.243694719</v>
      </c>
      <c r="I29" s="74">
        <v>346921.55036358745</v>
      </c>
      <c r="J29" s="74">
        <v>0.17170656151249539</v>
      </c>
      <c r="K29" s="74">
        <v>6604.0985197113641</v>
      </c>
      <c r="L29" s="74">
        <v>131494412.00405166</v>
      </c>
    </row>
    <row r="30" spans="1:12" x14ac:dyDescent="0.25">
      <c r="A30" s="60" t="s">
        <v>550</v>
      </c>
      <c r="B30" s="280" t="s">
        <v>561</v>
      </c>
      <c r="C30" s="72">
        <v>2505.6422838065314</v>
      </c>
      <c r="D30" s="72">
        <v>16431.738345383888</v>
      </c>
      <c r="E30" s="72">
        <v>76982641.397759631</v>
      </c>
      <c r="F30" s="72">
        <v>0.93104392229863742</v>
      </c>
      <c r="G30" s="72">
        <v>0.76488027610936216</v>
      </c>
      <c r="H30" s="72">
        <v>30048822.775413051</v>
      </c>
      <c r="I30" s="72">
        <v>295929.54130851873</v>
      </c>
      <c r="J30" s="72">
        <v>0.70421735765930948</v>
      </c>
      <c r="K30" s="72">
        <v>6356.4188462881475</v>
      </c>
      <c r="L30" s="72">
        <v>77281287.582807437</v>
      </c>
    </row>
    <row r="31" spans="1:12" x14ac:dyDescent="0.25">
      <c r="A31" s="59" t="s">
        <v>551</v>
      </c>
      <c r="B31" s="61" t="s">
        <v>230</v>
      </c>
      <c r="C31" s="72">
        <v>199.45212333042767</v>
      </c>
      <c r="D31" s="72">
        <v>425.02815883116381</v>
      </c>
      <c r="E31" s="72">
        <v>1221285.9031381782</v>
      </c>
      <c r="F31" s="72">
        <v>2.7835531975733886E-2</v>
      </c>
      <c r="G31" s="72">
        <v>1.0501222771957194E-2</v>
      </c>
      <c r="H31" s="72">
        <v>111422.8263709587</v>
      </c>
      <c r="I31" s="72">
        <v>4627.2099674464589</v>
      </c>
      <c r="J31" s="72">
        <v>6.9292275306214362E-3</v>
      </c>
      <c r="K31" s="72">
        <v>637.65836223838846</v>
      </c>
      <c r="L31" s="72">
        <v>116590.80211752039</v>
      </c>
    </row>
    <row r="32" spans="1:12" x14ac:dyDescent="0.25">
      <c r="A32" s="60" t="s">
        <v>552</v>
      </c>
      <c r="B32" s="61" t="s">
        <v>562</v>
      </c>
      <c r="C32" s="72">
        <v>132.59594000241009</v>
      </c>
      <c r="D32" s="72">
        <v>1092.1718215987987</v>
      </c>
      <c r="E32" s="72">
        <v>3593873.3790916386</v>
      </c>
      <c r="F32" s="72">
        <v>5.4859127619207658E-2</v>
      </c>
      <c r="G32" s="72">
        <v>2.3262910863370203E-2</v>
      </c>
      <c r="H32" s="72">
        <v>276441.59870397201</v>
      </c>
      <c r="I32" s="72">
        <v>15796.363694497644</v>
      </c>
      <c r="J32" s="72">
        <v>1.8451073988019581E-2</v>
      </c>
      <c r="K32" s="72">
        <v>736.25640369759287</v>
      </c>
      <c r="L32" s="72">
        <v>2032165.3764769372</v>
      </c>
    </row>
    <row r="33" spans="1:13" s="323" customFormat="1" x14ac:dyDescent="0.25">
      <c r="A33" s="59" t="s">
        <v>553</v>
      </c>
      <c r="B33" s="61" t="s">
        <v>565</v>
      </c>
      <c r="C33" s="322">
        <v>150861.3209765504</v>
      </c>
      <c r="D33" s="322">
        <v>536035.35184760625</v>
      </c>
      <c r="E33" s="322">
        <v>369337880.16236442</v>
      </c>
      <c r="F33" s="322">
        <v>10.95400192995656</v>
      </c>
      <c r="G33" s="322">
        <v>3.6754750277374906</v>
      </c>
      <c r="H33" s="322">
        <v>83852667.50435771</v>
      </c>
      <c r="I33" s="322">
        <v>5758208.7529532872</v>
      </c>
      <c r="J33" s="322">
        <v>0.89442594271050258</v>
      </c>
      <c r="K33" s="322">
        <v>309803.61739339534</v>
      </c>
      <c r="L33" s="322">
        <v>123479896.93341385</v>
      </c>
    </row>
    <row r="34" spans="1:13" x14ac:dyDescent="0.25">
      <c r="A34" s="59" t="s">
        <v>279</v>
      </c>
      <c r="B34" s="61" t="s">
        <v>281</v>
      </c>
      <c r="C34" s="72">
        <v>0</v>
      </c>
      <c r="D34" s="72">
        <v>0</v>
      </c>
      <c r="E34" s="72">
        <v>0</v>
      </c>
      <c r="F34" s="72">
        <v>0</v>
      </c>
      <c r="G34" s="72">
        <v>0</v>
      </c>
      <c r="H34" s="72">
        <v>317584903.77860856</v>
      </c>
      <c r="I34" s="72">
        <v>0</v>
      </c>
      <c r="J34" s="72">
        <v>0</v>
      </c>
      <c r="K34" s="72">
        <v>0</v>
      </c>
      <c r="L34" s="72">
        <v>0</v>
      </c>
    </row>
    <row r="35" spans="1:13" ht="15.75" thickBot="1" x14ac:dyDescent="0.3">
      <c r="A35" s="64" t="s">
        <v>554</v>
      </c>
      <c r="B35" s="65" t="s">
        <v>282</v>
      </c>
      <c r="C35" s="73">
        <v>26085.851921924128</v>
      </c>
      <c r="D35" s="73">
        <v>757820.36428335554</v>
      </c>
      <c r="E35" s="73">
        <v>0</v>
      </c>
      <c r="F35" s="73">
        <v>0</v>
      </c>
      <c r="G35" s="73">
        <v>0</v>
      </c>
      <c r="H35" s="73">
        <v>25458881.166471783</v>
      </c>
      <c r="I35" s="73">
        <v>776118.81327381684</v>
      </c>
      <c r="J35" s="73">
        <v>0</v>
      </c>
      <c r="K35" s="73">
        <v>42791.979685893668</v>
      </c>
      <c r="L35" s="73">
        <v>0</v>
      </c>
    </row>
    <row r="36" spans="1:13" x14ac:dyDescent="0.25">
      <c r="A36" s="59" t="s">
        <v>251</v>
      </c>
      <c r="B36" s="61" t="s">
        <v>253</v>
      </c>
      <c r="C36" s="72">
        <v>-392.18386455907364</v>
      </c>
      <c r="D36" s="72">
        <v>-3435.2273545803646</v>
      </c>
      <c r="E36" s="72">
        <v>-18809401.900092185</v>
      </c>
      <c r="F36" s="72">
        <v>-0.22788927067367998</v>
      </c>
      <c r="G36" s="72">
        <v>-0.11696266051187032</v>
      </c>
      <c r="H36" s="72">
        <v>-3616538.1422393229</v>
      </c>
      <c r="I36" s="72">
        <v>-75541.333428691098</v>
      </c>
      <c r="J36" s="72">
        <v>-3.4722582422127023E-2</v>
      </c>
      <c r="K36" s="72">
        <v>-1459.3746974793269</v>
      </c>
      <c r="L36" s="72">
        <v>-8163296.9140122179</v>
      </c>
    </row>
    <row r="37" spans="1:13" x14ac:dyDescent="0.25">
      <c r="A37" s="59" t="s">
        <v>252</v>
      </c>
      <c r="B37" s="61" t="s">
        <v>254</v>
      </c>
      <c r="C37" s="72">
        <v>-761.71991474534923</v>
      </c>
      <c r="D37" s="72">
        <v>-5728.3873005411815</v>
      </c>
      <c r="E37" s="72">
        <v>-38742418.405493721</v>
      </c>
      <c r="F37" s="72">
        <v>-0.59697222533671734</v>
      </c>
      <c r="G37" s="72">
        <v>-6.9038498888499888E-2</v>
      </c>
      <c r="H37" s="72">
        <v>-580080.85060245311</v>
      </c>
      <c r="I37" s="72">
        <v>-37353.128066390993</v>
      </c>
      <c r="J37" s="72">
        <v>-8.1528272200207131E-3</v>
      </c>
      <c r="K37" s="72">
        <v>-4295.4813080093209</v>
      </c>
      <c r="L37" s="72">
        <v>-971889.91666337568</v>
      </c>
    </row>
    <row r="38" spans="1:13" s="323" customFormat="1" x14ac:dyDescent="0.25">
      <c r="A38" s="59" t="s">
        <v>555</v>
      </c>
      <c r="B38" s="61" t="s">
        <v>563</v>
      </c>
      <c r="C38" s="322">
        <v>-133835.35283125687</v>
      </c>
      <c r="D38" s="322">
        <v>-475539.25671711762</v>
      </c>
      <c r="E38" s="322">
        <v>-327654995.89627671</v>
      </c>
      <c r="F38" s="322">
        <v>-9.7177507376982462</v>
      </c>
      <c r="G38" s="322">
        <v>-3.2606667764508162</v>
      </c>
      <c r="H38" s="322">
        <v>-74389189.148305103</v>
      </c>
      <c r="I38" s="322">
        <v>-5108346.4942436982</v>
      </c>
      <c r="J38" s="322">
        <v>-0.79348245692941055</v>
      </c>
      <c r="K38" s="322">
        <v>-274839.67509928969</v>
      </c>
      <c r="L38" s="322">
        <v>-109544152.64744659</v>
      </c>
    </row>
    <row r="39" spans="1:13" x14ac:dyDescent="0.25">
      <c r="A39" s="274" t="s">
        <v>283</v>
      </c>
      <c r="B39" s="275"/>
      <c r="C39" s="276">
        <f>SUM(C19:C38)</f>
        <v>197849.56026299321</v>
      </c>
      <c r="D39" s="276">
        <f t="shared" ref="D39:L39" si="0">SUM(D19:D38)</f>
        <v>1391723.5959947542</v>
      </c>
      <c r="E39" s="276">
        <f t="shared" si="0"/>
        <v>814604111.73095894</v>
      </c>
      <c r="F39" s="276">
        <f t="shared" si="0"/>
        <v>17.920259680267581</v>
      </c>
      <c r="G39" s="276">
        <f t="shared" si="0"/>
        <v>6.4833967273022042</v>
      </c>
      <c r="H39" s="276">
        <f t="shared" si="0"/>
        <v>166269921.15325838</v>
      </c>
      <c r="I39" s="276">
        <f t="shared" si="0"/>
        <v>7854810.3700896855</v>
      </c>
      <c r="J39" s="276">
        <f t="shared" si="0"/>
        <v>2.2507822669022897</v>
      </c>
      <c r="K39" s="276">
        <f t="shared" si="0"/>
        <v>427023.99267889553</v>
      </c>
      <c r="L39" s="276">
        <f t="shared" si="0"/>
        <v>365816911.65310884</v>
      </c>
    </row>
    <row r="40" spans="1:13" x14ac:dyDescent="0.25">
      <c r="A40" s="399" t="s">
        <v>236</v>
      </c>
      <c r="B40" s="399"/>
      <c r="C40" s="273" t="s">
        <v>206</v>
      </c>
      <c r="D40" s="273" t="s">
        <v>209</v>
      </c>
      <c r="E40" s="273" t="s">
        <v>211</v>
      </c>
      <c r="F40" s="273" t="s">
        <v>213</v>
      </c>
      <c r="G40" s="273" t="s">
        <v>213</v>
      </c>
      <c r="H40" s="273" t="s">
        <v>216</v>
      </c>
      <c r="I40" s="273" t="s">
        <v>218</v>
      </c>
      <c r="J40" s="273" t="s">
        <v>220</v>
      </c>
      <c r="K40" s="273" t="s">
        <v>222</v>
      </c>
      <c r="L40" s="273" t="s">
        <v>224</v>
      </c>
      <c r="M40" s="266"/>
    </row>
    <row r="41" spans="1:13" ht="15.75" thickBot="1" x14ac:dyDescent="0.3">
      <c r="A41" s="281" t="s">
        <v>246</v>
      </c>
      <c r="B41" s="282" t="s">
        <v>247</v>
      </c>
      <c r="C41" s="73">
        <f>SUM(C19)</f>
        <v>0</v>
      </c>
      <c r="D41" s="73">
        <f t="shared" ref="D41:L41" si="1">SUM(D19)</f>
        <v>0</v>
      </c>
      <c r="E41" s="73">
        <f t="shared" si="1"/>
        <v>0</v>
      </c>
      <c r="F41" s="73">
        <f t="shared" si="1"/>
        <v>0</v>
      </c>
      <c r="G41" s="73">
        <f t="shared" si="1"/>
        <v>0</v>
      </c>
      <c r="H41" s="73">
        <f t="shared" si="1"/>
        <v>-319169949.0448581</v>
      </c>
      <c r="I41" s="73">
        <f t="shared" si="1"/>
        <v>0</v>
      </c>
      <c r="J41" s="73">
        <f t="shared" si="1"/>
        <v>0</v>
      </c>
      <c r="K41" s="73">
        <f t="shared" si="1"/>
        <v>0</v>
      </c>
      <c r="L41" s="73">
        <f t="shared" si="1"/>
        <v>0</v>
      </c>
      <c r="M41" s="266"/>
    </row>
    <row r="42" spans="1:13" x14ac:dyDescent="0.25">
      <c r="A42" s="62" t="s">
        <v>59</v>
      </c>
      <c r="B42" s="63" t="s">
        <v>240</v>
      </c>
      <c r="C42" s="74">
        <f>SUM(C20:C24)</f>
        <v>15597.713532367936</v>
      </c>
      <c r="D42" s="74">
        <f t="shared" ref="D42:L42" si="2">SUM(D20:D24)</f>
        <v>69630.350065598497</v>
      </c>
      <c r="E42" s="74">
        <f t="shared" si="2"/>
        <v>380152594.81409979</v>
      </c>
      <c r="F42" s="74">
        <f t="shared" si="2"/>
        <v>6.0622341654804988</v>
      </c>
      <c r="G42" s="74">
        <f t="shared" si="2"/>
        <v>1.3409855357769156</v>
      </c>
      <c r="H42" s="74">
        <f t="shared" si="2"/>
        <v>21221499.129564565</v>
      </c>
      <c r="I42" s="74">
        <f t="shared" si="2"/>
        <v>718546.80006886437</v>
      </c>
      <c r="J42" s="74">
        <f t="shared" si="2"/>
        <v>0.48991932049971487</v>
      </c>
      <c r="K42" s="74">
        <f t="shared" si="2"/>
        <v>63075.01011527572</v>
      </c>
      <c r="L42" s="74">
        <f t="shared" si="2"/>
        <v>39442175.435202435</v>
      </c>
      <c r="M42" s="266"/>
    </row>
    <row r="43" spans="1:13" ht="15.75" thickBot="1" x14ac:dyDescent="0.3">
      <c r="A43" s="64" t="s">
        <v>237</v>
      </c>
      <c r="B43" s="65" t="s">
        <v>238</v>
      </c>
      <c r="C43" s="73">
        <f>SUM(C26:C28)</f>
        <v>135186.08122942183</v>
      </c>
      <c r="D43" s="73">
        <f t="shared" ref="D43:L43" si="3">SUM(D26:D28)</f>
        <v>480338.61925400968</v>
      </c>
      <c r="E43" s="73">
        <f t="shared" si="3"/>
        <v>330961841.94550949</v>
      </c>
      <c r="F43" s="73">
        <f t="shared" si="3"/>
        <v>9.8158267812100597</v>
      </c>
      <c r="G43" s="73">
        <f t="shared" si="3"/>
        <v>3.2935749365051934</v>
      </c>
      <c r="H43" s="73">
        <f t="shared" si="3"/>
        <v>75139959.316078097</v>
      </c>
      <c r="I43" s="73">
        <f t="shared" si="3"/>
        <v>5159902.2941984469</v>
      </c>
      <c r="J43" s="73">
        <f t="shared" si="3"/>
        <v>0.80149064957318517</v>
      </c>
      <c r="K43" s="73">
        <f t="shared" si="3"/>
        <v>277613.48445717362</v>
      </c>
      <c r="L43" s="73">
        <f t="shared" si="3"/>
        <v>110649722.99716112</v>
      </c>
      <c r="M43" s="266"/>
    </row>
    <row r="44" spans="1:13" x14ac:dyDescent="0.25">
      <c r="A44" s="62" t="s">
        <v>239</v>
      </c>
      <c r="B44" s="63" t="s">
        <v>566</v>
      </c>
      <c r="C44" s="74">
        <f>SUM(C29:C32)</f>
        <v>5107.8492132901501</v>
      </c>
      <c r="D44" s="74">
        <f t="shared" ref="D44:L44" si="4">SUM(D29:D32)</f>
        <v>32601.781916423439</v>
      </c>
      <c r="E44" s="74">
        <f t="shared" si="4"/>
        <v>119358611.01084781</v>
      </c>
      <c r="F44" s="74">
        <f t="shared" si="4"/>
        <v>1.6308090373291095</v>
      </c>
      <c r="G44" s="74">
        <f t="shared" si="4"/>
        <v>1.6200291631337902</v>
      </c>
      <c r="H44" s="74">
        <f t="shared" si="4"/>
        <v>40767767.444182709</v>
      </c>
      <c r="I44" s="74">
        <f t="shared" si="4"/>
        <v>663274.66533405031</v>
      </c>
      <c r="J44" s="74">
        <f t="shared" si="4"/>
        <v>0.90130422069044591</v>
      </c>
      <c r="K44" s="74">
        <f t="shared" si="4"/>
        <v>14334.432131935493</v>
      </c>
      <c r="L44" s="74">
        <f t="shared" si="4"/>
        <v>210924455.76545358</v>
      </c>
    </row>
    <row r="45" spans="1:13" x14ac:dyDescent="0.25">
      <c r="A45" s="59" t="s">
        <v>241</v>
      </c>
      <c r="B45" s="61" t="s">
        <v>565</v>
      </c>
      <c r="C45" s="72">
        <f>SUM(C33)</f>
        <v>150861.3209765504</v>
      </c>
      <c r="D45" s="72">
        <f t="shared" ref="D45:L45" si="5">SUM(D33)</f>
        <v>536035.35184760625</v>
      </c>
      <c r="E45" s="72">
        <f t="shared" si="5"/>
        <v>369337880.16236442</v>
      </c>
      <c r="F45" s="72">
        <f t="shared" si="5"/>
        <v>10.95400192995656</v>
      </c>
      <c r="G45" s="72">
        <f t="shared" si="5"/>
        <v>3.6754750277374906</v>
      </c>
      <c r="H45" s="72">
        <f t="shared" si="5"/>
        <v>83852667.50435771</v>
      </c>
      <c r="I45" s="72">
        <f t="shared" si="5"/>
        <v>5758208.7529532872</v>
      </c>
      <c r="J45" s="72">
        <f t="shared" si="5"/>
        <v>0.89442594271050258</v>
      </c>
      <c r="K45" s="72">
        <f t="shared" si="5"/>
        <v>309803.61739339534</v>
      </c>
      <c r="L45" s="72">
        <f t="shared" si="5"/>
        <v>123479896.93341385</v>
      </c>
    </row>
    <row r="46" spans="1:13" ht="15.75" thickBot="1" x14ac:dyDescent="0.3">
      <c r="A46" s="64" t="s">
        <v>243</v>
      </c>
      <c r="B46" s="65" t="s">
        <v>568</v>
      </c>
      <c r="C46" s="73">
        <f>SUM(C34:C35)</f>
        <v>26085.851921924128</v>
      </c>
      <c r="D46" s="73">
        <f t="shared" ref="D46:L46" si="6">SUM(D34:D35)</f>
        <v>757820.36428335554</v>
      </c>
      <c r="E46" s="73">
        <f t="shared" si="6"/>
        <v>0</v>
      </c>
      <c r="F46" s="73">
        <f t="shared" si="6"/>
        <v>0</v>
      </c>
      <c r="G46" s="73">
        <f t="shared" si="6"/>
        <v>0</v>
      </c>
      <c r="H46" s="73">
        <f t="shared" si="6"/>
        <v>343043784.94508034</v>
      </c>
      <c r="I46" s="73">
        <f t="shared" si="6"/>
        <v>776118.81327381684</v>
      </c>
      <c r="J46" s="73">
        <f t="shared" si="6"/>
        <v>0</v>
      </c>
      <c r="K46" s="73">
        <f t="shared" si="6"/>
        <v>42791.979685893668</v>
      </c>
      <c r="L46" s="73">
        <f t="shared" si="6"/>
        <v>0</v>
      </c>
    </row>
    <row r="47" spans="1:13" x14ac:dyDescent="0.25">
      <c r="A47" s="62" t="s">
        <v>250</v>
      </c>
      <c r="B47" s="63" t="s">
        <v>564</v>
      </c>
      <c r="C47" s="74">
        <f>SUM(C36:C38)</f>
        <v>-134989.25661056128</v>
      </c>
      <c r="D47" s="74">
        <f t="shared" ref="D47:L47" si="7">SUM(D36:D38)</f>
        <v>-484702.87137223914</v>
      </c>
      <c r="E47" s="74">
        <f t="shared" si="7"/>
        <v>-385206816.20186263</v>
      </c>
      <c r="F47" s="74">
        <f t="shared" si="7"/>
        <v>-10.542612233708644</v>
      </c>
      <c r="G47" s="74">
        <f t="shared" si="7"/>
        <v>-3.4466679358511865</v>
      </c>
      <c r="H47" s="74">
        <f t="shared" si="7"/>
        <v>-78585808.141146883</v>
      </c>
      <c r="I47" s="74">
        <f t="shared" si="7"/>
        <v>-5221240.9557387801</v>
      </c>
      <c r="J47" s="74">
        <f t="shared" si="7"/>
        <v>-0.83635786657155831</v>
      </c>
      <c r="K47" s="74">
        <f t="shared" si="7"/>
        <v>-280594.53110477835</v>
      </c>
      <c r="L47" s="74">
        <f t="shared" si="7"/>
        <v>-118679339.47812217</v>
      </c>
    </row>
    <row r="48" spans="1:13" x14ac:dyDescent="0.25">
      <c r="A48" s="274" t="s">
        <v>283</v>
      </c>
      <c r="B48" s="275"/>
      <c r="C48" s="276">
        <f>SUM(C41:C47)</f>
        <v>197849.56026299321</v>
      </c>
      <c r="D48" s="276">
        <f t="shared" ref="D48:L48" si="8">SUM(D41:D47)</f>
        <v>1391723.5959947542</v>
      </c>
      <c r="E48" s="276">
        <f t="shared" si="8"/>
        <v>814604111.73095894</v>
      </c>
      <c r="F48" s="276">
        <f t="shared" si="8"/>
        <v>17.920259680267584</v>
      </c>
      <c r="G48" s="276">
        <f t="shared" si="8"/>
        <v>6.4833967273022033</v>
      </c>
      <c r="H48" s="276">
        <f t="shared" si="8"/>
        <v>166269921.15325844</v>
      </c>
      <c r="I48" s="276">
        <f t="shared" si="8"/>
        <v>7854810.3700896865</v>
      </c>
      <c r="J48" s="276">
        <f t="shared" si="8"/>
        <v>2.2507822669022906</v>
      </c>
      <c r="K48" s="276">
        <f t="shared" si="8"/>
        <v>427023.99267889553</v>
      </c>
      <c r="L48" s="276">
        <f t="shared" si="8"/>
        <v>365816911.65310884</v>
      </c>
    </row>
    <row r="50" spans="1:12" x14ac:dyDescent="0.25">
      <c r="A50" s="400" t="s">
        <v>256</v>
      </c>
      <c r="B50" s="400"/>
      <c r="C50" s="400"/>
      <c r="D50" s="400"/>
      <c r="E50" s="400"/>
      <c r="F50" s="400"/>
      <c r="G50" s="400"/>
      <c r="H50" s="400"/>
      <c r="I50" s="400"/>
      <c r="J50" s="400"/>
      <c r="K50" s="400"/>
      <c r="L50" s="400"/>
    </row>
    <row r="51" spans="1:12" x14ac:dyDescent="0.25">
      <c r="A51" s="401" t="s">
        <v>266</v>
      </c>
      <c r="B51" s="405" t="s">
        <v>229</v>
      </c>
      <c r="C51" s="404" t="s">
        <v>225</v>
      </c>
      <c r="D51" s="404"/>
      <c r="E51" s="404"/>
      <c r="F51" s="404"/>
      <c r="G51" s="404"/>
      <c r="H51" s="404"/>
      <c r="I51" s="404"/>
      <c r="J51" s="404"/>
      <c r="K51" s="404"/>
      <c r="L51" s="404"/>
    </row>
    <row r="52" spans="1:12" x14ac:dyDescent="0.25">
      <c r="A52" s="401"/>
      <c r="B52" s="406"/>
      <c r="C52" s="273" t="s">
        <v>205</v>
      </c>
      <c r="D52" s="273" t="s">
        <v>208</v>
      </c>
      <c r="E52" s="273" t="s">
        <v>210</v>
      </c>
      <c r="F52" s="273" t="s">
        <v>212</v>
      </c>
      <c r="G52" s="273" t="s">
        <v>214</v>
      </c>
      <c r="H52" s="273" t="s">
        <v>215</v>
      </c>
      <c r="I52" s="273" t="s">
        <v>217</v>
      </c>
      <c r="J52" s="273" t="s">
        <v>219</v>
      </c>
      <c r="K52" s="273" t="s">
        <v>221</v>
      </c>
      <c r="L52" s="273" t="s">
        <v>223</v>
      </c>
    </row>
    <row r="53" spans="1:12" x14ac:dyDescent="0.25">
      <c r="A53" s="401"/>
      <c r="B53" s="407"/>
      <c r="C53" s="273" t="s">
        <v>257</v>
      </c>
      <c r="D53" s="273" t="s">
        <v>258</v>
      </c>
      <c r="E53" s="273" t="s">
        <v>259</v>
      </c>
      <c r="F53" s="273" t="s">
        <v>260</v>
      </c>
      <c r="G53" s="273" t="s">
        <v>260</v>
      </c>
      <c r="H53" s="273" t="s">
        <v>261</v>
      </c>
      <c r="I53" s="273" t="s">
        <v>262</v>
      </c>
      <c r="J53" s="273" t="s">
        <v>263</v>
      </c>
      <c r="K53" s="273" t="s">
        <v>264</v>
      </c>
      <c r="L53" s="273" t="s">
        <v>265</v>
      </c>
    </row>
    <row r="54" spans="1:12" ht="15.75" thickBot="1" x14ac:dyDescent="0.3">
      <c r="A54" s="66" t="s">
        <v>248</v>
      </c>
      <c r="B54" s="67" t="s">
        <v>249</v>
      </c>
      <c r="C54" s="283">
        <v>0</v>
      </c>
      <c r="D54" s="283">
        <v>0</v>
      </c>
      <c r="E54" s="283">
        <v>0</v>
      </c>
      <c r="F54" s="283">
        <v>0</v>
      </c>
      <c r="G54" s="283">
        <v>0</v>
      </c>
      <c r="H54" s="73">
        <v>-127.35198365776529</v>
      </c>
      <c r="I54" s="283">
        <v>0</v>
      </c>
      <c r="J54" s="283">
        <v>0</v>
      </c>
      <c r="K54" s="283">
        <v>0</v>
      </c>
      <c r="L54" s="283">
        <v>0</v>
      </c>
    </row>
    <row r="55" spans="1:12" x14ac:dyDescent="0.25">
      <c r="A55" s="62" t="s">
        <v>185</v>
      </c>
      <c r="B55" s="279" t="s">
        <v>558</v>
      </c>
      <c r="C55" s="284">
        <v>4.5474304337433264E-7</v>
      </c>
      <c r="D55" s="284">
        <v>3.7470826774045017E-6</v>
      </c>
      <c r="E55" s="284">
        <v>2.4633903592352707E-2</v>
      </c>
      <c r="F55" s="284">
        <v>2.9285451993307023E-10</v>
      </c>
      <c r="G55" s="284">
        <v>1.4788243770533297E-10</v>
      </c>
      <c r="H55" s="74">
        <v>4.7791856783686217</v>
      </c>
      <c r="I55" s="284">
        <v>8.05440878424618E-5</v>
      </c>
      <c r="J55" s="284">
        <v>4.5292407120083535E-11</v>
      </c>
      <c r="K55" s="284">
        <v>1.8553516169672774E-6</v>
      </c>
      <c r="L55" s="284">
        <v>1.0826958929977752E-2</v>
      </c>
    </row>
    <row r="56" spans="1:12" x14ac:dyDescent="0.25">
      <c r="A56" s="59" t="s">
        <v>547</v>
      </c>
      <c r="B56" s="278" t="s">
        <v>556</v>
      </c>
      <c r="C56" s="285">
        <v>7.3478290434511422E-8</v>
      </c>
      <c r="D56" s="285">
        <v>8.7972770199024899E-7</v>
      </c>
      <c r="E56" s="285">
        <v>6.9994682238493674E-4</v>
      </c>
      <c r="F56" s="285">
        <v>1.4083081009061414E-11</v>
      </c>
      <c r="G56" s="285">
        <v>9.6512553518047105E-12</v>
      </c>
      <c r="H56" s="72">
        <v>9.1827063096335329E-2</v>
      </c>
      <c r="I56" s="285">
        <v>2.1200393527937413E-5</v>
      </c>
      <c r="J56" s="285">
        <v>1.4744552058925891E-12</v>
      </c>
      <c r="K56" s="285">
        <v>1.1023880857480572E-7</v>
      </c>
      <c r="L56" s="285">
        <v>1.6795435908655441E-4</v>
      </c>
    </row>
    <row r="57" spans="1:12" x14ac:dyDescent="0.25">
      <c r="A57" s="59" t="s">
        <v>242</v>
      </c>
      <c r="B57" s="278" t="s">
        <v>559</v>
      </c>
      <c r="C57" s="285">
        <v>2.0034023136242163E-6</v>
      </c>
      <c r="D57" s="285">
        <v>1.4882417186922751E-5</v>
      </c>
      <c r="E57" s="285">
        <v>0.1036033339603402</v>
      </c>
      <c r="F57" s="285">
        <v>1.5945446985988663E-9</v>
      </c>
      <c r="G57" s="285">
        <v>1.7989735061115413E-10</v>
      </c>
      <c r="H57" s="72">
        <v>1.5055159529270965</v>
      </c>
      <c r="I57" s="285">
        <v>8.8354130606978196E-5</v>
      </c>
      <c r="J57" s="285">
        <v>2.1056167173805539E-11</v>
      </c>
      <c r="K57" s="285">
        <v>1.1468456101461078E-5</v>
      </c>
      <c r="L57" s="285">
        <v>2.5144743324059045E-3</v>
      </c>
    </row>
    <row r="58" spans="1:12" x14ac:dyDescent="0.25">
      <c r="A58" s="59" t="s">
        <v>549</v>
      </c>
      <c r="B58" s="278" t="s">
        <v>556</v>
      </c>
      <c r="C58" s="285">
        <v>4.1290019469391352E-8</v>
      </c>
      <c r="D58" s="285">
        <v>4.9434974232715112E-7</v>
      </c>
      <c r="E58" s="285">
        <v>3.9332458271563775E-4</v>
      </c>
      <c r="F58" s="285">
        <v>7.913775424204014E-12</v>
      </c>
      <c r="G58" s="285">
        <v>5.4233776946029144E-12</v>
      </c>
      <c r="H58" s="72">
        <v>5.1600836119669639E-2</v>
      </c>
      <c r="I58" s="285">
        <v>1.1913242079406782E-5</v>
      </c>
      <c r="J58" s="285">
        <v>8.2854791256079721E-13</v>
      </c>
      <c r="K58" s="285">
        <v>6.1947039396528391E-8</v>
      </c>
      <c r="L58" s="285">
        <v>9.4379424393845301E-5</v>
      </c>
    </row>
    <row r="59" spans="1:12" x14ac:dyDescent="0.25">
      <c r="A59" s="59" t="s">
        <v>245</v>
      </c>
      <c r="B59" s="61" t="s">
        <v>244</v>
      </c>
      <c r="C59" s="285">
        <v>3.6507291441362693E-6</v>
      </c>
      <c r="D59" s="285">
        <v>7.7796248072671829E-6</v>
      </c>
      <c r="E59" s="285">
        <v>2.2354156804452265E-2</v>
      </c>
      <c r="F59" s="285">
        <v>5.0949564301201893E-10</v>
      </c>
      <c r="G59" s="285">
        <v>1.9221214285665625E-10</v>
      </c>
      <c r="H59" s="72">
        <v>2.0394596596026222</v>
      </c>
      <c r="I59" s="285">
        <v>8.4695464766794672E-5</v>
      </c>
      <c r="J59" s="285">
        <v>1.2683110347480515E-10</v>
      </c>
      <c r="K59" s="285">
        <v>1.1671562719687271E-5</v>
      </c>
      <c r="L59" s="285">
        <v>2.1340531859041991E-3</v>
      </c>
    </row>
    <row r="60" spans="1:12" x14ac:dyDescent="0.25">
      <c r="A60" s="59" t="s">
        <v>586</v>
      </c>
      <c r="B60" s="61" t="s">
        <v>596</v>
      </c>
      <c r="C60" s="285">
        <v>0</v>
      </c>
      <c r="D60" s="285">
        <v>0</v>
      </c>
      <c r="E60" s="285">
        <v>0</v>
      </c>
      <c r="F60" s="285">
        <v>0</v>
      </c>
      <c r="G60" s="285">
        <v>0</v>
      </c>
      <c r="H60" s="72">
        <v>0</v>
      </c>
      <c r="I60" s="285">
        <v>0</v>
      </c>
      <c r="J60" s="285">
        <v>0</v>
      </c>
      <c r="K60" s="285">
        <v>0</v>
      </c>
      <c r="L60" s="285">
        <v>0</v>
      </c>
    </row>
    <row r="61" spans="1:12" x14ac:dyDescent="0.25">
      <c r="A61" s="59" t="s">
        <v>226</v>
      </c>
      <c r="B61" s="61" t="s">
        <v>231</v>
      </c>
      <c r="C61" s="285">
        <v>3.9920214717676843E-5</v>
      </c>
      <c r="D61" s="285">
        <v>1.4184315902515568E-4</v>
      </c>
      <c r="E61" s="285">
        <v>9.7732456430929524E-2</v>
      </c>
      <c r="F61" s="285">
        <v>2.8985965801643967E-9</v>
      </c>
      <c r="G61" s="285">
        <v>9.725869516915247E-10</v>
      </c>
      <c r="H61" s="72">
        <v>22.188699328333723</v>
      </c>
      <c r="I61" s="285">
        <v>1.5237101751404644E-3</v>
      </c>
      <c r="J61" s="285">
        <v>2.366787951406962E-10</v>
      </c>
      <c r="K61" s="285">
        <v>8.1978779229831316E-5</v>
      </c>
      <c r="L61" s="285">
        <v>3.2674670796928089E-2</v>
      </c>
    </row>
    <row r="62" spans="1:12" x14ac:dyDescent="0.25">
      <c r="A62" s="59" t="s">
        <v>227</v>
      </c>
      <c r="B62" s="61" t="s">
        <v>232</v>
      </c>
      <c r="C62" s="285">
        <v>1.3987358017143562E-5</v>
      </c>
      <c r="D62" s="285">
        <v>4.9699408222094338E-5</v>
      </c>
      <c r="E62" s="285">
        <v>3.424377518162431E-2</v>
      </c>
      <c r="F62" s="285">
        <v>1.0156184880457181E-9</v>
      </c>
      <c r="G62" s="285">
        <v>3.4077777367484425E-10</v>
      </c>
      <c r="H62" s="72">
        <v>7.7745393814910351</v>
      </c>
      <c r="I62" s="285">
        <v>5.3388189128694349E-4</v>
      </c>
      <c r="J62" s="285">
        <v>8.2928187288361118E-11</v>
      </c>
      <c r="K62" s="285">
        <v>2.8723957098063265E-5</v>
      </c>
      <c r="L62" s="285">
        <v>1.1448643795158819E-2</v>
      </c>
    </row>
    <row r="63" spans="1:12" ht="15.75" thickBot="1" x14ac:dyDescent="0.3">
      <c r="A63" s="64" t="s">
        <v>228</v>
      </c>
      <c r="B63" s="65" t="s">
        <v>233</v>
      </c>
      <c r="C63" s="283">
        <v>3.3018035105068216E-8</v>
      </c>
      <c r="D63" s="283">
        <v>1.1731856747835931E-7</v>
      </c>
      <c r="E63" s="283">
        <v>8.0834577172554141E-5</v>
      </c>
      <c r="F63" s="283">
        <v>2.3974310838794091E-12</v>
      </c>
      <c r="G63" s="283">
        <v>8.0442728930168589E-13</v>
      </c>
      <c r="H63" s="73">
        <v>1.8352287394744794E-2</v>
      </c>
      <c r="I63" s="283">
        <v>1.2602616596262953E-6</v>
      </c>
      <c r="J63" s="283">
        <v>1.9575718271676493E-13</v>
      </c>
      <c r="K63" s="283">
        <v>6.7804700691718327E-8</v>
      </c>
      <c r="L63" s="283">
        <v>2.7025241097758873E-5</v>
      </c>
    </row>
    <row r="64" spans="1:12" x14ac:dyDescent="0.25">
      <c r="A64" s="62" t="s">
        <v>557</v>
      </c>
      <c r="B64" s="63" t="s">
        <v>560</v>
      </c>
      <c r="C64" s="284">
        <v>9.0581596321253927E-7</v>
      </c>
      <c r="D64" s="284">
        <v>5.8466303080082081E-6</v>
      </c>
      <c r="E64" s="284">
        <v>1.4987136845880196E-2</v>
      </c>
      <c r="F64" s="284">
        <v>2.462172481823175E-10</v>
      </c>
      <c r="G64" s="284">
        <v>3.27740684871446E-10</v>
      </c>
      <c r="H64" s="74">
        <v>4.1222037547687727</v>
      </c>
      <c r="I64" s="284">
        <v>1.3842514856002527E-4</v>
      </c>
      <c r="J64" s="284">
        <v>6.8512625581166592E-11</v>
      </c>
      <c r="K64" s="284">
        <v>2.6351009838910239E-6</v>
      </c>
      <c r="L64" s="284">
        <v>5.2467578037159901E-2</v>
      </c>
    </row>
    <row r="65" spans="1:12" x14ac:dyDescent="0.25">
      <c r="A65" s="60" t="s">
        <v>550</v>
      </c>
      <c r="B65" s="280" t="s">
        <v>561</v>
      </c>
      <c r="C65" s="285">
        <v>9.9977618862447161E-7</v>
      </c>
      <c r="D65" s="285">
        <v>6.556427005400484E-6</v>
      </c>
      <c r="E65" s="285">
        <v>3.0716839472381498E-2</v>
      </c>
      <c r="F65" s="285">
        <v>3.7149578377309315E-10</v>
      </c>
      <c r="G65" s="285">
        <v>3.0519483652747026E-10</v>
      </c>
      <c r="H65" s="72">
        <v>11.989779108219395</v>
      </c>
      <c r="I65" s="285">
        <v>1.1807882985649022E-4</v>
      </c>
      <c r="J65" s="285">
        <v>2.8098972880287787E-10</v>
      </c>
      <c r="K65" s="285">
        <v>2.5362743311420804E-6</v>
      </c>
      <c r="L65" s="285">
        <v>3.0836002270105658E-2</v>
      </c>
    </row>
    <row r="66" spans="1:12" x14ac:dyDescent="0.25">
      <c r="A66" s="59" t="s">
        <v>551</v>
      </c>
      <c r="B66" s="61" t="s">
        <v>230</v>
      </c>
      <c r="C66" s="285">
        <v>7.9583380662548689E-8</v>
      </c>
      <c r="D66" s="285">
        <v>1.6959046207056582E-7</v>
      </c>
      <c r="E66" s="285">
        <v>4.8730522044245709E-4</v>
      </c>
      <c r="F66" s="285">
        <v>1.1106654069054107E-11</v>
      </c>
      <c r="G66" s="285">
        <v>4.1900923155296347E-12</v>
      </c>
      <c r="H66" s="72">
        <v>4.445881576746441E-2</v>
      </c>
      <c r="I66" s="285">
        <v>1.8463027923486254E-6</v>
      </c>
      <c r="J66" s="285">
        <v>2.764830692492962E-12</v>
      </c>
      <c r="K66" s="285">
        <v>2.5443202773331049E-7</v>
      </c>
      <c r="L66" s="285">
        <v>4.6520889483330912E-5</v>
      </c>
    </row>
    <row r="67" spans="1:12" x14ac:dyDescent="0.25">
      <c r="A67" s="60" t="s">
        <v>552</v>
      </c>
      <c r="B67" s="61" t="s">
        <v>562</v>
      </c>
      <c r="C67" s="285">
        <v>5.2907098662661512E-8</v>
      </c>
      <c r="D67" s="285">
        <v>4.3578741793192244E-7</v>
      </c>
      <c r="E67" s="285">
        <v>1.4339912175686375E-3</v>
      </c>
      <c r="F67" s="285">
        <v>2.1889337467227153E-11</v>
      </c>
      <c r="G67" s="285">
        <v>9.2821327727429425E-12</v>
      </c>
      <c r="H67" s="72">
        <v>0.11030294695922883</v>
      </c>
      <c r="I67" s="285">
        <v>6.3029062012070701E-6</v>
      </c>
      <c r="J67" s="285">
        <v>7.3621620081163577E-12</v>
      </c>
      <c r="K67" s="285">
        <v>2.937736267847784E-7</v>
      </c>
      <c r="L67" s="285">
        <v>8.1085419410395043E-4</v>
      </c>
    </row>
    <row r="68" spans="1:12" s="323" customFormat="1" x14ac:dyDescent="0.25">
      <c r="A68" s="59" t="s">
        <v>553</v>
      </c>
      <c r="B68" s="61" t="s">
        <v>565</v>
      </c>
      <c r="C68" s="326">
        <v>6.0195167311613947E-5</v>
      </c>
      <c r="D68" s="326">
        <v>2.1388343599630807E-4</v>
      </c>
      <c r="E68" s="326">
        <v>0.14736948706916136</v>
      </c>
      <c r="F68" s="326">
        <v>4.3707557022384126E-9</v>
      </c>
      <c r="G68" s="326">
        <v>1.4665510868667732E-9</v>
      </c>
      <c r="H68" s="322">
        <v>33.458048207959969</v>
      </c>
      <c r="I68" s="326">
        <v>2.2975825549949968E-3</v>
      </c>
      <c r="J68" s="326">
        <v>3.5688484576954974E-10</v>
      </c>
      <c r="K68" s="326">
        <v>1.2361472418524945E-4</v>
      </c>
      <c r="L68" s="326">
        <v>4.9269706823547213E-2</v>
      </c>
    </row>
    <row r="69" spans="1:12" x14ac:dyDescent="0.25">
      <c r="A69" s="59" t="s">
        <v>279</v>
      </c>
      <c r="B69" s="61" t="s">
        <v>281</v>
      </c>
      <c r="C69" s="285">
        <v>0</v>
      </c>
      <c r="D69" s="285">
        <v>0</v>
      </c>
      <c r="E69" s="285">
        <v>0</v>
      </c>
      <c r="F69" s="285">
        <v>0</v>
      </c>
      <c r="G69" s="285">
        <v>0</v>
      </c>
      <c r="H69" s="72">
        <v>126.71953483403264</v>
      </c>
      <c r="I69" s="285">
        <v>0</v>
      </c>
      <c r="J69" s="285">
        <v>0</v>
      </c>
      <c r="K69" s="285">
        <v>0</v>
      </c>
      <c r="L69" s="285">
        <v>0</v>
      </c>
    </row>
    <row r="70" spans="1:12" ht="15.75" thickBot="1" x14ac:dyDescent="0.3">
      <c r="A70" s="64" t="s">
        <v>280</v>
      </c>
      <c r="B70" s="65" t="s">
        <v>282</v>
      </c>
      <c r="C70" s="283">
        <v>1.040851432787258E-5</v>
      </c>
      <c r="D70" s="283">
        <v>3.0237786150152728E-4</v>
      </c>
      <c r="E70" s="283">
        <v>0</v>
      </c>
      <c r="F70" s="283">
        <v>0</v>
      </c>
      <c r="G70" s="283">
        <v>0</v>
      </c>
      <c r="H70" s="73">
        <v>10.158346761529918</v>
      </c>
      <c r="I70" s="283">
        <v>3.0967912461783703E-4</v>
      </c>
      <c r="J70" s="283">
        <v>0</v>
      </c>
      <c r="K70" s="283">
        <v>1.7074425439957158E-5</v>
      </c>
      <c r="L70" s="283">
        <v>0</v>
      </c>
    </row>
    <row r="71" spans="1:12" x14ac:dyDescent="0.25">
      <c r="A71" s="62" t="s">
        <v>251</v>
      </c>
      <c r="B71" s="63" t="s">
        <v>253</v>
      </c>
      <c r="C71" s="284">
        <v>-1.5648526203557701E-7</v>
      </c>
      <c r="D71" s="284">
        <v>-1.3706898761316037E-6</v>
      </c>
      <c r="E71" s="284">
        <v>-7.5051384084289614E-3</v>
      </c>
      <c r="F71" s="284">
        <v>-9.0930085246012904E-11</v>
      </c>
      <c r="G71" s="284">
        <v>-4.6669264680626193E-11</v>
      </c>
      <c r="H71" s="74">
        <v>-1.4430346834545356</v>
      </c>
      <c r="I71" s="284">
        <v>-3.0141743259621115E-5</v>
      </c>
      <c r="J71" s="284">
        <v>-1.3854655685509526E-11</v>
      </c>
      <c r="K71" s="284">
        <v>-5.823050170610588E-7</v>
      </c>
      <c r="L71" s="284">
        <v>-3.2572366486816598E-3</v>
      </c>
    </row>
    <row r="72" spans="1:12" x14ac:dyDescent="0.25">
      <c r="A72" s="59" t="s">
        <v>252</v>
      </c>
      <c r="B72" s="61" t="s">
        <v>254</v>
      </c>
      <c r="C72" s="285">
        <v>-3.0393382091498276E-7</v>
      </c>
      <c r="D72" s="285">
        <v>-2.2856834989228238E-6</v>
      </c>
      <c r="E72" s="285">
        <v>-1.5458610218173446E-2</v>
      </c>
      <c r="F72" s="285">
        <v>-2.3819785450583349E-10</v>
      </c>
      <c r="G72" s="285">
        <v>-2.754704761057933E-11</v>
      </c>
      <c r="H72" s="72">
        <v>-0.2314580280104109</v>
      </c>
      <c r="I72" s="285">
        <v>-1.4904269557059277E-5</v>
      </c>
      <c r="J72" s="285">
        <v>-3.2530591366630691E-12</v>
      </c>
      <c r="K72" s="285">
        <v>-1.7139397583541151E-6</v>
      </c>
      <c r="L72" s="285">
        <v>-3.8779374171803805E-4</v>
      </c>
    </row>
    <row r="73" spans="1:12" s="323" customFormat="1" x14ac:dyDescent="0.25">
      <c r="A73" s="59" t="s">
        <v>555</v>
      </c>
      <c r="B73" s="61" t="s">
        <v>563</v>
      </c>
      <c r="C73" s="326">
        <v>-5.3401636706725096E-5</v>
      </c>
      <c r="D73" s="326">
        <v>-1.8974489243519794E-4</v>
      </c>
      <c r="E73" s="326">
        <v>-0.13073760173111768</v>
      </c>
      <c r="F73" s="326">
        <v>-3.877479182614549E-9</v>
      </c>
      <c r="G73" s="326">
        <v>-1.3010384695384354E-9</v>
      </c>
      <c r="H73" s="322">
        <v>-29.682026234236368</v>
      </c>
      <c r="I73" s="326">
        <v>-2.0382810512079024E-3</v>
      </c>
      <c r="J73" s="326">
        <v>-3.1660739110935323E-10</v>
      </c>
      <c r="K73" s="326">
        <v>-1.096637635106147E-4</v>
      </c>
      <c r="L73" s="326">
        <v>-4.3709206269292762E-2</v>
      </c>
    </row>
    <row r="74" spans="1:12" x14ac:dyDescent="0.25">
      <c r="A74" s="274" t="s">
        <v>283</v>
      </c>
      <c r="B74" s="275"/>
      <c r="C74" s="286">
        <f>SUM(C54:C73)</f>
        <v>7.8943942061937295E-5</v>
      </c>
      <c r="D74" s="286">
        <f t="shared" ref="D74:L74" si="9">SUM(D54:D73)</f>
        <v>5.5531155481163442E-4</v>
      </c>
      <c r="E74" s="286">
        <f t="shared" si="9"/>
        <v>0.32503514141968615</v>
      </c>
      <c r="F74" s="286">
        <f t="shared" si="9"/>
        <v>7.150361820634926E-9</v>
      </c>
      <c r="G74" s="286">
        <f t="shared" si="9"/>
        <v>2.5869397683995418E-9</v>
      </c>
      <c r="H74" s="286">
        <f>SUM(H54:H73)</f>
        <v>66.343352013104663</v>
      </c>
      <c r="I74" s="286">
        <f t="shared" si="9"/>
        <v>3.1341474499089346E-3</v>
      </c>
      <c r="J74" s="286">
        <f t="shared" si="9"/>
        <v>8.9808450742159955E-10</v>
      </c>
      <c r="K74" s="286">
        <f t="shared" si="9"/>
        <v>1.703868196234012E-4</v>
      </c>
      <c r="L74" s="286">
        <f t="shared" si="9"/>
        <v>0.14596458561966053</v>
      </c>
    </row>
    <row r="75" spans="1:12" x14ac:dyDescent="0.25">
      <c r="A75" s="399" t="s">
        <v>570</v>
      </c>
      <c r="B75" s="399"/>
      <c r="C75" s="273" t="s">
        <v>257</v>
      </c>
      <c r="D75" s="273" t="s">
        <v>258</v>
      </c>
      <c r="E75" s="273" t="s">
        <v>259</v>
      </c>
      <c r="F75" s="273" t="s">
        <v>260</v>
      </c>
      <c r="G75" s="273" t="s">
        <v>260</v>
      </c>
      <c r="H75" s="273" t="s">
        <v>261</v>
      </c>
      <c r="I75" s="273" t="s">
        <v>262</v>
      </c>
      <c r="J75" s="273" t="s">
        <v>263</v>
      </c>
      <c r="K75" s="273" t="s">
        <v>264</v>
      </c>
      <c r="L75" s="273" t="s">
        <v>265</v>
      </c>
    </row>
    <row r="76" spans="1:12" ht="15.75" thickBot="1" x14ac:dyDescent="0.3">
      <c r="A76" s="281" t="s">
        <v>246</v>
      </c>
      <c r="B76" s="282" t="s">
        <v>247</v>
      </c>
      <c r="C76" s="73">
        <f>SUM(C54)</f>
        <v>0</v>
      </c>
      <c r="D76" s="73">
        <f>SUM(D54)</f>
        <v>0</v>
      </c>
      <c r="E76" s="73">
        <f>SUM(E54)</f>
        <v>0</v>
      </c>
      <c r="F76" s="73">
        <f t="shared" ref="F76:L76" si="10">SUM(F54)</f>
        <v>0</v>
      </c>
      <c r="G76" s="73">
        <f>SUM(G54)</f>
        <v>0</v>
      </c>
      <c r="H76" s="73">
        <f>SUM(H54)</f>
        <v>-127.35198365776529</v>
      </c>
      <c r="I76" s="73">
        <f t="shared" si="10"/>
        <v>0</v>
      </c>
      <c r="J76" s="73">
        <f t="shared" si="10"/>
        <v>0</v>
      </c>
      <c r="K76" s="73">
        <f t="shared" si="10"/>
        <v>0</v>
      </c>
      <c r="L76" s="73">
        <f t="shared" si="10"/>
        <v>0</v>
      </c>
    </row>
    <row r="77" spans="1:12" x14ac:dyDescent="0.25">
      <c r="A77" s="62" t="s">
        <v>59</v>
      </c>
      <c r="B77" s="63" t="s">
        <v>240</v>
      </c>
      <c r="C77" s="74">
        <f>SUM(C55:C59)</f>
        <v>6.2236428110387208E-6</v>
      </c>
      <c r="D77" s="74">
        <f t="shared" ref="D77:L77" si="11">SUM(D55:D59)</f>
        <v>2.7783202115911838E-5</v>
      </c>
      <c r="E77" s="74">
        <f t="shared" si="11"/>
        <v>0.15168466576224574</v>
      </c>
      <c r="F77" s="74">
        <f t="shared" si="11"/>
        <v>2.4188917179772211E-9</v>
      </c>
      <c r="G77" s="74">
        <f t="shared" si="11"/>
        <v>5.3506656421955095E-10</v>
      </c>
      <c r="H77" s="74">
        <f>SUM(H55:H59)</f>
        <v>8.4675891901143459</v>
      </c>
      <c r="I77" s="74">
        <f t="shared" si="11"/>
        <v>2.8670731882357884E-4</v>
      </c>
      <c r="J77" s="74">
        <f t="shared" si="11"/>
        <v>1.9548268088714762E-10</v>
      </c>
      <c r="K77" s="74">
        <f t="shared" si="11"/>
        <v>2.5167556286086959E-5</v>
      </c>
      <c r="L77" s="74">
        <f t="shared" si="11"/>
        <v>1.5737820231768253E-2</v>
      </c>
    </row>
    <row r="78" spans="1:12" ht="15.75" thickBot="1" x14ac:dyDescent="0.3">
      <c r="A78" s="64" t="s">
        <v>237</v>
      </c>
      <c r="B78" s="65" t="s">
        <v>238</v>
      </c>
      <c r="C78" s="73">
        <f>SUM(C61:C63)</f>
        <v>5.3940590769925474E-5</v>
      </c>
      <c r="D78" s="73">
        <f t="shared" ref="D78:L78" si="12">SUM(D61:D63)</f>
        <v>1.9165988581472837E-4</v>
      </c>
      <c r="E78" s="73">
        <f t="shared" si="12"/>
        <v>0.1320570661897264</v>
      </c>
      <c r="F78" s="73">
        <f t="shared" si="12"/>
        <v>3.9166124992939949E-9</v>
      </c>
      <c r="G78" s="73">
        <f t="shared" si="12"/>
        <v>1.3141691526556708E-9</v>
      </c>
      <c r="H78" s="73">
        <f>SUM(H60:H63)</f>
        <v>29.981590997219502</v>
      </c>
      <c r="I78" s="73">
        <f t="shared" si="12"/>
        <v>2.058852328087034E-3</v>
      </c>
      <c r="J78" s="73">
        <f t="shared" si="12"/>
        <v>3.1980273961177408E-10</v>
      </c>
      <c r="K78" s="73">
        <f t="shared" si="12"/>
        <v>1.107705410285863E-4</v>
      </c>
      <c r="L78" s="73">
        <f t="shared" si="12"/>
        <v>4.4150339833184664E-2</v>
      </c>
    </row>
    <row r="79" spans="1:12" x14ac:dyDescent="0.25">
      <c r="A79" s="62" t="s">
        <v>239</v>
      </c>
      <c r="B79" s="63" t="s">
        <v>567</v>
      </c>
      <c r="C79" s="74">
        <f>SUM(C64:C67)</f>
        <v>2.038082631162221E-6</v>
      </c>
      <c r="D79" s="74">
        <f t="shared" ref="D79:L79" si="13">SUM(D64:D67)</f>
        <v>1.3008435193411179E-5</v>
      </c>
      <c r="E79" s="74">
        <f t="shared" si="13"/>
        <v>4.7625272756272791E-2</v>
      </c>
      <c r="F79" s="74">
        <f t="shared" si="13"/>
        <v>6.507090234916919E-10</v>
      </c>
      <c r="G79" s="74">
        <f t="shared" si="13"/>
        <v>6.4640774648718888E-10</v>
      </c>
      <c r="H79" s="74">
        <f>SUM(H64:H67)</f>
        <v>16.26674462571486</v>
      </c>
      <c r="I79" s="74">
        <f t="shared" si="13"/>
        <v>2.6465318741007119E-4</v>
      </c>
      <c r="J79" s="74">
        <f t="shared" si="13"/>
        <v>3.5962934708465376E-10</v>
      </c>
      <c r="K79" s="74">
        <f t="shared" si="13"/>
        <v>5.7195809695511924E-6</v>
      </c>
      <c r="L79" s="74">
        <f t="shared" si="13"/>
        <v>8.4160955390852846E-2</v>
      </c>
    </row>
    <row r="80" spans="1:12" x14ac:dyDescent="0.25">
      <c r="A80" s="59" t="s">
        <v>241</v>
      </c>
      <c r="B80" s="61" t="s">
        <v>565</v>
      </c>
      <c r="C80" s="72">
        <f>SUM(C68)</f>
        <v>6.0195167311613947E-5</v>
      </c>
      <c r="D80" s="72">
        <f t="shared" ref="D80:L80" si="14">SUM(D68)</f>
        <v>2.1388343599630807E-4</v>
      </c>
      <c r="E80" s="72">
        <f t="shared" si="14"/>
        <v>0.14736948706916136</v>
      </c>
      <c r="F80" s="72">
        <f t="shared" si="14"/>
        <v>4.3707557022384126E-9</v>
      </c>
      <c r="G80" s="72">
        <f t="shared" si="14"/>
        <v>1.4665510868667732E-9</v>
      </c>
      <c r="H80" s="72">
        <f>SUM(H68)</f>
        <v>33.458048207959969</v>
      </c>
      <c r="I80" s="72">
        <f t="shared" si="14"/>
        <v>2.2975825549949968E-3</v>
      </c>
      <c r="J80" s="72">
        <f t="shared" si="14"/>
        <v>3.5688484576954974E-10</v>
      </c>
      <c r="K80" s="72">
        <f t="shared" si="14"/>
        <v>1.2361472418524945E-4</v>
      </c>
      <c r="L80" s="72">
        <f t="shared" si="14"/>
        <v>4.9269706823547213E-2</v>
      </c>
    </row>
    <row r="81" spans="1:12" ht="15.75" thickBot="1" x14ac:dyDescent="0.3">
      <c r="A81" s="64" t="s">
        <v>243</v>
      </c>
      <c r="B81" s="65" t="s">
        <v>568</v>
      </c>
      <c r="C81" s="73">
        <f>SUM(C69:C70)</f>
        <v>1.040851432787258E-5</v>
      </c>
      <c r="D81" s="73">
        <f t="shared" ref="D81:L81" si="15">SUM(D69:D70)</f>
        <v>3.0237786150152728E-4</v>
      </c>
      <c r="E81" s="73">
        <f t="shared" si="15"/>
        <v>0</v>
      </c>
      <c r="F81" s="73">
        <f t="shared" si="15"/>
        <v>0</v>
      </c>
      <c r="G81" s="73">
        <f t="shared" si="15"/>
        <v>0</v>
      </c>
      <c r="H81" s="73">
        <f>SUM(H69:H70)</f>
        <v>136.87788159556257</v>
      </c>
      <c r="I81" s="73">
        <f t="shared" si="15"/>
        <v>3.0967912461783703E-4</v>
      </c>
      <c r="J81" s="73">
        <f t="shared" si="15"/>
        <v>0</v>
      </c>
      <c r="K81" s="73">
        <f t="shared" si="15"/>
        <v>1.7074425439957158E-5</v>
      </c>
      <c r="L81" s="73">
        <f t="shared" si="15"/>
        <v>0</v>
      </c>
    </row>
    <row r="82" spans="1:12" x14ac:dyDescent="0.25">
      <c r="A82" s="62" t="s">
        <v>250</v>
      </c>
      <c r="B82" s="63" t="s">
        <v>569</v>
      </c>
      <c r="C82" s="74">
        <f>SUM(C71:C73)</f>
        <v>-5.3862055789675655E-5</v>
      </c>
      <c r="D82" s="74">
        <f t="shared" ref="D82:L82" si="16">SUM(D71:D73)</f>
        <v>-1.9340126581025236E-4</v>
      </c>
      <c r="E82" s="74">
        <f t="shared" si="16"/>
        <v>-0.15370135035772009</v>
      </c>
      <c r="F82" s="74">
        <f t="shared" si="16"/>
        <v>-4.2066071223663952E-9</v>
      </c>
      <c r="G82" s="74">
        <f t="shared" si="16"/>
        <v>-1.375254781829641E-9</v>
      </c>
      <c r="H82" s="74">
        <f>SUM(H71:H73)</f>
        <v>-31.356518945701314</v>
      </c>
      <c r="I82" s="74">
        <f t="shared" si="16"/>
        <v>-2.0833270640245828E-3</v>
      </c>
      <c r="J82" s="74">
        <f t="shared" si="16"/>
        <v>-3.337151059315258E-10</v>
      </c>
      <c r="K82" s="74">
        <f t="shared" si="16"/>
        <v>-1.1196000828602988E-4</v>
      </c>
      <c r="L82" s="74">
        <f t="shared" si="16"/>
        <v>-4.7354236659692461E-2</v>
      </c>
    </row>
    <row r="83" spans="1:12" x14ac:dyDescent="0.25">
      <c r="A83" s="274" t="s">
        <v>283</v>
      </c>
      <c r="B83" s="275"/>
      <c r="C83" s="276">
        <f>SUM(C76:C82)</f>
        <v>7.8943942061937295E-5</v>
      </c>
      <c r="D83" s="276">
        <f t="shared" ref="D83:L83" si="17">SUM(D76:D82)</f>
        <v>5.5531155481163442E-4</v>
      </c>
      <c r="E83" s="276">
        <f t="shared" si="17"/>
        <v>0.32503514141968626</v>
      </c>
      <c r="F83" s="276">
        <f t="shared" si="17"/>
        <v>7.1503618206349252E-9</v>
      </c>
      <c r="G83" s="276">
        <f t="shared" si="17"/>
        <v>2.5869397683995426E-9</v>
      </c>
      <c r="H83" s="276">
        <f>SUM(H76:H82)</f>
        <v>66.343352013104663</v>
      </c>
      <c r="I83" s="276">
        <f t="shared" si="17"/>
        <v>3.1341474499089351E-3</v>
      </c>
      <c r="J83" s="276">
        <f t="shared" si="17"/>
        <v>8.9808450742159944E-10</v>
      </c>
      <c r="K83" s="276">
        <f t="shared" si="17"/>
        <v>1.7038681962340112E-4</v>
      </c>
      <c r="L83" s="276">
        <f t="shared" si="17"/>
        <v>0.14596458561966053</v>
      </c>
    </row>
    <row r="84" spans="1:12" x14ac:dyDescent="0.25">
      <c r="A84" s="399" t="s">
        <v>572</v>
      </c>
      <c r="B84" s="399"/>
      <c r="C84" s="273" t="s">
        <v>574</v>
      </c>
      <c r="D84" s="273" t="s">
        <v>575</v>
      </c>
      <c r="E84" s="273" t="s">
        <v>576</v>
      </c>
      <c r="F84" s="273" t="s">
        <v>577</v>
      </c>
      <c r="G84" s="273" t="s">
        <v>577</v>
      </c>
      <c r="H84" s="273" t="s">
        <v>578</v>
      </c>
      <c r="I84" s="273" t="s">
        <v>579</v>
      </c>
      <c r="J84" s="273" t="s">
        <v>580</v>
      </c>
      <c r="K84" s="273" t="s">
        <v>581</v>
      </c>
      <c r="L84" s="273" t="s">
        <v>582</v>
      </c>
    </row>
    <row r="85" spans="1:12" ht="15.75" thickBot="1" x14ac:dyDescent="0.3">
      <c r="A85" s="66" t="s">
        <v>248</v>
      </c>
      <c r="B85" s="67" t="s">
        <v>249</v>
      </c>
      <c r="C85" s="73">
        <f>C19/('Process Model Outputs'!$C$3*1000)</f>
        <v>0</v>
      </c>
      <c r="D85" s="73">
        <f>D19/('Process Model Outputs'!$C$3*1000)</f>
        <v>0</v>
      </c>
      <c r="E85" s="73">
        <f>E19/('Process Model Outputs'!$C$3*1000)</f>
        <v>0</v>
      </c>
      <c r="F85" s="73">
        <f>F19/('Process Model Outputs'!$C$3*1000)</f>
        <v>0</v>
      </c>
      <c r="G85" s="73">
        <f>G19/('Process Model Outputs'!$C$3*1000)</f>
        <v>0</v>
      </c>
      <c r="H85" s="73">
        <f>H19/('Process Model Outputs'!$C$3*1000)</f>
        <v>-1.7393447311087935</v>
      </c>
      <c r="I85" s="73">
        <f>I19/('Process Model Outputs'!$C$3*1000)</f>
        <v>0</v>
      </c>
      <c r="J85" s="73">
        <f>J19/('Process Model Outputs'!$C$3*1000)</f>
        <v>0</v>
      </c>
      <c r="K85" s="73">
        <f>K19/('Process Model Outputs'!$C$3*1000)</f>
        <v>0</v>
      </c>
      <c r="L85" s="73">
        <f>L19/('Process Model Outputs'!$C$3*1000)</f>
        <v>0</v>
      </c>
    </row>
    <row r="86" spans="1:12" x14ac:dyDescent="0.25">
      <c r="A86" s="62" t="s">
        <v>185</v>
      </c>
      <c r="B86" s="63" t="s">
        <v>571</v>
      </c>
      <c r="C86" s="74">
        <f>(C20+C21)/('Process Model Outputs'!$C$3*1000)</f>
        <v>7.2143280962836493E-6</v>
      </c>
      <c r="D86" s="74">
        <f>(D20+D21)/('Process Model Outputs'!$C$3*1000)</f>
        <v>6.3191934857223831E-5</v>
      </c>
      <c r="E86" s="74">
        <f>(E20+E21)/('Process Model Outputs'!$C$3*1000)</f>
        <v>0.34600402735764868</v>
      </c>
      <c r="F86" s="74">
        <f>(F20+F21)/('Process Model Outputs'!$C$3*1000)</f>
        <v>4.1920846746490187E-9</v>
      </c>
      <c r="G86" s="74">
        <f>(G20+G21)/('Process Model Outputs'!$C$3*1000)</f>
        <v>2.151559725425093E-9</v>
      </c>
      <c r="H86" s="74">
        <f>(H20+H21)/('Process Model Outputs'!$C$3*1000)</f>
        <v>6.6527195758479804E-2</v>
      </c>
      <c r="I86" s="74">
        <f>(I20+I21)/('Process Model Outputs'!$C$3*1000)</f>
        <v>1.3896032280625572E-3</v>
      </c>
      <c r="J86" s="74">
        <f>(J20+J21)/('Process Model Outputs'!$C$3*1000)</f>
        <v>6.3873128035267139E-10</v>
      </c>
      <c r="K86" s="74">
        <f>(K20+K21)/('Process Model Outputs'!$C$3*1000)</f>
        <v>2.6845591658564245E-5</v>
      </c>
      <c r="L86" s="74">
        <f>(L20+L21)/('Process Model Outputs'!$C$3*1000)</f>
        <v>0.15016605119967422</v>
      </c>
    </row>
    <row r="87" spans="1:12" x14ac:dyDescent="0.25">
      <c r="A87" s="59" t="s">
        <v>242</v>
      </c>
      <c r="B87" s="63" t="s">
        <v>571</v>
      </c>
      <c r="C87" s="72">
        <f>(C22+C23)/('Process Model Outputs'!$C$3*1000)</f>
        <v>2.7925947709319876E-5</v>
      </c>
      <c r="D87" s="72">
        <f>(D22+D23)/('Process Model Outputs'!$C$3*1000)</f>
        <v>2.1001242204245758E-4</v>
      </c>
      <c r="E87" s="72">
        <f>(E22+E23)/('Process Model Outputs'!$C$3*1000)</f>
        <v>1.4203629570143328</v>
      </c>
      <c r="F87" s="72">
        <f>(F22+F23)/('Process Model Outputs'!$C$3*1000)</f>
        <v>2.1886017190771209E-8</v>
      </c>
      <c r="G87" s="72">
        <f>(G22+G23)/('Process Model Outputs'!$C$3*1000)</f>
        <v>2.5310687991329791E-9</v>
      </c>
      <c r="H87" s="72">
        <f>(H22+H23)/('Process Model Outputs'!$C$3*1000)</f>
        <v>2.1266750661911603E-2</v>
      </c>
      <c r="I87" s="72">
        <f>(I22+I23)/('Process Model Outputs'!$C$3*1000)</f>
        <v>1.3694292100926491E-3</v>
      </c>
      <c r="J87" s="72">
        <f>(J22+J23)/('Process Model Outputs'!$C$3*1000)</f>
        <v>2.9889651330112912E-10</v>
      </c>
      <c r="K87" s="72">
        <f>(K22+K23)/('Process Model Outputs'!$C$3*1000)</f>
        <v>1.5747965107874542E-4</v>
      </c>
      <c r="L87" s="72">
        <f>(L22+L23)/('Process Model Outputs'!$C$3*1000)</f>
        <v>3.5631137464786092E-2</v>
      </c>
    </row>
    <row r="88" spans="1:12" ht="15.75" thickBot="1" x14ac:dyDescent="0.3">
      <c r="A88" s="64" t="s">
        <v>245</v>
      </c>
      <c r="B88" s="65" t="s">
        <v>244</v>
      </c>
      <c r="C88" s="73">
        <f>C24/('Process Model Outputs'!$C$3*1000)</f>
        <v>4.9860837021768303E-5</v>
      </c>
      <c r="D88" s="73">
        <f>D24/('Process Model Outputs'!$C$3*1000)</f>
        <v>1.0625236474436619E-4</v>
      </c>
      <c r="E88" s="73">
        <f>E24/('Process Model Outputs'!$C$3*1000)</f>
        <v>0.30530804263474093</v>
      </c>
      <c r="F88" s="73">
        <f>F24/('Process Model Outputs'!$C$3*1000)</f>
        <v>6.9585768257627507E-9</v>
      </c>
      <c r="G88" s="73">
        <f>G24/('Process Model Outputs'!$C$3*1000)</f>
        <v>2.6251901880954364E-9</v>
      </c>
      <c r="H88" s="73">
        <f>H24/('Process Model Outputs'!$C$3*1000)</f>
        <v>2.7854481032439388E-2</v>
      </c>
      <c r="I88" s="73">
        <f>I24/('Process Model Outputs'!$C$3*1000)</f>
        <v>1.1567515963223261E-3</v>
      </c>
      <c r="J88" s="73">
        <f>J24/('Process Model Outputs'!$C$3*1000)</f>
        <v>1.7322306667986109E-9</v>
      </c>
      <c r="K88" s="73">
        <f>K24/('Process Model Outputs'!$C$3*1000)</f>
        <v>1.5940757683719073E-4</v>
      </c>
      <c r="L88" s="73">
        <f>L24/('Process Model Outputs'!$C$3*1000)</f>
        <v>2.9146418125557589E-2</v>
      </c>
    </row>
    <row r="89" spans="1:12" x14ac:dyDescent="0.25">
      <c r="A89" s="62" t="s">
        <v>226</v>
      </c>
      <c r="B89" s="63" t="s">
        <v>231</v>
      </c>
      <c r="C89" s="74">
        <f>C26/('Process Model Outputs'!$C$3*1000)</f>
        <v>5.4522130821704816E-4</v>
      </c>
      <c r="D89" s="74">
        <f>D26/('Process Model Outputs'!$C$3*1000)</f>
        <v>1.9372619429095783E-3</v>
      </c>
      <c r="E89" s="74">
        <f>E26/('Process Model Outputs'!$C$3*1000)</f>
        <v>1.3348078943809356</v>
      </c>
      <c r="F89" s="74">
        <f>F26/('Process Model Outputs'!$C$3*1000)</f>
        <v>3.958837973711842E-8</v>
      </c>
      <c r="G89" s="74">
        <f>G26/('Process Model Outputs'!$C$3*1000)</f>
        <v>1.3283373696917418E-8</v>
      </c>
      <c r="H89" s="74">
        <f>H26/('Process Model Outputs'!$C$3*1000)</f>
        <v>0.30304826166358056</v>
      </c>
      <c r="I89" s="74">
        <f>I26/('Process Model Outputs'!$C$3*1000)</f>
        <v>2.0810490647632914E-2</v>
      </c>
      <c r="J89" s="74">
        <f>J26/('Process Model Outputs'!$C$3*1000)</f>
        <v>3.2325057173779338E-9</v>
      </c>
      <c r="K89" s="74">
        <f>K26/('Process Model Outputs'!$C$3*1000)</f>
        <v>1.1196477166725601E-3</v>
      </c>
      <c r="L89" s="74">
        <f>L26/('Process Model Outputs'!$C$3*1000)</f>
        <v>0.44626330002112907</v>
      </c>
    </row>
    <row r="90" spans="1:12" x14ac:dyDescent="0.25">
      <c r="A90" s="59" t="s">
        <v>227</v>
      </c>
      <c r="B90" s="61" t="s">
        <v>232</v>
      </c>
      <c r="C90" s="72">
        <f>C27/('Process Model Outputs'!$C$3*1000)</f>
        <v>1.9103618781965905E-4</v>
      </c>
      <c r="D90" s="72">
        <f>D27/('Process Model Outputs'!$C$3*1000)</f>
        <v>6.7878333220649373E-4</v>
      </c>
      <c r="E90" s="72">
        <f>E27/('Process Model Outputs'!$C$3*1000)</f>
        <v>0.46769377456650663</v>
      </c>
      <c r="F90" s="72">
        <f>F27/('Process Model Outputs'!$C$3*1000)</f>
        <v>1.3871088735815591E-8</v>
      </c>
      <c r="G90" s="72">
        <f>G27/('Process Model Outputs'!$C$3*1000)</f>
        <v>4.6542661378025861E-9</v>
      </c>
      <c r="H90" s="72">
        <f>H27/('Process Model Outputs'!$C$3*1000)</f>
        <v>0.10618290914363557</v>
      </c>
      <c r="I90" s="72">
        <f>I27/('Process Model Outputs'!$C$3*1000)</f>
        <v>7.2916387163610638E-3</v>
      </c>
      <c r="J90" s="72">
        <f>J27/('Process Model Outputs'!$C$3*1000)</f>
        <v>1.1326145182632896E-9</v>
      </c>
      <c r="K90" s="72">
        <f>K27/('Process Model Outputs'!$C$3*1000)</f>
        <v>3.9230534146505227E-4</v>
      </c>
      <c r="L90" s="72">
        <f>L27/('Process Model Outputs'!$C$3*1000)</f>
        <v>0.15636300033585437</v>
      </c>
    </row>
    <row r="91" spans="1:12" x14ac:dyDescent="0.25">
      <c r="A91" s="78" t="s">
        <v>228</v>
      </c>
      <c r="B91" s="79" t="s">
        <v>233</v>
      </c>
      <c r="C91" s="80">
        <f>C28/('Process Model Outputs'!$C$3*1000)</f>
        <v>4.5095289246453606E-7</v>
      </c>
      <c r="D91" s="80">
        <f>D28/('Process Model Outputs'!$C$3*1000)</f>
        <v>1.6023105910394146E-6</v>
      </c>
      <c r="E91" s="80">
        <f>E28/('Process Model Outputs'!$C$3*1000)</f>
        <v>1.1040204624870496E-3</v>
      </c>
      <c r="F91" s="80">
        <f>F28/('Process Model Outputs'!$C$3*1000)</f>
        <v>3.2743574180580355E-11</v>
      </c>
      <c r="G91" s="80">
        <f>G28/('Process Model Outputs'!$C$3*1000)</f>
        <v>1.0986686873814563E-11</v>
      </c>
      <c r="H91" s="80">
        <f>H28/('Process Model Outputs'!$C$3*1000)</f>
        <v>2.5065141089301998E-4</v>
      </c>
      <c r="I91" s="80">
        <f>I28/('Process Model Outputs'!$C$3*1000)</f>
        <v>1.7212370114156141E-5</v>
      </c>
      <c r="J91" s="80">
        <f>J28/('Process Model Outputs'!$C$3*1000)</f>
        <v>2.673607544662263E-12</v>
      </c>
      <c r="K91" s="80">
        <f>K28/('Process Model Outputs'!$C$3*1000)</f>
        <v>9.2606134200060348E-7</v>
      </c>
      <c r="L91" s="80">
        <f>L28/('Process Model Outputs'!$C$3*1000)</f>
        <v>3.6910466064393749E-4</v>
      </c>
    </row>
    <row r="92" spans="1:12" x14ac:dyDescent="0.25">
      <c r="A92" s="274" t="s">
        <v>283</v>
      </c>
      <c r="B92" s="275"/>
      <c r="C92" s="276">
        <f>SUM(C85:C91)</f>
        <v>8.2170956175654352E-4</v>
      </c>
      <c r="D92" s="276">
        <f t="shared" ref="D92:L92" si="18">SUM(D85:D91)</f>
        <v>2.9971043073511588E-3</v>
      </c>
      <c r="E92" s="276">
        <f t="shared" si="18"/>
        <v>3.8752807164166514</v>
      </c>
      <c r="F92" s="276">
        <f t="shared" si="18"/>
        <v>8.6528890738297572E-8</v>
      </c>
      <c r="G92" s="276">
        <f t="shared" si="18"/>
        <v>2.525644523424733E-8</v>
      </c>
      <c r="H92" s="276">
        <f t="shared" si="18"/>
        <v>-1.2142144814378535</v>
      </c>
      <c r="I92" s="276">
        <f t="shared" si="18"/>
        <v>3.2035125768585665E-2</v>
      </c>
      <c r="J92" s="276">
        <f t="shared" si="18"/>
        <v>7.0376523036382976E-9</v>
      </c>
      <c r="K92" s="276">
        <f t="shared" si="18"/>
        <v>1.8566119390541133E-3</v>
      </c>
      <c r="L92" s="276">
        <f t="shared" si="18"/>
        <v>0.81793901180764539</v>
      </c>
    </row>
    <row r="93" spans="1:12" x14ac:dyDescent="0.25">
      <c r="A93" s="399" t="s">
        <v>573</v>
      </c>
      <c r="B93" s="399"/>
      <c r="C93" s="273" t="s">
        <v>574</v>
      </c>
      <c r="D93" s="273" t="s">
        <v>575</v>
      </c>
      <c r="E93" s="273" t="s">
        <v>576</v>
      </c>
      <c r="F93" s="273" t="s">
        <v>577</v>
      </c>
      <c r="G93" s="273" t="s">
        <v>577</v>
      </c>
      <c r="H93" s="273" t="s">
        <v>578</v>
      </c>
      <c r="I93" s="273" t="s">
        <v>579</v>
      </c>
      <c r="J93" s="273" t="s">
        <v>580</v>
      </c>
      <c r="K93" s="273" t="s">
        <v>581</v>
      </c>
      <c r="L93" s="273" t="s">
        <v>582</v>
      </c>
    </row>
    <row r="94" spans="1:12" x14ac:dyDescent="0.25">
      <c r="A94" s="69" t="s">
        <v>246</v>
      </c>
      <c r="B94" s="68" t="s">
        <v>247</v>
      </c>
      <c r="C94" s="72">
        <f>C41/('Process Model Outputs'!$C$3*1000)</f>
        <v>0</v>
      </c>
      <c r="D94" s="72">
        <f>D41/('Process Model Outputs'!$C$3*1000)</f>
        <v>0</v>
      </c>
      <c r="E94" s="72">
        <f>E41/('Process Model Outputs'!$C$3*1000)</f>
        <v>0</v>
      </c>
      <c r="F94" s="72">
        <f>F41/('Process Model Outputs'!$C$3*1000)</f>
        <v>0</v>
      </c>
      <c r="G94" s="72">
        <f>G41/('Process Model Outputs'!$C$3*1000)</f>
        <v>0</v>
      </c>
      <c r="H94" s="72">
        <f>H41/('Process Model Outputs'!$C$3*1000)</f>
        <v>-1.7393447311087935</v>
      </c>
      <c r="I94" s="72">
        <f>I41/('Process Model Outputs'!$C$3*1000)</f>
        <v>0</v>
      </c>
      <c r="J94" s="72">
        <f>J41/('Process Model Outputs'!$C$3*1000)</f>
        <v>0</v>
      </c>
      <c r="K94" s="72">
        <f>K41/('Process Model Outputs'!$C$3*1000)</f>
        <v>0</v>
      </c>
      <c r="L94" s="72">
        <f>L41/('Process Model Outputs'!$C$3*1000)</f>
        <v>0</v>
      </c>
    </row>
    <row r="95" spans="1:12" x14ac:dyDescent="0.25">
      <c r="A95" s="59" t="s">
        <v>59</v>
      </c>
      <c r="B95" s="61" t="s">
        <v>240</v>
      </c>
      <c r="C95" s="72">
        <f>C42/('Process Model Outputs'!$C$3*1000)</f>
        <v>8.5001112827371816E-5</v>
      </c>
      <c r="D95" s="72">
        <f>D42/('Process Model Outputs'!$C$3*1000)</f>
        <v>3.7945672164404765E-4</v>
      </c>
      <c r="E95" s="72">
        <f>E42/('Process Model Outputs'!$C$3*1000)</f>
        <v>2.0716750270067221</v>
      </c>
      <c r="F95" s="72">
        <f>F42/('Process Model Outputs'!$C$3*1000)</f>
        <v>3.3036678691182978E-8</v>
      </c>
      <c r="G95" s="72">
        <f>G42/('Process Model Outputs'!$C$3*1000)</f>
        <v>7.3078187126535085E-9</v>
      </c>
      <c r="H95" s="72">
        <f>H42/('Process Model Outputs'!$C$3*1000)</f>
        <v>0.1156484274528308</v>
      </c>
      <c r="I95" s="72">
        <f>I42/('Process Model Outputs'!$C$3*1000)</f>
        <v>3.9157840344775322E-3</v>
      </c>
      <c r="J95" s="72">
        <f>J42/('Process Model Outputs'!$C$3*1000)</f>
        <v>2.6698584604524114E-9</v>
      </c>
      <c r="K95" s="72">
        <f>K42/('Process Model Outputs'!$C$3*1000)</f>
        <v>3.4373281957450036E-4</v>
      </c>
      <c r="L95" s="72">
        <f>L42/('Process Model Outputs'!$C$3*1000)</f>
        <v>0.21494360679001795</v>
      </c>
    </row>
    <row r="96" spans="1:12" x14ac:dyDescent="0.25">
      <c r="A96" s="59" t="s">
        <v>237</v>
      </c>
      <c r="B96" s="61" t="s">
        <v>238</v>
      </c>
      <c r="C96" s="72">
        <f>C43/('Process Model Outputs'!$C$3*1000)</f>
        <v>7.3670844892917192E-4</v>
      </c>
      <c r="D96" s="72">
        <f>D43/('Process Model Outputs'!$C$3*1000)</f>
        <v>2.6176475857071116E-3</v>
      </c>
      <c r="E96" s="72">
        <f>E43/('Process Model Outputs'!$C$3*1000)</f>
        <v>1.803605689409929</v>
      </c>
      <c r="F96" s="72">
        <f>F43/('Process Model Outputs'!$C$3*1000)</f>
        <v>5.3492212047114581E-8</v>
      </c>
      <c r="G96" s="72">
        <f>G43/('Process Model Outputs'!$C$3*1000)</f>
        <v>1.7948626521593817E-8</v>
      </c>
      <c r="H96" s="72">
        <f>H43/('Process Model Outputs'!$C$3*1000)</f>
        <v>0.40948182221810919</v>
      </c>
      <c r="I96" s="72">
        <f>I43/('Process Model Outputs'!$C$3*1000)</f>
        <v>2.8119341734108134E-2</v>
      </c>
      <c r="J96" s="72">
        <f>J43/('Process Model Outputs'!$C$3*1000)</f>
        <v>4.3677938431858857E-9</v>
      </c>
      <c r="K96" s="72">
        <f>K43/('Process Model Outputs'!$C$3*1000)</f>
        <v>1.512879119479613E-3</v>
      </c>
      <c r="L96" s="72">
        <f>L43/('Process Model Outputs'!$C$3*1000)</f>
        <v>0.60299540501762738</v>
      </c>
    </row>
    <row r="97" spans="1:12" x14ac:dyDescent="0.25">
      <c r="A97" s="274" t="s">
        <v>283</v>
      </c>
      <c r="B97" s="275"/>
      <c r="C97" s="276">
        <f>SUM(C94:C96)</f>
        <v>8.2170956175654374E-4</v>
      </c>
      <c r="D97" s="276">
        <f t="shared" ref="D97:L97" si="19">SUM(D94:D96)</f>
        <v>2.9971043073511593E-3</v>
      </c>
      <c r="E97" s="276">
        <f t="shared" si="19"/>
        <v>3.8752807164166514</v>
      </c>
      <c r="F97" s="276">
        <f t="shared" si="19"/>
        <v>8.6528890738297559E-8</v>
      </c>
      <c r="G97" s="276">
        <f t="shared" si="19"/>
        <v>2.5256445234247326E-8</v>
      </c>
      <c r="H97" s="276">
        <f t="shared" si="19"/>
        <v>-1.2142144814378535</v>
      </c>
      <c r="I97" s="276">
        <f t="shared" si="19"/>
        <v>3.2035125768585665E-2</v>
      </c>
      <c r="J97" s="276">
        <f t="shared" si="19"/>
        <v>7.0376523036382976E-9</v>
      </c>
      <c r="K97" s="276">
        <f t="shared" si="19"/>
        <v>1.8566119390541133E-3</v>
      </c>
      <c r="L97" s="276">
        <f t="shared" si="19"/>
        <v>0.81793901180764528</v>
      </c>
    </row>
    <row r="101" spans="1:12" x14ac:dyDescent="0.25">
      <c r="B101" s="401" t="s">
        <v>266</v>
      </c>
      <c r="C101" s="404" t="s">
        <v>225</v>
      </c>
      <c r="D101" s="404"/>
      <c r="E101" s="404"/>
      <c r="F101" s="404"/>
      <c r="G101" s="404"/>
      <c r="H101" s="404"/>
      <c r="I101" s="404"/>
      <c r="J101" s="404"/>
      <c r="K101" s="404"/>
      <c r="L101" s="404"/>
    </row>
    <row r="102" spans="1:12" x14ac:dyDescent="0.25">
      <c r="B102" s="401"/>
      <c r="C102" s="273" t="s">
        <v>205</v>
      </c>
      <c r="D102" s="273" t="s">
        <v>208</v>
      </c>
      <c r="E102" s="273" t="s">
        <v>210</v>
      </c>
      <c r="F102" s="273" t="s">
        <v>212</v>
      </c>
      <c r="G102" s="273" t="s">
        <v>214</v>
      </c>
      <c r="H102" s="273" t="s">
        <v>215</v>
      </c>
      <c r="I102" s="273" t="s">
        <v>217</v>
      </c>
      <c r="J102" s="273" t="s">
        <v>219</v>
      </c>
      <c r="K102" s="273" t="s">
        <v>221</v>
      </c>
      <c r="L102" s="273" t="s">
        <v>223</v>
      </c>
    </row>
    <row r="103" spans="1:12" x14ac:dyDescent="0.25">
      <c r="B103" s="401"/>
      <c r="C103" s="273" t="s">
        <v>257</v>
      </c>
      <c r="D103" s="273" t="s">
        <v>258</v>
      </c>
      <c r="E103" s="273" t="s">
        <v>259</v>
      </c>
      <c r="F103" s="273" t="s">
        <v>260</v>
      </c>
      <c r="G103" s="273" t="s">
        <v>260</v>
      </c>
      <c r="H103" s="273" t="s">
        <v>261</v>
      </c>
      <c r="I103" s="273" t="s">
        <v>262</v>
      </c>
      <c r="J103" s="273" t="s">
        <v>263</v>
      </c>
      <c r="K103" s="273" t="s">
        <v>264</v>
      </c>
      <c r="L103" s="273" t="s">
        <v>265</v>
      </c>
    </row>
    <row r="104" spans="1:12" x14ac:dyDescent="0.25">
      <c r="B104" s="59" t="s">
        <v>185</v>
      </c>
      <c r="C104" s="76">
        <f>(C55+C56)/SUM(C$55:C$70)</f>
        <v>3.9773906476651558E-3</v>
      </c>
      <c r="D104" s="76">
        <f t="shared" ref="D104:L104" si="20">(D55+D56)/SUM(D$55:D$70)</f>
        <v>6.1796863255950199E-3</v>
      </c>
      <c r="E104" s="76">
        <f t="shared" si="20"/>
        <v>5.2918151947599794E-2</v>
      </c>
      <c r="F104" s="76">
        <f t="shared" si="20"/>
        <v>2.7026366144223768E-2</v>
      </c>
      <c r="G104" s="76">
        <f t="shared" si="20"/>
        <v>3.9759201891796443E-2</v>
      </c>
      <c r="H104" s="76">
        <f t="shared" si="20"/>
        <v>2.1643957343803602E-2</v>
      </c>
      <c r="I104" s="76">
        <f t="shared" si="20"/>
        <v>1.9500714588770039E-2</v>
      </c>
      <c r="J104" s="76">
        <f t="shared" si="20"/>
        <v>3.7966290798444401E-2</v>
      </c>
      <c r="K104" s="76">
        <f t="shared" si="20"/>
        <v>6.9616168175000333E-3</v>
      </c>
      <c r="L104" s="76">
        <f t="shared" si="20"/>
        <v>5.6874509990425252E-2</v>
      </c>
    </row>
    <row r="105" spans="1:12" x14ac:dyDescent="0.25">
      <c r="B105" s="59" t="s">
        <v>242</v>
      </c>
      <c r="C105" s="76">
        <f>(C57+C58)/SUM(C$55:C$70)</f>
        <v>1.5396084259524085E-2</v>
      </c>
      <c r="D105" s="76">
        <f t="shared" ref="D105:L105" si="21">(D57+D58)/SUM(D$55:D$70)</f>
        <v>2.0537603345001942E-2</v>
      </c>
      <c r="E105" s="76">
        <f t="shared" si="21"/>
        <v>0.21723152575427698</v>
      </c>
      <c r="F105" s="76">
        <f t="shared" si="21"/>
        <v>0.14109913323401116</v>
      </c>
      <c r="G105" s="76">
        <f t="shared" si="21"/>
        <v>4.6772243502035418E-2</v>
      </c>
      <c r="H105" s="76">
        <f t="shared" si="21"/>
        <v>6.9189244927560399E-3</v>
      </c>
      <c r="I105" s="76">
        <f t="shared" si="21"/>
        <v>1.9217606606149414E-2</v>
      </c>
      <c r="J105" s="76">
        <f t="shared" si="21"/>
        <v>1.7766457181126384E-2</v>
      </c>
      <c r="K105" s="76">
        <f t="shared" si="21"/>
        <v>4.0837728641159858E-2</v>
      </c>
      <c r="L105" s="76">
        <f t="shared" si="21"/>
        <v>1.3495084058756875E-2</v>
      </c>
    </row>
    <row r="106" spans="1:12" x14ac:dyDescent="0.25">
      <c r="B106" s="59" t="s">
        <v>245</v>
      </c>
      <c r="C106" s="76">
        <f>C59/SUM(C$55:C$70)</f>
        <v>2.7489188765520284E-2</v>
      </c>
      <c r="D106" s="76">
        <f t="shared" ref="D106:L106" si="22">D59/SUM(D$55:D$70)</f>
        <v>1.0390665944260665E-2</v>
      </c>
      <c r="E106" s="76">
        <f t="shared" si="22"/>
        <v>4.6694073229007309E-2</v>
      </c>
      <c r="F106" s="76">
        <f t="shared" si="22"/>
        <v>4.4861938565570636E-2</v>
      </c>
      <c r="G106" s="76">
        <f t="shared" si="22"/>
        <v>4.8511535821868776E-2</v>
      </c>
      <c r="H106" s="76">
        <f t="shared" si="22"/>
        <v>9.0621766395896693E-3</v>
      </c>
      <c r="I106" s="76">
        <f t="shared" si="22"/>
        <v>1.6233038520957092E-2</v>
      </c>
      <c r="J106" s="76">
        <f t="shared" si="22"/>
        <v>0.10296407150961326</v>
      </c>
      <c r="K106" s="76">
        <f t="shared" si="22"/>
        <v>4.1337679640697719E-2</v>
      </c>
      <c r="L106" s="76">
        <f t="shared" si="22"/>
        <v>1.1039034692754395E-2</v>
      </c>
    </row>
    <row r="107" spans="1:12" x14ac:dyDescent="0.25">
      <c r="B107" s="59" t="s">
        <v>586</v>
      </c>
      <c r="C107" s="76">
        <f t="shared" ref="C107:L116" si="23">C60/SUM(C$55:C$70)</f>
        <v>0</v>
      </c>
      <c r="D107" s="76">
        <f t="shared" si="23"/>
        <v>0</v>
      </c>
      <c r="E107" s="76">
        <f t="shared" si="23"/>
        <v>0</v>
      </c>
      <c r="F107" s="76">
        <f t="shared" si="23"/>
        <v>0</v>
      </c>
      <c r="G107" s="76">
        <f t="shared" si="23"/>
        <v>0</v>
      </c>
      <c r="H107" s="76">
        <f t="shared" si="23"/>
        <v>0</v>
      </c>
      <c r="I107" s="76">
        <f t="shared" si="23"/>
        <v>0</v>
      </c>
      <c r="J107" s="76">
        <f t="shared" si="23"/>
        <v>0</v>
      </c>
      <c r="K107" s="76">
        <f t="shared" si="23"/>
        <v>0</v>
      </c>
      <c r="L107" s="76">
        <f t="shared" si="23"/>
        <v>0</v>
      </c>
    </row>
    <row r="108" spans="1:12" x14ac:dyDescent="0.25">
      <c r="B108" s="59" t="s">
        <v>226</v>
      </c>
      <c r="C108" s="76">
        <f t="shared" si="23"/>
        <v>0.30059045045752059</v>
      </c>
      <c r="D108" s="76">
        <f t="shared" si="23"/>
        <v>0.18944935243307259</v>
      </c>
      <c r="E108" s="76">
        <f t="shared" si="23"/>
        <v>0.20414666128349224</v>
      </c>
      <c r="F108" s="76">
        <f t="shared" si="23"/>
        <v>0.25522624872111177</v>
      </c>
      <c r="G108" s="76">
        <f t="shared" si="23"/>
        <v>0.2454667329839389</v>
      </c>
      <c r="H108" s="76">
        <f t="shared" si="23"/>
        <v>9.859371906149092E-2</v>
      </c>
      <c r="I108" s="76">
        <f t="shared" si="23"/>
        <v>0.29203979263747676</v>
      </c>
      <c r="J108" s="76">
        <f t="shared" si="23"/>
        <v>0.19214066360714668</v>
      </c>
      <c r="K108" s="76">
        <f t="shared" si="23"/>
        <v>0.29034779613719552</v>
      </c>
      <c r="L108" s="76">
        <f t="shared" si="23"/>
        <v>0.16901960404927338</v>
      </c>
    </row>
    <row r="109" spans="1:12" x14ac:dyDescent="0.25">
      <c r="B109" s="59" t="s">
        <v>227</v>
      </c>
      <c r="C109" s="76">
        <f t="shared" si="23"/>
        <v>0.10532173428471163</v>
      </c>
      <c r="D109" s="76">
        <f t="shared" si="23"/>
        <v>6.6379801244506029E-2</v>
      </c>
      <c r="E109" s="76">
        <f t="shared" si="23"/>
        <v>7.1529485990272756E-2</v>
      </c>
      <c r="F109" s="76">
        <f t="shared" si="23"/>
        <v>8.9426896660802113E-2</v>
      </c>
      <c r="G109" s="76">
        <f t="shared" si="23"/>
        <v>8.6007329866003887E-2</v>
      </c>
      <c r="H109" s="76">
        <f t="shared" si="23"/>
        <v>3.4545546824027697E-2</v>
      </c>
      <c r="I109" s="76">
        <f t="shared" si="23"/>
        <v>0.10232573055434888</v>
      </c>
      <c r="J109" s="76">
        <f t="shared" si="23"/>
        <v>6.7322790484256906E-2</v>
      </c>
      <c r="K109" s="76">
        <f t="shared" si="23"/>
        <v>0.10173288402332292</v>
      </c>
      <c r="L109" s="76">
        <f t="shared" si="23"/>
        <v>5.9221568082052027E-2</v>
      </c>
    </row>
    <row r="110" spans="1:12" ht="15.75" thickBot="1" x14ac:dyDescent="0.3">
      <c r="B110" s="64" t="s">
        <v>228</v>
      </c>
      <c r="C110" s="325">
        <f t="shared" si="23"/>
        <v>2.4861855367375798E-4</v>
      </c>
      <c r="D110" s="325">
        <f t="shared" si="23"/>
        <v>1.5669368047005472E-4</v>
      </c>
      <c r="E110" s="325">
        <f t="shared" si="23"/>
        <v>1.6884983401294391E-4</v>
      </c>
      <c r="F110" s="325">
        <f t="shared" si="23"/>
        <v>2.1109779342637147E-4</v>
      </c>
      <c r="G110" s="325">
        <f t="shared" si="23"/>
        <v>2.0302569172307703E-4</v>
      </c>
      <c r="H110" s="325">
        <f t="shared" si="23"/>
        <v>8.1546928044704325E-5</v>
      </c>
      <c r="I110" s="325">
        <f t="shared" si="23"/>
        <v>2.4154629912627375E-4</v>
      </c>
      <c r="J110" s="325">
        <f t="shared" si="23"/>
        <v>1.5891966566208555E-4</v>
      </c>
      <c r="K110" s="325">
        <f t="shared" si="23"/>
        <v>2.4014684773957572E-4</v>
      </c>
      <c r="L110" s="325">
        <f t="shared" si="23"/>
        <v>1.3979622252563892E-4</v>
      </c>
    </row>
    <row r="111" spans="1:12" x14ac:dyDescent="0.25">
      <c r="B111" s="62" t="s">
        <v>557</v>
      </c>
      <c r="C111" s="324">
        <f t="shared" si="23"/>
        <v>6.8205952883590949E-3</v>
      </c>
      <c r="D111" s="324">
        <f t="shared" si="23"/>
        <v>7.8089090329079057E-3</v>
      </c>
      <c r="E111" s="324">
        <f t="shared" si="23"/>
        <v>3.1305607789031104E-2</v>
      </c>
      <c r="F111" s="324">
        <f t="shared" si="23"/>
        <v>2.1679838116846109E-2</v>
      </c>
      <c r="G111" s="324">
        <f t="shared" si="23"/>
        <v>8.2716959179222713E-2</v>
      </c>
      <c r="H111" s="324">
        <f t="shared" si="23"/>
        <v>1.8316684222806856E-2</v>
      </c>
      <c r="I111" s="324">
        <f t="shared" si="23"/>
        <v>2.6531063676565016E-2</v>
      </c>
      <c r="J111" s="324">
        <f t="shared" si="23"/>
        <v>5.5619944054590142E-2</v>
      </c>
      <c r="K111" s="324">
        <f t="shared" si="23"/>
        <v>9.3328513849508885E-3</v>
      </c>
      <c r="L111" s="324">
        <f t="shared" si="23"/>
        <v>0.2714043951775284</v>
      </c>
    </row>
    <row r="112" spans="1:12" x14ac:dyDescent="0.25">
      <c r="B112" s="60" t="s">
        <v>550</v>
      </c>
      <c r="C112" s="76">
        <f t="shared" si="23"/>
        <v>7.5280951523103911E-3</v>
      </c>
      <c r="D112" s="76">
        <f t="shared" si="23"/>
        <v>8.7569316630035313E-3</v>
      </c>
      <c r="E112" s="76">
        <f t="shared" si="23"/>
        <v>6.4162310582046925E-2</v>
      </c>
      <c r="F112" s="76">
        <f t="shared" si="23"/>
        <v>3.2710821490977635E-2</v>
      </c>
      <c r="G112" s="76">
        <f t="shared" si="23"/>
        <v>7.7026716547731619E-2</v>
      </c>
      <c r="H112" s="76">
        <f t="shared" si="23"/>
        <v>5.3275628981804234E-2</v>
      </c>
      <c r="I112" s="76">
        <f t="shared" si="23"/>
        <v>2.2631414785286446E-2</v>
      </c>
      <c r="J112" s="76">
        <f t="shared" si="23"/>
        <v>0.22811318152470092</v>
      </c>
      <c r="K112" s="76">
        <f t="shared" si="23"/>
        <v>8.9828327448241985E-3</v>
      </c>
      <c r="L112" s="76">
        <f t="shared" si="23"/>
        <v>0.15950853572626503</v>
      </c>
    </row>
    <row r="113" spans="2:12" x14ac:dyDescent="0.25">
      <c r="B113" s="59" t="s">
        <v>551</v>
      </c>
      <c r="C113" s="76">
        <f t="shared" si="23"/>
        <v>5.9924538010300515E-4</v>
      </c>
      <c r="D113" s="76">
        <f t="shared" si="23"/>
        <v>2.2650936033084441E-4</v>
      </c>
      <c r="E113" s="76">
        <f t="shared" si="23"/>
        <v>1.0178986327807134E-3</v>
      </c>
      <c r="F113" s="76">
        <f t="shared" si="23"/>
        <v>9.7795935912095024E-4</v>
      </c>
      <c r="G113" s="76">
        <f t="shared" si="23"/>
        <v>1.0575180654082898E-3</v>
      </c>
      <c r="H113" s="76">
        <f t="shared" si="23"/>
        <v>1.9754920857333283E-4</v>
      </c>
      <c r="I113" s="76">
        <f t="shared" si="23"/>
        <v>3.5386905818475675E-4</v>
      </c>
      <c r="J113" s="76">
        <f t="shared" si="23"/>
        <v>2.2445458356385732E-3</v>
      </c>
      <c r="K113" s="76">
        <f t="shared" si="23"/>
        <v>9.0113294212366762E-4</v>
      </c>
      <c r="L113" s="76">
        <f t="shared" si="23"/>
        <v>2.4064335244142172E-4</v>
      </c>
    </row>
    <row r="114" spans="2:12" x14ac:dyDescent="0.25">
      <c r="B114" s="60" t="s">
        <v>552</v>
      </c>
      <c r="C114" s="76">
        <f t="shared" si="23"/>
        <v>3.9837883468016088E-4</v>
      </c>
      <c r="D114" s="76">
        <f t="shared" si="23"/>
        <v>5.8204882556966769E-4</v>
      </c>
      <c r="E114" s="76">
        <f t="shared" si="23"/>
        <v>2.9953664326791852E-3</v>
      </c>
      <c r="F114" s="76">
        <f t="shared" si="23"/>
        <v>1.9273925619666642E-3</v>
      </c>
      <c r="G114" s="76">
        <f t="shared" si="23"/>
        <v>2.3426746604873405E-3</v>
      </c>
      <c r="H114" s="76">
        <f t="shared" si="23"/>
        <v>4.9012236378658534E-4</v>
      </c>
      <c r="I114" s="76">
        <f t="shared" si="23"/>
        <v>1.2080377555031374E-3</v>
      </c>
      <c r="J114" s="76">
        <f t="shared" si="23"/>
        <v>5.9767529785754326E-3</v>
      </c>
      <c r="K114" s="76">
        <f t="shared" si="23"/>
        <v>1.0404707889228092E-3</v>
      </c>
      <c r="L114" s="76">
        <f t="shared" si="23"/>
        <v>4.1943882367141442E-3</v>
      </c>
    </row>
    <row r="115" spans="2:12" x14ac:dyDescent="0.25">
      <c r="B115" s="59" t="s">
        <v>553</v>
      </c>
      <c r="C115" s="76">
        <f t="shared" si="23"/>
        <v>0.45325639116744809</v>
      </c>
      <c r="D115" s="76">
        <f t="shared" si="23"/>
        <v>0.28566818959858975</v>
      </c>
      <c r="E115" s="76">
        <f t="shared" si="23"/>
        <v>0.30783006852480005</v>
      </c>
      <c r="F115" s="76">
        <f t="shared" si="23"/>
        <v>0.38485230735194276</v>
      </c>
      <c r="G115" s="76">
        <f t="shared" si="23"/>
        <v>0.3701360617897837</v>
      </c>
      <c r="H115" s="76">
        <f t="shared" si="23"/>
        <v>0.14866817367474541</v>
      </c>
      <c r="I115" s="76">
        <f t="shared" si="23"/>
        <v>0.44036296657687385</v>
      </c>
      <c r="J115" s="76">
        <f t="shared" si="23"/>
        <v>0.28972638236024517</v>
      </c>
      <c r="K115" s="76">
        <f t="shared" si="23"/>
        <v>0.43781162728310014</v>
      </c>
      <c r="L115" s="76">
        <f t="shared" si="23"/>
        <v>0.25486244041126338</v>
      </c>
    </row>
    <row r="116" spans="2:12" x14ac:dyDescent="0.25">
      <c r="B116" s="59" t="s">
        <v>279</v>
      </c>
      <c r="C116" s="76">
        <f t="shared" si="23"/>
        <v>0</v>
      </c>
      <c r="D116" s="76">
        <f t="shared" si="23"/>
        <v>0</v>
      </c>
      <c r="E116" s="76">
        <f t="shared" si="23"/>
        <v>0</v>
      </c>
      <c r="F116" s="76">
        <f t="shared" si="23"/>
        <v>0</v>
      </c>
      <c r="G116" s="76">
        <f t="shared" si="23"/>
        <v>0</v>
      </c>
      <c r="H116" s="76">
        <f t="shared" si="23"/>
        <v>0.56306816511212132</v>
      </c>
      <c r="I116" s="76">
        <f t="shared" si="23"/>
        <v>0</v>
      </c>
      <c r="J116" s="76">
        <f t="shared" si="23"/>
        <v>0</v>
      </c>
      <c r="K116" s="76">
        <f t="shared" si="23"/>
        <v>0</v>
      </c>
      <c r="L116" s="76">
        <f t="shared" si="23"/>
        <v>0</v>
      </c>
    </row>
    <row r="117" spans="2:12" x14ac:dyDescent="0.25">
      <c r="B117" s="59" t="s">
        <v>280</v>
      </c>
      <c r="C117" s="76">
        <f>C70/SUM(C$55:C$70)</f>
        <v>7.8373827208483765E-2</v>
      </c>
      <c r="D117" s="76">
        <f t="shared" ref="D117:L117" si="24">D70/SUM(D$55:D$70)</f>
        <v>0.40386360854669201</v>
      </c>
      <c r="E117" s="76">
        <f t="shared" si="24"/>
        <v>0</v>
      </c>
      <c r="F117" s="76">
        <f t="shared" si="24"/>
        <v>0</v>
      </c>
      <c r="G117" s="76">
        <f t="shared" si="24"/>
        <v>0</v>
      </c>
      <c r="H117" s="76">
        <f t="shared" si="24"/>
        <v>4.5137805146449696E-2</v>
      </c>
      <c r="I117" s="76">
        <f t="shared" si="24"/>
        <v>5.9354218940758402E-2</v>
      </c>
      <c r="J117" s="76">
        <f t="shared" si="24"/>
        <v>0</v>
      </c>
      <c r="K117" s="76">
        <f t="shared" si="24"/>
        <v>6.0473232748462662E-2</v>
      </c>
      <c r="L117" s="76">
        <f t="shared" si="24"/>
        <v>0</v>
      </c>
    </row>
    <row r="118" spans="2:12" x14ac:dyDescent="0.25">
      <c r="B118" s="56" t="s">
        <v>202</v>
      </c>
      <c r="C118" s="298">
        <f>SUM(C104:C117)</f>
        <v>1</v>
      </c>
      <c r="D118" s="298">
        <f t="shared" ref="D118:L118" si="25">SUM(D104:D117)</f>
        <v>1</v>
      </c>
      <c r="E118" s="298">
        <f t="shared" si="25"/>
        <v>1</v>
      </c>
      <c r="F118" s="298">
        <f t="shared" si="25"/>
        <v>0.99999999999999978</v>
      </c>
      <c r="G118" s="298">
        <f t="shared" si="25"/>
        <v>1.0000000000000002</v>
      </c>
      <c r="H118" s="298">
        <f t="shared" si="25"/>
        <v>1</v>
      </c>
      <c r="I118" s="298">
        <f t="shared" si="25"/>
        <v>1</v>
      </c>
      <c r="J118" s="298">
        <f t="shared" si="25"/>
        <v>1</v>
      </c>
      <c r="K118" s="298">
        <f t="shared" si="25"/>
        <v>0.99999999999999989</v>
      </c>
      <c r="L118" s="298">
        <f t="shared" si="25"/>
        <v>1</v>
      </c>
    </row>
    <row r="120" spans="2:12" x14ac:dyDescent="0.25">
      <c r="B120" s="401" t="s">
        <v>266</v>
      </c>
      <c r="C120" s="404" t="s">
        <v>284</v>
      </c>
      <c r="D120" s="404"/>
      <c r="E120" s="404"/>
      <c r="F120" s="404"/>
      <c r="G120" s="404"/>
      <c r="H120" s="404"/>
      <c r="I120" s="404"/>
      <c r="J120" s="404"/>
      <c r="K120" s="404"/>
      <c r="L120" s="404"/>
    </row>
    <row r="121" spans="2:12" x14ac:dyDescent="0.25">
      <c r="B121" s="401"/>
      <c r="C121" s="273" t="s">
        <v>205</v>
      </c>
      <c r="D121" s="273" t="s">
        <v>208</v>
      </c>
      <c r="E121" s="273" t="s">
        <v>210</v>
      </c>
      <c r="F121" s="273" t="s">
        <v>212</v>
      </c>
      <c r="G121" s="273" t="s">
        <v>214</v>
      </c>
      <c r="H121" s="273" t="s">
        <v>215</v>
      </c>
      <c r="I121" s="273" t="s">
        <v>217</v>
      </c>
      <c r="J121" s="273" t="s">
        <v>219</v>
      </c>
      <c r="K121" s="273" t="s">
        <v>221</v>
      </c>
      <c r="L121" s="273" t="s">
        <v>223</v>
      </c>
    </row>
    <row r="122" spans="2:12" x14ac:dyDescent="0.25">
      <c r="B122" s="401"/>
      <c r="C122" s="273" t="s">
        <v>257</v>
      </c>
      <c r="D122" s="273" t="s">
        <v>258</v>
      </c>
      <c r="E122" s="273" t="s">
        <v>259</v>
      </c>
      <c r="F122" s="273" t="s">
        <v>260</v>
      </c>
      <c r="G122" s="273" t="s">
        <v>260</v>
      </c>
      <c r="H122" s="273" t="s">
        <v>261</v>
      </c>
      <c r="I122" s="273" t="s">
        <v>262</v>
      </c>
      <c r="J122" s="273" t="s">
        <v>263</v>
      </c>
      <c r="K122" s="273" t="s">
        <v>264</v>
      </c>
      <c r="L122" s="273" t="s">
        <v>265</v>
      </c>
    </row>
    <row r="123" spans="2:12" x14ac:dyDescent="0.25">
      <c r="B123" s="59" t="s">
        <v>246</v>
      </c>
      <c r="C123" s="76">
        <f>(-1*C54)/(-1*SUM(C$54,C$71:C$73))</f>
        <v>0</v>
      </c>
      <c r="D123" s="76">
        <f t="shared" ref="D123:L123" si="26">(-1*D54)/(-1*SUM(D$54,D$71:D$73))</f>
        <v>0</v>
      </c>
      <c r="E123" s="76">
        <f t="shared" si="26"/>
        <v>0</v>
      </c>
      <c r="F123" s="76">
        <f t="shared" si="26"/>
        <v>0</v>
      </c>
      <c r="G123" s="76">
        <f t="shared" si="26"/>
        <v>0</v>
      </c>
      <c r="H123" s="76">
        <f t="shared" si="26"/>
        <v>0.80242697504338745</v>
      </c>
      <c r="I123" s="76">
        <f t="shared" si="26"/>
        <v>0</v>
      </c>
      <c r="J123" s="76">
        <f t="shared" si="26"/>
        <v>0</v>
      </c>
      <c r="K123" s="76">
        <f t="shared" si="26"/>
        <v>0</v>
      </c>
      <c r="L123" s="76">
        <f t="shared" si="26"/>
        <v>0</v>
      </c>
    </row>
    <row r="124" spans="2:12" x14ac:dyDescent="0.25">
      <c r="B124" s="59" t="s">
        <v>285</v>
      </c>
      <c r="C124" s="76">
        <f>(-1*C71)/(-1*SUM(C$54,C$71:C$73))</f>
        <v>2.9052968688501545E-3</v>
      </c>
      <c r="D124" s="76">
        <f t="shared" ref="D124:L124" si="27">(-1*D71)/(-1*SUM(D$54,D$71:D$73))</f>
        <v>7.087284927475083E-3</v>
      </c>
      <c r="E124" s="76">
        <f t="shared" si="27"/>
        <v>4.8829358954633244E-2</v>
      </c>
      <c r="F124" s="76">
        <f t="shared" si="27"/>
        <v>2.1616015615658651E-2</v>
      </c>
      <c r="G124" s="76">
        <f t="shared" si="27"/>
        <v>3.3934995389390564E-2</v>
      </c>
      <c r="H124" s="76">
        <f t="shared" si="27"/>
        <v>9.0923590090189414E-3</v>
      </c>
      <c r="I124" s="76">
        <f t="shared" si="27"/>
        <v>1.4468080302952109E-2</v>
      </c>
      <c r="J124" s="76">
        <f t="shared" si="27"/>
        <v>4.1516417564724593E-2</v>
      </c>
      <c r="K124" s="76">
        <f t="shared" si="27"/>
        <v>5.2010090564964485E-3</v>
      </c>
      <c r="L124" s="76">
        <f t="shared" si="27"/>
        <v>6.8784482201445618E-2</v>
      </c>
    </row>
    <row r="125" spans="2:12" x14ac:dyDescent="0.25">
      <c r="B125" s="59" t="s">
        <v>286</v>
      </c>
      <c r="C125" s="76">
        <f>(-1*C72)/(-1*SUM(C$54,C$71:C$73))</f>
        <v>5.642818798112811E-3</v>
      </c>
      <c r="D125" s="76">
        <f t="shared" ref="D125:L125" si="28">(-1*D72)/(-1*SUM(D$54,D$71:D$73))</f>
        <v>1.18183481858145E-2</v>
      </c>
      <c r="E125" s="76">
        <f t="shared" si="28"/>
        <v>0.10057563048207138</v>
      </c>
      <c r="F125" s="76">
        <f t="shared" si="28"/>
        <v>5.6624697191079036E-2</v>
      </c>
      <c r="G125" s="76">
        <f t="shared" si="28"/>
        <v>2.0030504874108269E-2</v>
      </c>
      <c r="H125" s="76">
        <f t="shared" si="28"/>
        <v>1.4583845491171264E-3</v>
      </c>
      <c r="I125" s="76">
        <f t="shared" si="28"/>
        <v>7.1540709159065626E-3</v>
      </c>
      <c r="J125" s="76">
        <f t="shared" si="28"/>
        <v>9.7480128374247358E-3</v>
      </c>
      <c r="K125" s="76">
        <f t="shared" si="28"/>
        <v>1.5308499745511154E-2</v>
      </c>
      <c r="L125" s="76">
        <f t="shared" si="28"/>
        <v>8.1892090142828746E-3</v>
      </c>
    </row>
    <row r="126" spans="2:12" x14ac:dyDescent="0.25">
      <c r="B126" s="59" t="s">
        <v>587</v>
      </c>
      <c r="C126" s="76">
        <f>(-1*C73)/(-1*SUM(C$54,C$71:C$73))</f>
        <v>0.9914518843330371</v>
      </c>
      <c r="D126" s="76">
        <f t="shared" ref="D126:L126" si="29">(-1*D73)/(-1*SUM(D$54,D$71:D$73))</f>
        <v>0.98109436688671048</v>
      </c>
      <c r="E126" s="76">
        <f t="shared" si="29"/>
        <v>0.85059501056329534</v>
      </c>
      <c r="F126" s="76">
        <f t="shared" si="29"/>
        <v>0.92175928719326239</v>
      </c>
      <c r="G126" s="76">
        <f t="shared" si="29"/>
        <v>0.94603449973650111</v>
      </c>
      <c r="H126" s="76">
        <f t="shared" si="29"/>
        <v>0.18702228139847649</v>
      </c>
      <c r="I126" s="76">
        <f t="shared" si="29"/>
        <v>0.97837784878114131</v>
      </c>
      <c r="J126" s="76">
        <f t="shared" si="29"/>
        <v>0.94873556959785077</v>
      </c>
      <c r="K126" s="76">
        <f t="shared" si="29"/>
        <v>0.97949049119799236</v>
      </c>
      <c r="L126" s="76">
        <f t="shared" si="29"/>
        <v>0.9230263087842715</v>
      </c>
    </row>
    <row r="127" spans="2:12" x14ac:dyDescent="0.25">
      <c r="B127" s="59" t="s">
        <v>202</v>
      </c>
      <c r="C127" s="76">
        <f>SUM(C123:C126)</f>
        <v>1</v>
      </c>
      <c r="D127" s="76">
        <f t="shared" ref="D127:L127" si="30">SUM(D123:D126)</f>
        <v>1</v>
      </c>
      <c r="E127" s="76">
        <f t="shared" si="30"/>
        <v>1</v>
      </c>
      <c r="F127" s="76">
        <f t="shared" si="30"/>
        <v>1</v>
      </c>
      <c r="G127" s="76">
        <f t="shared" si="30"/>
        <v>1</v>
      </c>
      <c r="H127" s="76">
        <f t="shared" si="30"/>
        <v>1</v>
      </c>
      <c r="I127" s="76">
        <f t="shared" si="30"/>
        <v>1</v>
      </c>
      <c r="J127" s="76">
        <f t="shared" si="30"/>
        <v>1</v>
      </c>
      <c r="K127" s="76">
        <f t="shared" si="30"/>
        <v>1</v>
      </c>
      <c r="L127" s="76">
        <f t="shared" si="30"/>
        <v>1</v>
      </c>
    </row>
    <row r="128" spans="2:12" x14ac:dyDescent="0.25">
      <c r="B128" s="266"/>
      <c r="C128" s="266"/>
      <c r="D128" s="266"/>
      <c r="E128" s="266"/>
      <c r="F128" s="266"/>
      <c r="G128" s="266"/>
      <c r="H128" s="266"/>
      <c r="I128" s="266"/>
      <c r="J128" s="266"/>
      <c r="K128" s="266"/>
      <c r="L128" s="266"/>
    </row>
    <row r="129" spans="2:12" x14ac:dyDescent="0.25">
      <c r="B129" s="266"/>
      <c r="C129" s="266"/>
      <c r="D129" s="266"/>
      <c r="E129" s="266"/>
      <c r="F129" s="266"/>
      <c r="G129" s="266"/>
      <c r="H129" s="266"/>
      <c r="I129" s="266"/>
      <c r="J129" s="266"/>
      <c r="K129" s="266"/>
      <c r="L129" s="266"/>
    </row>
    <row r="130" spans="2:12" x14ac:dyDescent="0.25">
      <c r="B130" s="266"/>
      <c r="C130" s="266"/>
      <c r="D130" s="266"/>
      <c r="E130" s="266"/>
      <c r="F130" s="266"/>
      <c r="G130" s="266"/>
      <c r="H130" s="266"/>
      <c r="I130" s="266"/>
      <c r="J130" s="266"/>
      <c r="K130" s="266"/>
      <c r="L130" s="266"/>
    </row>
    <row r="131" spans="2:12" x14ac:dyDescent="0.25">
      <c r="B131" s="266"/>
      <c r="C131" s="266"/>
      <c r="D131" s="266"/>
      <c r="E131" s="266"/>
      <c r="F131" s="266"/>
      <c r="G131" s="266"/>
      <c r="H131" s="266"/>
      <c r="I131" s="266"/>
      <c r="J131" s="266"/>
      <c r="K131" s="266"/>
      <c r="L131" s="266"/>
    </row>
    <row r="132" spans="2:12" x14ac:dyDescent="0.25">
      <c r="B132" s="266"/>
      <c r="C132" s="266"/>
      <c r="D132" s="266"/>
      <c r="E132" s="266"/>
      <c r="F132" s="266"/>
      <c r="G132" s="266"/>
      <c r="H132" s="266"/>
      <c r="I132" s="266"/>
      <c r="J132" s="266"/>
      <c r="K132" s="266"/>
      <c r="L132" s="266"/>
    </row>
    <row r="133" spans="2:12" x14ac:dyDescent="0.25">
      <c r="B133" s="266"/>
      <c r="C133" s="266"/>
      <c r="D133" s="266"/>
      <c r="E133" s="266"/>
      <c r="F133" s="266"/>
      <c r="G133" s="266"/>
      <c r="H133" s="266"/>
      <c r="I133" s="266"/>
      <c r="J133" s="266"/>
      <c r="K133" s="266"/>
      <c r="L133" s="266"/>
    </row>
    <row r="134" spans="2:12" x14ac:dyDescent="0.25">
      <c r="B134" s="266"/>
      <c r="C134" s="266"/>
      <c r="D134" s="266"/>
      <c r="E134" s="266"/>
      <c r="F134" s="266"/>
      <c r="G134" s="266"/>
      <c r="H134" s="266"/>
      <c r="I134" s="266"/>
      <c r="J134" s="266"/>
      <c r="K134" s="266"/>
      <c r="L134" s="266"/>
    </row>
    <row r="135" spans="2:12" x14ac:dyDescent="0.25">
      <c r="B135" s="266"/>
      <c r="C135" s="266"/>
      <c r="D135" s="266"/>
      <c r="E135" s="266"/>
      <c r="F135" s="266"/>
      <c r="G135" s="266"/>
      <c r="H135" s="266"/>
      <c r="I135" s="266"/>
      <c r="J135" s="266"/>
      <c r="K135" s="266"/>
      <c r="L135" s="266"/>
    </row>
  </sheetData>
  <mergeCells count="19">
    <mergeCell ref="B120:B122"/>
    <mergeCell ref="C120:L120"/>
    <mergeCell ref="B51:B53"/>
    <mergeCell ref="C51:L51"/>
    <mergeCell ref="A93:B93"/>
    <mergeCell ref="B101:B103"/>
    <mergeCell ref="C101:L101"/>
    <mergeCell ref="A5:D5"/>
    <mergeCell ref="A7:A9"/>
    <mergeCell ref="A15:L15"/>
    <mergeCell ref="A16:A18"/>
    <mergeCell ref="C16:L16"/>
    <mergeCell ref="B16:B18"/>
    <mergeCell ref="A10:A11"/>
    <mergeCell ref="A40:B40"/>
    <mergeCell ref="A50:L50"/>
    <mergeCell ref="A51:A53"/>
    <mergeCell ref="A75:B75"/>
    <mergeCell ref="A84:B84"/>
  </mergeCells>
  <pageMargins left="0.7" right="0.7" top="0.75" bottom="0.75" header="0.3" footer="0.3"/>
  <pageSetup orientation="portrait" r:id="rId1"/>
  <ignoredErrors>
    <ignoredError sqref="C44:L44 C47:L47 D79:G79 D81:G81 D82:G82 I82:L82 D77:G77 I77:L77 D78:G78 I78:L78 I79:L79 I81:L81 C42:L43 C46:L46" formulaRange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69994-53D6-4A69-8B8A-3AF2CF3E477F}">
  <sheetPr codeName="Sheet8"/>
  <dimension ref="A1:AR112"/>
  <sheetViews>
    <sheetView tabSelected="1" zoomScale="85" zoomScaleNormal="85" workbookViewId="0">
      <selection activeCell="AM73" sqref="AM73"/>
    </sheetView>
  </sheetViews>
  <sheetFormatPr defaultRowHeight="15" x14ac:dyDescent="0.25"/>
  <sheetData>
    <row r="1" spans="1:33" ht="23.25" x14ac:dyDescent="0.35">
      <c r="A1" s="409" t="s">
        <v>203</v>
      </c>
      <c r="B1" s="410"/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1"/>
      <c r="Q1" s="412" t="s">
        <v>402</v>
      </c>
      <c r="R1" s="413"/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  <c r="AD1" s="413"/>
      <c r="AE1" s="413"/>
      <c r="AF1" s="413"/>
      <c r="AG1" s="414"/>
    </row>
    <row r="2" spans="1:33" x14ac:dyDescent="0.25">
      <c r="A2" s="50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51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51"/>
    </row>
    <row r="3" spans="1:33" x14ac:dyDescent="0.25">
      <c r="A3" s="50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51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51"/>
    </row>
    <row r="4" spans="1:33" x14ac:dyDescent="0.25">
      <c r="A4" s="50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51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51"/>
    </row>
    <row r="5" spans="1:33" x14ac:dyDescent="0.25">
      <c r="A5" s="50"/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51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51"/>
    </row>
    <row r="6" spans="1:33" x14ac:dyDescent="0.25">
      <c r="A6" s="50"/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51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51"/>
    </row>
    <row r="7" spans="1:33" x14ac:dyDescent="0.25">
      <c r="A7" s="50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51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51"/>
    </row>
    <row r="8" spans="1:33" x14ac:dyDescent="0.25">
      <c r="A8" s="50"/>
      <c r="B8" s="112"/>
      <c r="C8" s="112"/>
      <c r="D8" s="112"/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51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51"/>
    </row>
    <row r="9" spans="1:33" x14ac:dyDescent="0.25">
      <c r="A9" s="50"/>
      <c r="B9" s="112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51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51"/>
    </row>
    <row r="10" spans="1:33" x14ac:dyDescent="0.25">
      <c r="A10" s="50"/>
      <c r="B10" s="112"/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51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51"/>
    </row>
    <row r="11" spans="1:33" x14ac:dyDescent="0.25">
      <c r="A11" s="50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51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51"/>
    </row>
    <row r="12" spans="1:33" x14ac:dyDescent="0.25">
      <c r="A12" s="50"/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51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51"/>
    </row>
    <row r="13" spans="1:33" x14ac:dyDescent="0.25">
      <c r="A13" s="50"/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51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51"/>
    </row>
    <row r="14" spans="1:33" x14ac:dyDescent="0.25">
      <c r="A14" s="50"/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51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51"/>
    </row>
    <row r="15" spans="1:33" x14ac:dyDescent="0.25">
      <c r="A15" s="50"/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51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51"/>
    </row>
    <row r="16" spans="1:33" x14ac:dyDescent="0.25">
      <c r="A16" s="50"/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51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51"/>
    </row>
    <row r="17" spans="1:33" x14ac:dyDescent="0.25">
      <c r="A17" s="50"/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51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51"/>
    </row>
    <row r="18" spans="1:33" x14ac:dyDescent="0.25">
      <c r="A18" s="50"/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51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51"/>
    </row>
    <row r="19" spans="1:33" x14ac:dyDescent="0.25">
      <c r="A19" s="50"/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51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51"/>
    </row>
    <row r="20" spans="1:33" x14ac:dyDescent="0.25">
      <c r="A20" s="50"/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51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51"/>
    </row>
    <row r="21" spans="1:33" x14ac:dyDescent="0.25">
      <c r="A21" s="50"/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51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51"/>
    </row>
    <row r="22" spans="1:33" x14ac:dyDescent="0.25">
      <c r="A22" s="50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51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51"/>
    </row>
    <row r="23" spans="1:33" x14ac:dyDescent="0.25">
      <c r="A23" s="50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51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51"/>
    </row>
    <row r="24" spans="1:33" x14ac:dyDescent="0.25">
      <c r="A24" s="50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51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51"/>
    </row>
    <row r="25" spans="1:33" x14ac:dyDescent="0.25">
      <c r="A25" s="50"/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51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51"/>
    </row>
    <row r="26" spans="1:33" x14ac:dyDescent="0.25">
      <c r="A26" s="50"/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51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51"/>
    </row>
    <row r="27" spans="1:33" x14ac:dyDescent="0.25">
      <c r="A27" s="50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51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51"/>
    </row>
    <row r="28" spans="1:33" x14ac:dyDescent="0.25">
      <c r="A28" s="50"/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51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51"/>
    </row>
    <row r="29" spans="1:33" x14ac:dyDescent="0.25">
      <c r="A29" s="50"/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112"/>
      <c r="M29" s="112"/>
      <c r="N29" s="112"/>
      <c r="O29" s="112"/>
      <c r="P29" s="51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51"/>
    </row>
    <row r="30" spans="1:33" x14ac:dyDescent="0.25">
      <c r="A30" s="50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2"/>
      <c r="N30" s="112"/>
      <c r="O30" s="112"/>
      <c r="P30" s="51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51"/>
    </row>
    <row r="31" spans="1:33" x14ac:dyDescent="0.25">
      <c r="A31" s="50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51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51"/>
    </row>
    <row r="32" spans="1:33" x14ac:dyDescent="0.25">
      <c r="A32" s="50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51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51"/>
    </row>
    <row r="33" spans="1:44" x14ac:dyDescent="0.25">
      <c r="A33" s="50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51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51"/>
    </row>
    <row r="34" spans="1:44" x14ac:dyDescent="0.25">
      <c r="A34" s="50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51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51"/>
    </row>
    <row r="35" spans="1:44" x14ac:dyDescent="0.25">
      <c r="A35" s="50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51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51"/>
    </row>
    <row r="36" spans="1:44" x14ac:dyDescent="0.25">
      <c r="A36" s="50"/>
      <c r="B36" s="112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51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51"/>
    </row>
    <row r="37" spans="1:44" x14ac:dyDescent="0.25">
      <c r="A37" s="50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51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51"/>
    </row>
    <row r="38" spans="1:44" x14ac:dyDescent="0.25">
      <c r="A38" s="50"/>
      <c r="B38" s="112"/>
      <c r="C38" s="112"/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51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51"/>
    </row>
    <row r="39" spans="1:44" x14ac:dyDescent="0.25">
      <c r="A39" s="50"/>
      <c r="B39" s="112"/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51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51"/>
    </row>
    <row r="40" spans="1:44" x14ac:dyDescent="0.25">
      <c r="A40" s="50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51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51"/>
    </row>
    <row r="41" spans="1:44" x14ac:dyDescent="0.25">
      <c r="A41" s="50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51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51"/>
    </row>
    <row r="42" spans="1:44" x14ac:dyDescent="0.25">
      <c r="A42" s="50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51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81"/>
    </row>
    <row r="43" spans="1:44" x14ac:dyDescent="0.25">
      <c r="A43" s="50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51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51"/>
    </row>
    <row r="44" spans="1:44" ht="15.75" thickBot="1" x14ac:dyDescent="0.3">
      <c r="A44" s="50"/>
      <c r="B44" s="299"/>
      <c r="C44" s="299"/>
      <c r="D44" s="299"/>
      <c r="E44" s="299"/>
      <c r="F44" s="299"/>
      <c r="G44" s="299"/>
      <c r="H44" s="299"/>
      <c r="I44" s="299"/>
      <c r="J44" s="299"/>
      <c r="K44" s="299"/>
      <c r="L44" s="299"/>
      <c r="M44" s="299"/>
      <c r="N44" s="299"/>
      <c r="O44" s="299"/>
      <c r="P44" s="51"/>
      <c r="Q44" s="299"/>
      <c r="R44" s="299"/>
      <c r="S44" s="299"/>
      <c r="T44" s="299"/>
      <c r="U44" s="299"/>
      <c r="V44" s="299"/>
      <c r="W44" s="299"/>
      <c r="X44" s="299"/>
      <c r="Y44" s="299"/>
      <c r="Z44" s="299"/>
      <c r="AA44" s="299"/>
      <c r="AB44" s="299"/>
      <c r="AC44" s="299"/>
      <c r="AD44" s="299"/>
      <c r="AE44" s="299"/>
      <c r="AF44" s="299"/>
      <c r="AG44" s="51"/>
      <c r="AH44" s="287"/>
      <c r="AI44" s="287"/>
      <c r="AJ44" s="287"/>
      <c r="AK44" s="287"/>
      <c r="AL44" s="287"/>
      <c r="AM44" s="287"/>
      <c r="AN44" s="287"/>
    </row>
    <row r="45" spans="1:44" ht="23.25" x14ac:dyDescent="0.35">
      <c r="A45" s="415" t="s">
        <v>204</v>
      </c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  <c r="Q45" s="416"/>
      <c r="R45" s="416"/>
      <c r="S45" s="416"/>
      <c r="T45" s="416"/>
      <c r="U45" s="416"/>
      <c r="V45" s="416"/>
      <c r="W45" s="416"/>
      <c r="X45" s="416"/>
      <c r="Y45" s="416"/>
      <c r="Z45" s="416"/>
      <c r="AA45" s="416"/>
      <c r="AB45" s="416"/>
      <c r="AC45" s="416"/>
      <c r="AD45" s="416"/>
      <c r="AE45" s="416"/>
      <c r="AF45" s="416"/>
      <c r="AG45" s="417"/>
      <c r="AH45" s="287"/>
      <c r="AI45" s="287"/>
      <c r="AJ45" s="287"/>
      <c r="AK45" s="287"/>
      <c r="AL45" s="287"/>
      <c r="AM45" s="287"/>
      <c r="AN45" s="287"/>
      <c r="AO45" s="287"/>
      <c r="AP45" s="287"/>
      <c r="AQ45" s="287"/>
      <c r="AR45" s="287"/>
    </row>
    <row r="46" spans="1:44" x14ac:dyDescent="0.25">
      <c r="A46" s="50"/>
      <c r="B46" s="299"/>
      <c r="C46" s="299"/>
      <c r="D46" s="299"/>
      <c r="E46" s="299"/>
      <c r="F46" s="299"/>
      <c r="G46" s="299"/>
      <c r="H46" s="299"/>
      <c r="I46" s="299"/>
      <c r="J46" s="299"/>
      <c r="K46" s="299"/>
      <c r="L46" s="299"/>
      <c r="M46" s="299"/>
      <c r="N46" s="299"/>
      <c r="O46" s="299"/>
      <c r="P46" s="299"/>
      <c r="Q46" s="299"/>
      <c r="R46" s="299"/>
      <c r="S46" s="299"/>
      <c r="T46" s="299"/>
      <c r="U46" s="299"/>
      <c r="V46" s="299"/>
      <c r="W46" s="299"/>
      <c r="X46" s="299"/>
      <c r="Y46" s="299"/>
      <c r="Z46" s="299"/>
      <c r="AA46" s="299"/>
      <c r="AB46" s="299"/>
      <c r="AC46" s="299"/>
      <c r="AD46" s="299"/>
      <c r="AE46" s="299"/>
      <c r="AF46" s="299"/>
      <c r="AG46" s="51"/>
      <c r="AH46" s="287"/>
      <c r="AI46" s="287"/>
      <c r="AJ46" s="287"/>
      <c r="AK46" s="287"/>
      <c r="AL46" s="287"/>
      <c r="AM46" s="287"/>
      <c r="AN46" s="287"/>
      <c r="AO46" s="287"/>
      <c r="AP46" s="287"/>
      <c r="AQ46" s="287"/>
      <c r="AR46" s="287"/>
    </row>
    <row r="47" spans="1:44" x14ac:dyDescent="0.25">
      <c r="A47" s="50"/>
      <c r="B47" s="299"/>
      <c r="C47" s="299"/>
      <c r="D47" s="299"/>
      <c r="E47" s="299"/>
      <c r="F47" s="299"/>
      <c r="G47" s="299"/>
      <c r="H47" s="299"/>
      <c r="I47" s="299"/>
      <c r="J47" s="299"/>
      <c r="K47" s="299"/>
      <c r="L47" s="299"/>
      <c r="M47" s="299"/>
      <c r="N47" s="299"/>
      <c r="O47" s="299"/>
      <c r="P47" s="299"/>
      <c r="Q47" s="299"/>
      <c r="R47" s="299"/>
      <c r="S47" s="299"/>
      <c r="T47" s="299"/>
      <c r="U47" s="299"/>
      <c r="V47" s="299"/>
      <c r="W47" s="299"/>
      <c r="X47" s="299"/>
      <c r="Y47" s="299"/>
      <c r="Z47" s="299"/>
      <c r="AA47" s="299"/>
      <c r="AB47" s="299"/>
      <c r="AC47" s="299"/>
      <c r="AD47" s="299"/>
      <c r="AE47" s="299"/>
      <c r="AF47" s="299"/>
      <c r="AG47" s="51"/>
      <c r="AH47" s="287"/>
      <c r="AI47" s="287"/>
      <c r="AJ47" s="287"/>
      <c r="AK47" s="287"/>
      <c r="AL47" s="287"/>
      <c r="AM47" s="287"/>
      <c r="AN47" s="287"/>
      <c r="AO47" s="287"/>
      <c r="AP47" s="287"/>
      <c r="AQ47" s="287"/>
      <c r="AR47" s="287"/>
    </row>
    <row r="48" spans="1:44" x14ac:dyDescent="0.25">
      <c r="A48" s="50"/>
      <c r="B48" s="299"/>
      <c r="C48" s="299"/>
      <c r="D48" s="299"/>
      <c r="E48" s="299"/>
      <c r="F48" s="299"/>
      <c r="G48" s="299"/>
      <c r="H48" s="299"/>
      <c r="I48" s="299"/>
      <c r="J48" s="299"/>
      <c r="K48" s="299"/>
      <c r="L48" s="299"/>
      <c r="M48" s="299"/>
      <c r="N48" s="299"/>
      <c r="O48" s="299"/>
      <c r="P48" s="299"/>
      <c r="Q48" s="299"/>
      <c r="R48" s="299"/>
      <c r="S48" s="299"/>
      <c r="T48" s="299"/>
      <c r="U48" s="299"/>
      <c r="V48" s="299"/>
      <c r="W48" s="299"/>
      <c r="X48" s="299"/>
      <c r="Y48" s="299"/>
      <c r="Z48" s="299"/>
      <c r="AA48" s="299"/>
      <c r="AB48" s="299"/>
      <c r="AC48" s="299"/>
      <c r="AD48" s="299"/>
      <c r="AE48" s="299"/>
      <c r="AF48" s="299"/>
      <c r="AG48" s="51"/>
      <c r="AH48" s="287"/>
      <c r="AI48" s="287"/>
      <c r="AJ48" s="287"/>
      <c r="AK48" s="287"/>
      <c r="AL48" s="287"/>
      <c r="AM48" s="287"/>
      <c r="AN48" s="287"/>
      <c r="AO48" s="287"/>
      <c r="AP48" s="287"/>
      <c r="AQ48" s="287"/>
      <c r="AR48" s="287"/>
    </row>
    <row r="49" spans="1:44" x14ac:dyDescent="0.25">
      <c r="A49" s="50"/>
      <c r="B49" s="299"/>
      <c r="C49" s="299"/>
      <c r="D49" s="299"/>
      <c r="E49" s="299"/>
      <c r="F49" s="299"/>
      <c r="G49" s="299"/>
      <c r="H49" s="299"/>
      <c r="I49" s="299"/>
      <c r="J49" s="299"/>
      <c r="K49" s="299"/>
      <c r="L49" s="299"/>
      <c r="M49" s="299"/>
      <c r="N49" s="299"/>
      <c r="O49" s="299"/>
      <c r="P49" s="299"/>
      <c r="Q49" s="299"/>
      <c r="R49" s="299"/>
      <c r="S49" s="299"/>
      <c r="T49" s="299"/>
      <c r="U49" s="299"/>
      <c r="V49" s="299"/>
      <c r="W49" s="299"/>
      <c r="X49" s="299"/>
      <c r="Y49" s="299"/>
      <c r="Z49" s="299"/>
      <c r="AA49" s="299"/>
      <c r="AB49" s="299"/>
      <c r="AC49" s="299"/>
      <c r="AD49" s="299"/>
      <c r="AE49" s="299"/>
      <c r="AF49" s="299"/>
      <c r="AG49" s="51"/>
      <c r="AH49" s="287"/>
      <c r="AI49" s="287"/>
      <c r="AJ49" s="287"/>
      <c r="AK49" s="287"/>
      <c r="AL49" s="287"/>
      <c r="AM49" s="287"/>
      <c r="AN49" s="287"/>
      <c r="AO49" s="287"/>
      <c r="AP49" s="287"/>
      <c r="AQ49" s="287"/>
      <c r="AR49" s="287"/>
    </row>
    <row r="50" spans="1:44" x14ac:dyDescent="0.25">
      <c r="A50" s="50"/>
      <c r="B50" s="299"/>
      <c r="C50" s="299"/>
      <c r="D50" s="299"/>
      <c r="E50" s="299"/>
      <c r="F50" s="299"/>
      <c r="G50" s="299"/>
      <c r="H50" s="299"/>
      <c r="I50" s="299"/>
      <c r="J50" s="299"/>
      <c r="K50" s="299"/>
      <c r="L50" s="299"/>
      <c r="M50" s="299"/>
      <c r="N50" s="299"/>
      <c r="O50" s="299"/>
      <c r="P50" s="299"/>
      <c r="Q50" s="299"/>
      <c r="R50" s="299"/>
      <c r="S50" s="299"/>
      <c r="T50" s="299"/>
      <c r="U50" s="299"/>
      <c r="V50" s="299"/>
      <c r="W50" s="299"/>
      <c r="X50" s="299"/>
      <c r="Y50" s="299"/>
      <c r="Z50" s="299"/>
      <c r="AA50" s="299"/>
      <c r="AB50" s="299"/>
      <c r="AC50" s="299"/>
      <c r="AD50" s="299"/>
      <c r="AE50" s="299"/>
      <c r="AF50" s="299"/>
      <c r="AG50" s="51"/>
      <c r="AH50" s="287"/>
      <c r="AI50" s="287"/>
      <c r="AJ50" s="287"/>
      <c r="AK50" s="287"/>
      <c r="AL50" s="287"/>
      <c r="AM50" s="287"/>
      <c r="AN50" s="287"/>
      <c r="AO50" s="287"/>
      <c r="AP50" s="287"/>
      <c r="AQ50" s="287"/>
      <c r="AR50" s="287"/>
    </row>
    <row r="51" spans="1:44" x14ac:dyDescent="0.25">
      <c r="A51" s="50"/>
      <c r="B51" s="299"/>
      <c r="C51" s="299"/>
      <c r="D51" s="299"/>
      <c r="E51" s="299"/>
      <c r="F51" s="299"/>
      <c r="G51" s="299"/>
      <c r="H51" s="299"/>
      <c r="I51" s="299"/>
      <c r="J51" s="299"/>
      <c r="K51" s="299"/>
      <c r="L51" s="299"/>
      <c r="M51" s="299"/>
      <c r="N51" s="299"/>
      <c r="O51" s="299"/>
      <c r="P51" s="299"/>
      <c r="Q51" s="299"/>
      <c r="R51" s="299"/>
      <c r="S51" s="299"/>
      <c r="T51" s="299"/>
      <c r="U51" s="299"/>
      <c r="V51" s="299"/>
      <c r="W51" s="299"/>
      <c r="X51" s="299"/>
      <c r="Y51" s="299"/>
      <c r="Z51" s="299"/>
      <c r="AA51" s="299"/>
      <c r="AB51" s="299"/>
      <c r="AC51" s="299"/>
      <c r="AD51" s="299"/>
      <c r="AE51" s="299"/>
      <c r="AF51" s="299"/>
      <c r="AG51" s="51"/>
      <c r="AH51" s="287"/>
      <c r="AI51" s="287"/>
      <c r="AJ51" s="287"/>
      <c r="AK51" s="287"/>
      <c r="AL51" s="287"/>
      <c r="AM51" s="287"/>
      <c r="AN51" s="287"/>
      <c r="AO51" s="287"/>
      <c r="AP51" s="287"/>
      <c r="AQ51" s="287"/>
      <c r="AR51" s="287"/>
    </row>
    <row r="52" spans="1:44" x14ac:dyDescent="0.25">
      <c r="A52" s="50"/>
      <c r="B52" s="299"/>
      <c r="C52" s="299"/>
      <c r="D52" s="299"/>
      <c r="E52" s="299"/>
      <c r="F52" s="299"/>
      <c r="G52" s="299"/>
      <c r="H52" s="299"/>
      <c r="I52" s="299"/>
      <c r="J52" s="299"/>
      <c r="K52" s="299"/>
      <c r="L52" s="299"/>
      <c r="M52" s="299"/>
      <c r="N52" s="299"/>
      <c r="O52" s="299"/>
      <c r="P52" s="299"/>
      <c r="Q52" s="299"/>
      <c r="R52" s="299"/>
      <c r="S52" s="299"/>
      <c r="T52" s="299"/>
      <c r="U52" s="299"/>
      <c r="V52" s="299"/>
      <c r="W52" s="299"/>
      <c r="X52" s="299"/>
      <c r="Y52" s="299"/>
      <c r="Z52" s="299"/>
      <c r="AA52" s="299"/>
      <c r="AB52" s="299"/>
      <c r="AC52" s="299"/>
      <c r="AD52" s="299"/>
      <c r="AE52" s="299"/>
      <c r="AF52" s="299"/>
      <c r="AG52" s="51"/>
      <c r="AH52" s="287"/>
      <c r="AI52" s="287"/>
      <c r="AJ52" s="287"/>
      <c r="AK52" s="287"/>
      <c r="AL52" s="287"/>
      <c r="AM52" s="287"/>
      <c r="AN52" s="287"/>
      <c r="AO52" s="287"/>
      <c r="AP52" s="287"/>
      <c r="AQ52" s="287"/>
      <c r="AR52" s="287"/>
    </row>
    <row r="53" spans="1:44" x14ac:dyDescent="0.25">
      <c r="A53" s="50"/>
      <c r="B53" s="299"/>
      <c r="C53" s="299"/>
      <c r="D53" s="299"/>
      <c r="E53" s="299"/>
      <c r="F53" s="299"/>
      <c r="G53" s="299"/>
      <c r="H53" s="299"/>
      <c r="I53" s="299"/>
      <c r="J53" s="299"/>
      <c r="K53" s="299"/>
      <c r="L53" s="299"/>
      <c r="M53" s="299"/>
      <c r="N53" s="299"/>
      <c r="O53" s="299"/>
      <c r="P53" s="299"/>
      <c r="Q53" s="299"/>
      <c r="R53" s="299"/>
      <c r="S53" s="299"/>
      <c r="T53" s="299"/>
      <c r="U53" s="299"/>
      <c r="V53" s="299"/>
      <c r="W53" s="299"/>
      <c r="X53" s="299"/>
      <c r="Y53" s="299"/>
      <c r="Z53" s="299"/>
      <c r="AA53" s="299"/>
      <c r="AB53" s="299"/>
      <c r="AC53" s="299"/>
      <c r="AD53" s="299"/>
      <c r="AE53" s="299"/>
      <c r="AF53" s="299"/>
      <c r="AG53" s="51"/>
      <c r="AH53" s="287"/>
      <c r="AI53" s="287"/>
      <c r="AJ53" s="287"/>
      <c r="AK53" s="287"/>
      <c r="AL53" s="287"/>
      <c r="AM53" s="287"/>
      <c r="AN53" s="287"/>
      <c r="AO53" s="287"/>
      <c r="AP53" s="287"/>
      <c r="AQ53" s="287"/>
      <c r="AR53" s="287"/>
    </row>
    <row r="54" spans="1:44" x14ac:dyDescent="0.25">
      <c r="A54" s="50"/>
      <c r="B54" s="299"/>
      <c r="C54" s="299"/>
      <c r="D54" s="299"/>
      <c r="E54" s="299"/>
      <c r="F54" s="299"/>
      <c r="G54" s="299"/>
      <c r="H54" s="299"/>
      <c r="I54" s="299"/>
      <c r="J54" s="299"/>
      <c r="K54" s="299"/>
      <c r="L54" s="299"/>
      <c r="M54" s="299"/>
      <c r="N54" s="299"/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299"/>
      <c r="AB54" s="299"/>
      <c r="AC54" s="299"/>
      <c r="AD54" s="299"/>
      <c r="AE54" s="299"/>
      <c r="AF54" s="299"/>
      <c r="AG54" s="51"/>
      <c r="AH54" s="287"/>
      <c r="AI54" s="287"/>
      <c r="AJ54" s="287"/>
      <c r="AK54" s="287"/>
      <c r="AL54" s="287"/>
      <c r="AM54" s="287"/>
      <c r="AN54" s="287"/>
      <c r="AO54" s="287"/>
      <c r="AP54" s="287"/>
      <c r="AQ54" s="287"/>
      <c r="AR54" s="287"/>
    </row>
    <row r="55" spans="1:44" x14ac:dyDescent="0.25">
      <c r="A55" s="50"/>
      <c r="B55" s="299"/>
      <c r="C55" s="299"/>
      <c r="D55" s="299"/>
      <c r="E55" s="299"/>
      <c r="F55" s="299"/>
      <c r="G55" s="299"/>
      <c r="H55" s="299"/>
      <c r="I55" s="299"/>
      <c r="J55" s="299"/>
      <c r="K55" s="299"/>
      <c r="L55" s="299"/>
      <c r="M55" s="299"/>
      <c r="N55" s="299"/>
      <c r="O55" s="299"/>
      <c r="P55" s="299"/>
      <c r="Q55" s="299"/>
      <c r="R55" s="299"/>
      <c r="S55" s="299"/>
      <c r="T55" s="299"/>
      <c r="U55" s="299"/>
      <c r="V55" s="299"/>
      <c r="W55" s="299"/>
      <c r="X55" s="299"/>
      <c r="Y55" s="299"/>
      <c r="Z55" s="299"/>
      <c r="AA55" s="299"/>
      <c r="AB55" s="299"/>
      <c r="AC55" s="299"/>
      <c r="AD55" s="299"/>
      <c r="AE55" s="299"/>
      <c r="AF55" s="299"/>
      <c r="AG55" s="51"/>
      <c r="AH55" s="287"/>
      <c r="AI55" s="287"/>
      <c r="AJ55" s="287"/>
      <c r="AK55" s="287"/>
      <c r="AL55" s="287"/>
      <c r="AM55" s="287"/>
      <c r="AN55" s="287"/>
      <c r="AO55" s="287"/>
      <c r="AP55" s="287"/>
      <c r="AQ55" s="287"/>
      <c r="AR55" s="287"/>
    </row>
    <row r="56" spans="1:44" x14ac:dyDescent="0.25">
      <c r="A56" s="50"/>
      <c r="B56" s="299"/>
      <c r="C56" s="299"/>
      <c r="D56" s="299"/>
      <c r="E56" s="299"/>
      <c r="F56" s="299"/>
      <c r="G56" s="299"/>
      <c r="H56" s="299"/>
      <c r="I56" s="299"/>
      <c r="J56" s="299"/>
      <c r="K56" s="299"/>
      <c r="L56" s="299"/>
      <c r="M56" s="299"/>
      <c r="N56" s="299"/>
      <c r="O56" s="299"/>
      <c r="P56" s="299"/>
      <c r="Q56" s="299"/>
      <c r="R56" s="299"/>
      <c r="S56" s="299"/>
      <c r="T56" s="299"/>
      <c r="U56" s="299"/>
      <c r="V56" s="299"/>
      <c r="W56" s="299"/>
      <c r="X56" s="299"/>
      <c r="Y56" s="299"/>
      <c r="Z56" s="299"/>
      <c r="AA56" s="299"/>
      <c r="AB56" s="299"/>
      <c r="AC56" s="299"/>
      <c r="AD56" s="299"/>
      <c r="AE56" s="299"/>
      <c r="AF56" s="299"/>
      <c r="AG56" s="51"/>
      <c r="AH56" s="287"/>
      <c r="AI56" s="287"/>
      <c r="AJ56" s="287"/>
      <c r="AK56" s="287"/>
      <c r="AL56" s="287"/>
      <c r="AM56" s="287"/>
      <c r="AN56" s="287"/>
      <c r="AO56" s="287"/>
      <c r="AP56" s="287"/>
      <c r="AQ56" s="287"/>
      <c r="AR56" s="287"/>
    </row>
    <row r="57" spans="1:44" x14ac:dyDescent="0.25">
      <c r="A57" s="50"/>
      <c r="B57" s="299"/>
      <c r="C57" s="299"/>
      <c r="D57" s="299"/>
      <c r="E57" s="299"/>
      <c r="F57" s="299"/>
      <c r="G57" s="299"/>
      <c r="H57" s="299"/>
      <c r="I57" s="299"/>
      <c r="J57" s="299"/>
      <c r="K57" s="299"/>
      <c r="L57" s="299"/>
      <c r="M57" s="299"/>
      <c r="N57" s="299"/>
      <c r="O57" s="299"/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299"/>
      <c r="AB57" s="299"/>
      <c r="AC57" s="299"/>
      <c r="AD57" s="299"/>
      <c r="AE57" s="299"/>
      <c r="AF57" s="299"/>
      <c r="AG57" s="51"/>
      <c r="AH57" s="287"/>
      <c r="AI57" s="287"/>
      <c r="AJ57" s="287"/>
      <c r="AK57" s="287"/>
      <c r="AL57" s="287"/>
      <c r="AM57" s="287"/>
      <c r="AN57" s="287"/>
      <c r="AO57" s="287"/>
      <c r="AP57" s="287"/>
      <c r="AQ57" s="287"/>
      <c r="AR57" s="287"/>
    </row>
    <row r="58" spans="1:44" x14ac:dyDescent="0.25">
      <c r="A58" s="50"/>
      <c r="B58" s="299"/>
      <c r="C58" s="299"/>
      <c r="D58" s="299"/>
      <c r="E58" s="299"/>
      <c r="F58" s="299"/>
      <c r="G58" s="299"/>
      <c r="H58" s="299"/>
      <c r="I58" s="299"/>
      <c r="J58" s="299"/>
      <c r="K58" s="299"/>
      <c r="L58" s="299"/>
      <c r="M58" s="299"/>
      <c r="N58" s="299"/>
      <c r="O58" s="299"/>
      <c r="P58" s="299"/>
      <c r="Q58" s="299"/>
      <c r="R58" s="299"/>
      <c r="S58" s="299"/>
      <c r="T58" s="299"/>
      <c r="U58" s="299"/>
      <c r="V58" s="299"/>
      <c r="W58" s="299"/>
      <c r="X58" s="299"/>
      <c r="Y58" s="299"/>
      <c r="Z58" s="299"/>
      <c r="AA58" s="299"/>
      <c r="AB58" s="299"/>
      <c r="AC58" s="299"/>
      <c r="AD58" s="299"/>
      <c r="AE58" s="299"/>
      <c r="AF58" s="299"/>
      <c r="AG58" s="51"/>
      <c r="AH58" s="287"/>
      <c r="AI58" s="287"/>
      <c r="AJ58" s="287"/>
      <c r="AK58" s="287"/>
      <c r="AL58" s="287"/>
      <c r="AM58" s="287"/>
      <c r="AN58" s="287"/>
      <c r="AO58" s="287"/>
      <c r="AP58" s="287"/>
      <c r="AQ58" s="287"/>
      <c r="AR58" s="287"/>
    </row>
    <row r="59" spans="1:44" x14ac:dyDescent="0.25">
      <c r="A59" s="50"/>
      <c r="B59" s="299"/>
      <c r="C59" s="299"/>
      <c r="D59" s="299"/>
      <c r="E59" s="299"/>
      <c r="F59" s="299"/>
      <c r="G59" s="299"/>
      <c r="H59" s="299"/>
      <c r="I59" s="299"/>
      <c r="J59" s="299"/>
      <c r="K59" s="299"/>
      <c r="L59" s="299"/>
      <c r="M59" s="299"/>
      <c r="N59" s="299"/>
      <c r="O59" s="299"/>
      <c r="P59" s="299"/>
      <c r="Q59" s="299"/>
      <c r="R59" s="299"/>
      <c r="S59" s="299"/>
      <c r="T59" s="299"/>
      <c r="U59" s="299"/>
      <c r="V59" s="299"/>
      <c r="W59" s="299"/>
      <c r="X59" s="299"/>
      <c r="Y59" s="299"/>
      <c r="Z59" s="299"/>
      <c r="AA59" s="299"/>
      <c r="AB59" s="299"/>
      <c r="AC59" s="299"/>
      <c r="AD59" s="299"/>
      <c r="AE59" s="299"/>
      <c r="AF59" s="299"/>
      <c r="AG59" s="51"/>
      <c r="AH59" s="287"/>
      <c r="AI59" s="287"/>
      <c r="AJ59" s="287"/>
      <c r="AK59" s="287"/>
      <c r="AL59" s="287"/>
      <c r="AM59" s="287"/>
      <c r="AN59" s="287"/>
      <c r="AO59" s="287"/>
      <c r="AP59" s="287"/>
      <c r="AQ59" s="287"/>
      <c r="AR59" s="287"/>
    </row>
    <row r="60" spans="1:44" x14ac:dyDescent="0.25">
      <c r="A60" s="50"/>
      <c r="B60" s="299"/>
      <c r="C60" s="299"/>
      <c r="D60" s="299"/>
      <c r="E60" s="299"/>
      <c r="F60" s="299"/>
      <c r="G60" s="299"/>
      <c r="H60" s="299"/>
      <c r="I60" s="299"/>
      <c r="J60" s="299"/>
      <c r="K60" s="299"/>
      <c r="L60" s="299"/>
      <c r="M60" s="299"/>
      <c r="N60" s="299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/>
      <c r="AB60" s="299"/>
      <c r="AC60" s="299"/>
      <c r="AD60" s="299"/>
      <c r="AE60" s="299"/>
      <c r="AF60" s="299"/>
      <c r="AG60" s="51"/>
      <c r="AH60" s="287"/>
      <c r="AI60" s="287"/>
      <c r="AJ60" s="287"/>
      <c r="AK60" s="287"/>
      <c r="AL60" s="287"/>
      <c r="AM60" s="287"/>
      <c r="AN60" s="287"/>
      <c r="AO60" s="287"/>
      <c r="AP60" s="287"/>
      <c r="AQ60" s="287"/>
      <c r="AR60" s="287"/>
    </row>
    <row r="61" spans="1:44" x14ac:dyDescent="0.25">
      <c r="A61" s="50"/>
      <c r="B61" s="299"/>
      <c r="C61" s="299"/>
      <c r="D61" s="299"/>
      <c r="E61" s="299"/>
      <c r="F61" s="299"/>
      <c r="G61" s="299"/>
      <c r="H61" s="299"/>
      <c r="I61" s="299"/>
      <c r="J61" s="299"/>
      <c r="K61" s="299"/>
      <c r="L61" s="299"/>
      <c r="M61" s="299"/>
      <c r="N61" s="299"/>
      <c r="O61" s="299"/>
      <c r="P61" s="299"/>
      <c r="Q61" s="299"/>
      <c r="R61" s="299"/>
      <c r="S61" s="299"/>
      <c r="T61" s="299"/>
      <c r="U61" s="299"/>
      <c r="V61" s="299"/>
      <c r="W61" s="299"/>
      <c r="X61" s="299"/>
      <c r="Y61" s="299"/>
      <c r="Z61" s="299"/>
      <c r="AA61" s="299"/>
      <c r="AB61" s="299"/>
      <c r="AC61" s="299"/>
      <c r="AD61" s="299"/>
      <c r="AE61" s="299"/>
      <c r="AF61" s="299"/>
      <c r="AG61" s="51"/>
      <c r="AH61" s="287"/>
      <c r="AI61" s="287"/>
      <c r="AJ61" s="287"/>
      <c r="AK61" s="287"/>
      <c r="AL61" s="287"/>
      <c r="AM61" s="287"/>
      <c r="AN61" s="287"/>
      <c r="AO61" s="287"/>
      <c r="AP61" s="287"/>
      <c r="AQ61" s="287"/>
      <c r="AR61" s="287"/>
    </row>
    <row r="62" spans="1:44" x14ac:dyDescent="0.25">
      <c r="A62" s="50"/>
      <c r="B62" s="299"/>
      <c r="C62" s="299"/>
      <c r="D62" s="299"/>
      <c r="E62" s="299"/>
      <c r="F62" s="299"/>
      <c r="G62" s="299"/>
      <c r="H62" s="299"/>
      <c r="I62" s="299"/>
      <c r="J62" s="299"/>
      <c r="K62" s="299"/>
      <c r="L62" s="299"/>
      <c r="M62" s="299"/>
      <c r="N62" s="299"/>
      <c r="O62" s="299"/>
      <c r="P62" s="299"/>
      <c r="Q62" s="299"/>
      <c r="R62" s="299"/>
      <c r="S62" s="299"/>
      <c r="T62" s="299"/>
      <c r="U62" s="299"/>
      <c r="V62" s="299"/>
      <c r="W62" s="299"/>
      <c r="X62" s="299"/>
      <c r="Y62" s="299"/>
      <c r="Z62" s="299"/>
      <c r="AA62" s="299"/>
      <c r="AB62" s="299"/>
      <c r="AC62" s="299"/>
      <c r="AD62" s="299"/>
      <c r="AE62" s="299"/>
      <c r="AF62" s="299"/>
      <c r="AG62" s="51"/>
      <c r="AH62" s="287"/>
      <c r="AI62" s="287"/>
      <c r="AJ62" s="287"/>
      <c r="AK62" s="287"/>
      <c r="AL62" s="287"/>
      <c r="AM62" s="287"/>
      <c r="AN62" s="287"/>
      <c r="AO62" s="287"/>
      <c r="AP62" s="287"/>
      <c r="AQ62" s="287"/>
      <c r="AR62" s="287"/>
    </row>
    <row r="63" spans="1:44" x14ac:dyDescent="0.25">
      <c r="A63" s="50"/>
      <c r="B63" s="299"/>
      <c r="C63" s="299"/>
      <c r="D63" s="299"/>
      <c r="E63" s="299"/>
      <c r="F63" s="299"/>
      <c r="G63" s="299"/>
      <c r="H63" s="299"/>
      <c r="I63" s="299"/>
      <c r="J63" s="299"/>
      <c r="K63" s="299"/>
      <c r="L63" s="299"/>
      <c r="M63" s="299"/>
      <c r="N63" s="299"/>
      <c r="O63" s="299"/>
      <c r="P63" s="299"/>
      <c r="Q63" s="299"/>
      <c r="R63" s="299"/>
      <c r="S63" s="299"/>
      <c r="T63" s="299"/>
      <c r="U63" s="299"/>
      <c r="V63" s="299"/>
      <c r="W63" s="299"/>
      <c r="X63" s="299"/>
      <c r="Y63" s="299"/>
      <c r="Z63" s="299"/>
      <c r="AA63" s="299"/>
      <c r="AB63" s="299"/>
      <c r="AC63" s="299"/>
      <c r="AD63" s="299"/>
      <c r="AE63" s="299"/>
      <c r="AF63" s="299"/>
      <c r="AG63" s="51"/>
      <c r="AH63" s="287"/>
      <c r="AI63" s="287"/>
      <c r="AJ63" s="287"/>
      <c r="AK63" s="287"/>
      <c r="AL63" s="287"/>
      <c r="AM63" s="287"/>
      <c r="AN63" s="287"/>
      <c r="AO63" s="287"/>
      <c r="AP63" s="287"/>
      <c r="AQ63" s="287"/>
      <c r="AR63" s="287"/>
    </row>
    <row r="64" spans="1:44" x14ac:dyDescent="0.25">
      <c r="A64" s="50"/>
      <c r="B64" s="299"/>
      <c r="C64" s="299"/>
      <c r="D64" s="299"/>
      <c r="E64" s="299"/>
      <c r="F64" s="299"/>
      <c r="G64" s="299"/>
      <c r="H64" s="299"/>
      <c r="I64" s="299"/>
      <c r="J64" s="299"/>
      <c r="K64" s="299"/>
      <c r="L64" s="299"/>
      <c r="M64" s="299"/>
      <c r="N64" s="299"/>
      <c r="O64" s="299"/>
      <c r="P64" s="299"/>
      <c r="Q64" s="299"/>
      <c r="R64" s="299"/>
      <c r="S64" s="299"/>
      <c r="T64" s="299"/>
      <c r="U64" s="299"/>
      <c r="V64" s="299"/>
      <c r="W64" s="299"/>
      <c r="X64" s="299"/>
      <c r="Y64" s="299"/>
      <c r="Z64" s="299"/>
      <c r="AA64" s="299"/>
      <c r="AB64" s="299"/>
      <c r="AC64" s="299"/>
      <c r="AD64" s="299"/>
      <c r="AE64" s="299"/>
      <c r="AF64" s="299"/>
      <c r="AG64" s="51"/>
      <c r="AH64" s="287"/>
      <c r="AI64" s="287"/>
      <c r="AJ64" s="287"/>
      <c r="AK64" s="287"/>
      <c r="AL64" s="287"/>
      <c r="AM64" s="287"/>
      <c r="AN64" s="287"/>
      <c r="AO64" s="287"/>
      <c r="AP64" s="287"/>
      <c r="AQ64" s="287"/>
      <c r="AR64" s="287"/>
    </row>
    <row r="65" spans="1:44" x14ac:dyDescent="0.25">
      <c r="A65" s="50"/>
      <c r="B65" s="299"/>
      <c r="C65" s="299"/>
      <c r="D65" s="299"/>
      <c r="E65" s="299"/>
      <c r="F65" s="299"/>
      <c r="G65" s="299"/>
      <c r="H65" s="299"/>
      <c r="I65" s="299"/>
      <c r="J65" s="299"/>
      <c r="K65" s="299"/>
      <c r="L65" s="299"/>
      <c r="M65" s="299"/>
      <c r="N65" s="299"/>
      <c r="O65" s="299"/>
      <c r="P65" s="299"/>
      <c r="Q65" s="299"/>
      <c r="R65" s="299"/>
      <c r="S65" s="299"/>
      <c r="T65" s="299"/>
      <c r="U65" s="299"/>
      <c r="V65" s="299"/>
      <c r="W65" s="299"/>
      <c r="X65" s="299"/>
      <c r="Y65" s="299"/>
      <c r="Z65" s="299"/>
      <c r="AA65" s="299"/>
      <c r="AB65" s="299"/>
      <c r="AC65" s="299"/>
      <c r="AD65" s="299"/>
      <c r="AE65" s="299"/>
      <c r="AF65" s="299"/>
      <c r="AG65" s="51"/>
      <c r="AH65" s="287"/>
      <c r="AI65" s="287"/>
      <c r="AJ65" s="287"/>
      <c r="AK65" s="287"/>
      <c r="AL65" s="287"/>
      <c r="AM65" s="287"/>
      <c r="AN65" s="287"/>
      <c r="AO65" s="287"/>
      <c r="AP65" s="287"/>
      <c r="AQ65" s="287"/>
      <c r="AR65" s="287"/>
    </row>
    <row r="66" spans="1:44" x14ac:dyDescent="0.25">
      <c r="A66" s="50"/>
      <c r="B66" s="299"/>
      <c r="C66" s="299"/>
      <c r="D66" s="299"/>
      <c r="E66" s="299"/>
      <c r="F66" s="299"/>
      <c r="G66" s="299"/>
      <c r="H66" s="299"/>
      <c r="I66" s="299"/>
      <c r="J66" s="299"/>
      <c r="K66" s="299"/>
      <c r="L66" s="299"/>
      <c r="M66" s="299"/>
      <c r="N66" s="299"/>
      <c r="O66" s="299"/>
      <c r="P66" s="299"/>
      <c r="Q66" s="299"/>
      <c r="R66" s="299"/>
      <c r="S66" s="299"/>
      <c r="T66" s="299"/>
      <c r="U66" s="299"/>
      <c r="V66" s="299"/>
      <c r="W66" s="299"/>
      <c r="X66" s="299"/>
      <c r="Y66" s="299"/>
      <c r="Z66" s="299"/>
      <c r="AA66" s="299"/>
      <c r="AB66" s="299"/>
      <c r="AC66" s="299"/>
      <c r="AD66" s="299"/>
      <c r="AE66" s="299"/>
      <c r="AF66" s="299"/>
      <c r="AG66" s="51"/>
      <c r="AH66" s="287"/>
      <c r="AI66" s="287"/>
      <c r="AJ66" s="287"/>
      <c r="AK66" s="287"/>
      <c r="AL66" s="287"/>
      <c r="AM66" s="287"/>
      <c r="AN66" s="287"/>
      <c r="AO66" s="287"/>
      <c r="AP66" s="287"/>
      <c r="AQ66" s="287"/>
      <c r="AR66" s="287"/>
    </row>
    <row r="67" spans="1:44" x14ac:dyDescent="0.25">
      <c r="A67" s="50"/>
      <c r="B67" s="299"/>
      <c r="C67" s="299"/>
      <c r="D67" s="299"/>
      <c r="E67" s="299"/>
      <c r="F67" s="299"/>
      <c r="G67" s="299"/>
      <c r="H67" s="299"/>
      <c r="I67" s="299"/>
      <c r="J67" s="299"/>
      <c r="K67" s="299"/>
      <c r="L67" s="299"/>
      <c r="M67" s="299"/>
      <c r="N67" s="299"/>
      <c r="O67" s="299"/>
      <c r="P67" s="299"/>
      <c r="Q67" s="299"/>
      <c r="R67" s="299"/>
      <c r="S67" s="299"/>
      <c r="T67" s="299"/>
      <c r="U67" s="299"/>
      <c r="V67" s="299"/>
      <c r="W67" s="299"/>
      <c r="X67" s="299"/>
      <c r="Y67" s="299"/>
      <c r="Z67" s="299"/>
      <c r="AA67" s="299"/>
      <c r="AB67" s="299"/>
      <c r="AC67" s="299"/>
      <c r="AD67" s="299"/>
      <c r="AE67" s="299"/>
      <c r="AF67" s="299"/>
      <c r="AG67" s="51"/>
      <c r="AH67" s="287"/>
      <c r="AI67" s="287"/>
      <c r="AJ67" s="287"/>
      <c r="AK67" s="287"/>
      <c r="AL67" s="287"/>
      <c r="AM67" s="287"/>
      <c r="AN67" s="287"/>
      <c r="AO67" s="287"/>
      <c r="AP67" s="287"/>
      <c r="AQ67" s="287"/>
      <c r="AR67" s="287"/>
    </row>
    <row r="68" spans="1:44" x14ac:dyDescent="0.25">
      <c r="A68" s="50"/>
      <c r="B68" s="299"/>
      <c r="C68" s="299"/>
      <c r="D68" s="299"/>
      <c r="E68" s="299"/>
      <c r="F68" s="299"/>
      <c r="G68" s="299"/>
      <c r="H68" s="299"/>
      <c r="I68" s="299"/>
      <c r="J68" s="299"/>
      <c r="K68" s="299"/>
      <c r="L68" s="299"/>
      <c r="M68" s="299"/>
      <c r="N68" s="299"/>
      <c r="O68" s="299"/>
      <c r="P68" s="299"/>
      <c r="Q68" s="299"/>
      <c r="R68" s="299"/>
      <c r="S68" s="299"/>
      <c r="T68" s="299"/>
      <c r="U68" s="299"/>
      <c r="V68" s="299"/>
      <c r="W68" s="299"/>
      <c r="X68" s="299"/>
      <c r="Y68" s="299"/>
      <c r="Z68" s="299"/>
      <c r="AA68" s="299"/>
      <c r="AB68" s="299"/>
      <c r="AC68" s="299"/>
      <c r="AD68" s="299"/>
      <c r="AE68" s="299"/>
      <c r="AF68" s="299"/>
      <c r="AG68" s="51"/>
      <c r="AH68" s="287"/>
      <c r="AI68" s="287"/>
      <c r="AJ68" s="287"/>
      <c r="AK68" s="287"/>
      <c r="AL68" s="287"/>
      <c r="AM68" s="287"/>
      <c r="AN68" s="287"/>
      <c r="AO68" s="287"/>
      <c r="AP68" s="287"/>
      <c r="AQ68" s="287"/>
      <c r="AR68" s="287"/>
    </row>
    <row r="69" spans="1:44" x14ac:dyDescent="0.25">
      <c r="A69" s="50"/>
      <c r="B69" s="299"/>
      <c r="C69" s="299"/>
      <c r="D69" s="299"/>
      <c r="E69" s="299"/>
      <c r="F69" s="299"/>
      <c r="G69" s="299"/>
      <c r="H69" s="299"/>
      <c r="I69" s="299"/>
      <c r="J69" s="299"/>
      <c r="K69" s="299"/>
      <c r="L69" s="299"/>
      <c r="M69" s="299"/>
      <c r="N69" s="299"/>
      <c r="O69" s="299"/>
      <c r="P69" s="299"/>
      <c r="Q69" s="299"/>
      <c r="R69" s="299"/>
      <c r="S69" s="299"/>
      <c r="T69" s="299"/>
      <c r="U69" s="299"/>
      <c r="V69" s="299"/>
      <c r="W69" s="299"/>
      <c r="X69" s="299"/>
      <c r="Y69" s="299"/>
      <c r="Z69" s="299"/>
      <c r="AA69" s="299"/>
      <c r="AB69" s="299"/>
      <c r="AC69" s="299"/>
      <c r="AD69" s="299"/>
      <c r="AE69" s="299"/>
      <c r="AF69" s="299"/>
      <c r="AG69" s="51"/>
      <c r="AH69" s="287"/>
      <c r="AI69" s="287"/>
      <c r="AJ69" s="287"/>
      <c r="AK69" s="287"/>
      <c r="AL69" s="287"/>
      <c r="AM69" s="287"/>
      <c r="AN69" s="287"/>
      <c r="AO69" s="287"/>
      <c r="AP69" s="287"/>
      <c r="AQ69" s="287"/>
      <c r="AR69" s="287"/>
    </row>
    <row r="70" spans="1:44" x14ac:dyDescent="0.25">
      <c r="A70" s="50"/>
      <c r="B70" s="299"/>
      <c r="C70" s="299"/>
      <c r="D70" s="299"/>
      <c r="E70" s="299"/>
      <c r="F70" s="299"/>
      <c r="G70" s="299"/>
      <c r="H70" s="299"/>
      <c r="I70" s="299"/>
      <c r="J70" s="299"/>
      <c r="K70" s="299"/>
      <c r="L70" s="299"/>
      <c r="M70" s="299"/>
      <c r="N70" s="299"/>
      <c r="O70" s="299"/>
      <c r="P70" s="299"/>
      <c r="Q70" s="299"/>
      <c r="R70" s="299"/>
      <c r="S70" s="299"/>
      <c r="T70" s="299"/>
      <c r="U70" s="299"/>
      <c r="V70" s="299"/>
      <c r="W70" s="299"/>
      <c r="X70" s="299"/>
      <c r="Y70" s="299"/>
      <c r="Z70" s="299"/>
      <c r="AA70" s="299"/>
      <c r="AB70" s="299"/>
      <c r="AC70" s="299"/>
      <c r="AD70" s="299"/>
      <c r="AE70" s="299"/>
      <c r="AF70" s="299"/>
      <c r="AG70" s="51"/>
      <c r="AH70" s="287"/>
      <c r="AI70" s="287"/>
      <c r="AJ70" s="287"/>
      <c r="AK70" s="287"/>
      <c r="AL70" s="287"/>
      <c r="AM70" s="287"/>
      <c r="AN70" s="287"/>
      <c r="AO70" s="287"/>
      <c r="AP70" s="287"/>
      <c r="AQ70" s="287"/>
      <c r="AR70" s="287"/>
    </row>
    <row r="71" spans="1:44" x14ac:dyDescent="0.25">
      <c r="A71" s="50"/>
      <c r="B71" s="299"/>
      <c r="C71" s="299"/>
      <c r="D71" s="299"/>
      <c r="E71" s="299"/>
      <c r="F71" s="299"/>
      <c r="G71" s="299"/>
      <c r="H71" s="299"/>
      <c r="I71" s="299"/>
      <c r="J71" s="299"/>
      <c r="K71" s="299"/>
      <c r="L71" s="299"/>
      <c r="M71" s="299"/>
      <c r="N71" s="299"/>
      <c r="O71" s="299"/>
      <c r="P71" s="299"/>
      <c r="Q71" s="299"/>
      <c r="R71" s="299"/>
      <c r="S71" s="299"/>
      <c r="T71" s="299"/>
      <c r="U71" s="299"/>
      <c r="V71" s="299"/>
      <c r="W71" s="299"/>
      <c r="X71" s="299"/>
      <c r="Y71" s="299"/>
      <c r="Z71" s="299"/>
      <c r="AA71" s="299"/>
      <c r="AB71" s="299"/>
      <c r="AC71" s="299"/>
      <c r="AD71" s="299"/>
      <c r="AE71" s="299"/>
      <c r="AF71" s="299"/>
      <c r="AG71" s="51"/>
      <c r="AH71" s="287"/>
      <c r="AI71" s="287"/>
      <c r="AJ71" s="287"/>
      <c r="AK71" s="287"/>
      <c r="AL71" s="287"/>
      <c r="AM71" s="287"/>
      <c r="AN71" s="287"/>
      <c r="AO71" s="287"/>
      <c r="AP71" s="287"/>
      <c r="AQ71" s="287"/>
      <c r="AR71" s="287"/>
    </row>
    <row r="72" spans="1:44" x14ac:dyDescent="0.25">
      <c r="A72" s="50"/>
      <c r="B72" s="299"/>
      <c r="C72" s="299"/>
      <c r="D72" s="299"/>
      <c r="E72" s="299"/>
      <c r="F72" s="299"/>
      <c r="G72" s="299"/>
      <c r="H72" s="299"/>
      <c r="I72" s="299"/>
      <c r="J72" s="299"/>
      <c r="K72" s="299"/>
      <c r="L72" s="299"/>
      <c r="M72" s="299"/>
      <c r="N72" s="299"/>
      <c r="O72" s="299"/>
      <c r="P72" s="299"/>
      <c r="Q72" s="299"/>
      <c r="R72" s="299"/>
      <c r="S72" s="299"/>
      <c r="T72" s="299"/>
      <c r="U72" s="299"/>
      <c r="V72" s="299"/>
      <c r="W72" s="299"/>
      <c r="X72" s="299"/>
      <c r="Y72" s="299"/>
      <c r="Z72" s="299"/>
      <c r="AA72" s="299"/>
      <c r="AB72" s="299"/>
      <c r="AC72" s="299"/>
      <c r="AD72" s="299"/>
      <c r="AE72" s="299"/>
      <c r="AF72" s="299"/>
      <c r="AG72" s="51"/>
      <c r="AH72" s="287"/>
      <c r="AI72" s="287"/>
      <c r="AJ72" s="287"/>
      <c r="AK72" s="287"/>
      <c r="AL72" s="287"/>
      <c r="AM72" s="287"/>
      <c r="AN72" s="287"/>
      <c r="AO72" s="287"/>
      <c r="AP72" s="287"/>
      <c r="AQ72" s="287"/>
      <c r="AR72" s="287"/>
    </row>
    <row r="73" spans="1:44" x14ac:dyDescent="0.25">
      <c r="A73" s="50"/>
      <c r="B73" s="299"/>
      <c r="C73" s="299"/>
      <c r="D73" s="299"/>
      <c r="E73" s="299"/>
      <c r="F73" s="299"/>
      <c r="G73" s="299"/>
      <c r="H73" s="299"/>
      <c r="I73" s="299"/>
      <c r="J73" s="299"/>
      <c r="K73" s="299"/>
      <c r="L73" s="299"/>
      <c r="M73" s="299"/>
      <c r="N73" s="299"/>
      <c r="O73" s="299"/>
      <c r="P73" s="299"/>
      <c r="Q73" s="299"/>
      <c r="R73" s="299"/>
      <c r="S73" s="299"/>
      <c r="T73" s="299"/>
      <c r="U73" s="299"/>
      <c r="V73" s="299"/>
      <c r="W73" s="299"/>
      <c r="X73" s="299"/>
      <c r="Y73" s="299"/>
      <c r="Z73" s="299"/>
      <c r="AA73" s="299"/>
      <c r="AB73" s="299"/>
      <c r="AC73" s="299"/>
      <c r="AD73" s="299"/>
      <c r="AE73" s="299"/>
      <c r="AF73" s="299"/>
      <c r="AG73" s="51"/>
      <c r="AH73" s="287"/>
      <c r="AI73" s="287"/>
      <c r="AJ73" s="287"/>
      <c r="AK73" s="287"/>
      <c r="AL73" s="287"/>
      <c r="AM73" s="287"/>
      <c r="AN73" s="287"/>
      <c r="AO73" s="287"/>
      <c r="AP73" s="287"/>
      <c r="AQ73" s="287"/>
      <c r="AR73" s="287"/>
    </row>
    <row r="74" spans="1:44" x14ac:dyDescent="0.25">
      <c r="A74" s="50"/>
      <c r="B74" s="299"/>
      <c r="C74" s="299"/>
      <c r="D74" s="299"/>
      <c r="E74" s="299"/>
      <c r="F74" s="299"/>
      <c r="G74" s="299"/>
      <c r="H74" s="299"/>
      <c r="I74" s="299"/>
      <c r="J74" s="299"/>
      <c r="K74" s="299"/>
      <c r="L74" s="299"/>
      <c r="M74" s="299"/>
      <c r="N74" s="299"/>
      <c r="O74" s="299"/>
      <c r="P74" s="299"/>
      <c r="Q74" s="299"/>
      <c r="R74" s="299"/>
      <c r="S74" s="299"/>
      <c r="T74" s="299"/>
      <c r="U74" s="299"/>
      <c r="V74" s="299"/>
      <c r="W74" s="299"/>
      <c r="X74" s="299"/>
      <c r="Y74" s="299"/>
      <c r="Z74" s="299"/>
      <c r="AA74" s="299"/>
      <c r="AB74" s="299"/>
      <c r="AC74" s="299"/>
      <c r="AD74" s="299"/>
      <c r="AE74" s="299"/>
      <c r="AF74" s="299"/>
      <c r="AG74" s="51"/>
      <c r="AH74" s="287"/>
      <c r="AI74" s="287"/>
      <c r="AJ74" s="287"/>
      <c r="AK74" s="287"/>
      <c r="AL74" s="287"/>
      <c r="AM74" s="287"/>
      <c r="AN74" s="287"/>
      <c r="AO74" s="287"/>
      <c r="AP74" s="287"/>
      <c r="AQ74" s="287"/>
      <c r="AR74" s="287"/>
    </row>
    <row r="75" spans="1:44" x14ac:dyDescent="0.25">
      <c r="A75" s="50"/>
      <c r="B75" s="299"/>
      <c r="C75" s="299"/>
      <c r="D75" s="299"/>
      <c r="E75" s="299"/>
      <c r="F75" s="299"/>
      <c r="G75" s="299"/>
      <c r="H75" s="299"/>
      <c r="I75" s="299"/>
      <c r="J75" s="299"/>
      <c r="K75" s="299"/>
      <c r="L75" s="299"/>
      <c r="M75" s="299"/>
      <c r="N75" s="299"/>
      <c r="O75" s="299"/>
      <c r="P75" s="299"/>
      <c r="Q75" s="299"/>
      <c r="R75" s="299"/>
      <c r="S75" s="299"/>
      <c r="T75" s="299"/>
      <c r="U75" s="299"/>
      <c r="V75" s="299"/>
      <c r="W75" s="299"/>
      <c r="X75" s="299"/>
      <c r="Y75" s="299"/>
      <c r="Z75" s="299"/>
      <c r="AA75" s="299"/>
      <c r="AB75" s="299"/>
      <c r="AC75" s="299"/>
      <c r="AD75" s="299"/>
      <c r="AE75" s="299"/>
      <c r="AF75" s="299"/>
      <c r="AG75" s="51"/>
      <c r="AH75" s="287"/>
      <c r="AI75" s="287"/>
      <c r="AJ75" s="287"/>
      <c r="AK75" s="287"/>
      <c r="AL75" s="287"/>
      <c r="AM75" s="287"/>
      <c r="AN75" s="287"/>
      <c r="AO75" s="287"/>
      <c r="AP75" s="287"/>
      <c r="AQ75" s="287"/>
      <c r="AR75" s="287"/>
    </row>
    <row r="76" spans="1:44" x14ac:dyDescent="0.25">
      <c r="A76" s="50"/>
      <c r="B76" s="299"/>
      <c r="C76" s="299"/>
      <c r="D76" s="299"/>
      <c r="E76" s="299"/>
      <c r="F76" s="299"/>
      <c r="G76" s="299"/>
      <c r="H76" s="299"/>
      <c r="I76" s="299"/>
      <c r="J76" s="299"/>
      <c r="K76" s="299"/>
      <c r="L76" s="299"/>
      <c r="M76" s="299"/>
      <c r="N76" s="299"/>
      <c r="O76" s="299"/>
      <c r="P76" s="299"/>
      <c r="Q76" s="299"/>
      <c r="R76" s="299"/>
      <c r="S76" s="299"/>
      <c r="T76" s="299"/>
      <c r="U76" s="299"/>
      <c r="V76" s="299"/>
      <c r="W76" s="299"/>
      <c r="X76" s="299"/>
      <c r="Y76" s="299"/>
      <c r="Z76" s="299"/>
      <c r="AA76" s="299"/>
      <c r="AB76" s="299"/>
      <c r="AC76" s="299"/>
      <c r="AD76" s="299"/>
      <c r="AE76" s="299"/>
      <c r="AF76" s="299"/>
      <c r="AG76" s="51"/>
      <c r="AH76" s="287"/>
      <c r="AI76" s="287"/>
      <c r="AJ76" s="287"/>
      <c r="AK76" s="287"/>
      <c r="AL76" s="287"/>
      <c r="AM76" s="287"/>
      <c r="AN76" s="287"/>
      <c r="AO76" s="287"/>
      <c r="AP76" s="287"/>
      <c r="AQ76" s="287"/>
      <c r="AR76" s="287"/>
    </row>
    <row r="77" spans="1:44" x14ac:dyDescent="0.25">
      <c r="A77" s="50"/>
      <c r="B77" s="299"/>
      <c r="C77" s="299"/>
      <c r="D77" s="299"/>
      <c r="E77" s="299"/>
      <c r="F77" s="299"/>
      <c r="G77" s="299"/>
      <c r="H77" s="299"/>
      <c r="I77" s="299"/>
      <c r="J77" s="299"/>
      <c r="K77" s="299"/>
      <c r="L77" s="299"/>
      <c r="M77" s="299"/>
      <c r="N77" s="299"/>
      <c r="O77" s="299"/>
      <c r="P77" s="299"/>
      <c r="Q77" s="299"/>
      <c r="R77" s="299"/>
      <c r="S77" s="299"/>
      <c r="T77" s="299"/>
      <c r="U77" s="299"/>
      <c r="V77" s="299"/>
      <c r="W77" s="299"/>
      <c r="X77" s="299"/>
      <c r="Y77" s="299"/>
      <c r="Z77" s="299"/>
      <c r="AA77" s="299"/>
      <c r="AB77" s="299"/>
      <c r="AC77" s="299"/>
      <c r="AD77" s="299"/>
      <c r="AE77" s="299"/>
      <c r="AF77" s="299"/>
      <c r="AG77" s="51"/>
      <c r="AH77" s="287"/>
      <c r="AI77" s="287"/>
      <c r="AJ77" s="287"/>
      <c r="AK77" s="287"/>
      <c r="AL77" s="287"/>
      <c r="AM77" s="287"/>
      <c r="AN77" s="287"/>
      <c r="AO77" s="287"/>
      <c r="AP77" s="287"/>
      <c r="AQ77" s="287"/>
      <c r="AR77" s="287"/>
    </row>
    <row r="78" spans="1:44" x14ac:dyDescent="0.25">
      <c r="A78" s="50"/>
      <c r="B78" s="299"/>
      <c r="C78" s="299"/>
      <c r="D78" s="299"/>
      <c r="E78" s="299"/>
      <c r="F78" s="299"/>
      <c r="G78" s="299"/>
      <c r="H78" s="299"/>
      <c r="I78" s="299"/>
      <c r="J78" s="299"/>
      <c r="K78" s="299"/>
      <c r="L78" s="299"/>
      <c r="M78" s="299"/>
      <c r="N78" s="299"/>
      <c r="O78" s="299"/>
      <c r="P78" s="299"/>
      <c r="Q78" s="299"/>
      <c r="R78" s="299"/>
      <c r="S78" s="299"/>
      <c r="T78" s="299"/>
      <c r="U78" s="299"/>
      <c r="V78" s="299"/>
      <c r="W78" s="299"/>
      <c r="X78" s="299"/>
      <c r="Y78" s="299"/>
      <c r="Z78" s="299"/>
      <c r="AA78" s="299"/>
      <c r="AB78" s="299"/>
      <c r="AC78" s="299"/>
      <c r="AD78" s="299"/>
      <c r="AE78" s="299"/>
      <c r="AF78" s="299"/>
      <c r="AG78" s="51"/>
      <c r="AH78" s="287"/>
      <c r="AI78" s="287"/>
      <c r="AJ78" s="287"/>
      <c r="AK78" s="287"/>
      <c r="AL78" s="287"/>
      <c r="AM78" s="287"/>
      <c r="AN78" s="287"/>
      <c r="AO78" s="287"/>
      <c r="AP78" s="287"/>
      <c r="AQ78" s="287"/>
      <c r="AR78" s="287"/>
    </row>
    <row r="79" spans="1:44" x14ac:dyDescent="0.25">
      <c r="A79" s="50"/>
      <c r="B79" s="299"/>
      <c r="C79" s="299"/>
      <c r="D79" s="299"/>
      <c r="E79" s="299"/>
      <c r="F79" s="299"/>
      <c r="G79" s="299"/>
      <c r="H79" s="299"/>
      <c r="I79" s="299"/>
      <c r="J79" s="299"/>
      <c r="K79" s="299"/>
      <c r="L79" s="299"/>
      <c r="M79" s="299"/>
      <c r="N79" s="299"/>
      <c r="O79" s="299"/>
      <c r="P79" s="299"/>
      <c r="Q79" s="299"/>
      <c r="R79" s="299"/>
      <c r="S79" s="299"/>
      <c r="T79" s="299"/>
      <c r="U79" s="299"/>
      <c r="V79" s="299"/>
      <c r="W79" s="299"/>
      <c r="X79" s="299"/>
      <c r="Y79" s="299"/>
      <c r="Z79" s="299"/>
      <c r="AA79" s="299"/>
      <c r="AB79" s="299"/>
      <c r="AC79" s="299"/>
      <c r="AD79" s="299"/>
      <c r="AE79" s="299"/>
      <c r="AF79" s="299"/>
      <c r="AG79" s="51"/>
      <c r="AH79" s="287"/>
      <c r="AI79" s="287"/>
      <c r="AJ79" s="287"/>
      <c r="AK79" s="287"/>
      <c r="AL79" s="287"/>
      <c r="AM79" s="287"/>
      <c r="AN79" s="287"/>
      <c r="AO79" s="287"/>
      <c r="AP79" s="287"/>
      <c r="AQ79" s="287"/>
      <c r="AR79" s="287"/>
    </row>
    <row r="80" spans="1:44" x14ac:dyDescent="0.25">
      <c r="A80" s="50"/>
      <c r="B80" s="299"/>
      <c r="C80" s="299"/>
      <c r="D80" s="299"/>
      <c r="E80" s="299"/>
      <c r="F80" s="299"/>
      <c r="G80" s="299"/>
      <c r="H80" s="299"/>
      <c r="I80" s="299"/>
      <c r="J80" s="299"/>
      <c r="K80" s="299"/>
      <c r="L80" s="299"/>
      <c r="M80" s="299"/>
      <c r="N80" s="299"/>
      <c r="O80" s="299"/>
      <c r="P80" s="299"/>
      <c r="Q80" s="299"/>
      <c r="R80" s="299"/>
      <c r="S80" s="299"/>
      <c r="T80" s="299"/>
      <c r="U80" s="299"/>
      <c r="V80" s="299"/>
      <c r="W80" s="299"/>
      <c r="X80" s="299"/>
      <c r="Y80" s="299"/>
      <c r="Z80" s="299"/>
      <c r="AA80" s="299"/>
      <c r="AB80" s="299"/>
      <c r="AC80" s="299"/>
      <c r="AD80" s="299"/>
      <c r="AE80" s="299"/>
      <c r="AF80" s="299"/>
      <c r="AG80" s="51"/>
      <c r="AH80" s="287"/>
      <c r="AI80" s="287"/>
      <c r="AJ80" s="287"/>
      <c r="AK80" s="287"/>
      <c r="AL80" s="287"/>
      <c r="AM80" s="287"/>
      <c r="AN80" s="287"/>
      <c r="AO80" s="287"/>
      <c r="AP80" s="287"/>
      <c r="AQ80" s="287"/>
      <c r="AR80" s="287"/>
    </row>
    <row r="81" spans="1:44" x14ac:dyDescent="0.25">
      <c r="A81" s="50"/>
      <c r="B81" s="299"/>
      <c r="C81" s="299"/>
      <c r="D81" s="299"/>
      <c r="E81" s="299"/>
      <c r="F81" s="299"/>
      <c r="G81" s="299"/>
      <c r="H81" s="299"/>
      <c r="I81" s="299"/>
      <c r="J81" s="299"/>
      <c r="K81" s="299"/>
      <c r="L81" s="299"/>
      <c r="M81" s="299"/>
      <c r="N81" s="299"/>
      <c r="O81" s="299"/>
      <c r="P81" s="299"/>
      <c r="Q81" s="299"/>
      <c r="R81" s="299"/>
      <c r="S81" s="299"/>
      <c r="T81" s="299"/>
      <c r="U81" s="299"/>
      <c r="V81" s="299"/>
      <c r="W81" s="299"/>
      <c r="X81" s="299"/>
      <c r="Y81" s="299"/>
      <c r="Z81" s="299"/>
      <c r="AA81" s="299"/>
      <c r="AB81" s="299"/>
      <c r="AC81" s="299"/>
      <c r="AD81" s="299"/>
      <c r="AE81" s="299"/>
      <c r="AF81" s="299"/>
      <c r="AG81" s="51"/>
      <c r="AH81" s="287"/>
      <c r="AI81" s="287"/>
      <c r="AJ81" s="287"/>
      <c r="AK81" s="287"/>
      <c r="AL81" s="287"/>
      <c r="AM81" s="287"/>
      <c r="AN81" s="287"/>
      <c r="AO81" s="287"/>
      <c r="AP81" s="287"/>
      <c r="AQ81" s="287"/>
      <c r="AR81" s="287"/>
    </row>
    <row r="82" spans="1:44" x14ac:dyDescent="0.25">
      <c r="A82" s="50"/>
      <c r="B82" s="299"/>
      <c r="C82" s="299"/>
      <c r="D82" s="299"/>
      <c r="E82" s="299"/>
      <c r="F82" s="299"/>
      <c r="G82" s="299"/>
      <c r="H82" s="299"/>
      <c r="I82" s="299"/>
      <c r="J82" s="299"/>
      <c r="K82" s="299"/>
      <c r="L82" s="299"/>
      <c r="M82" s="299"/>
      <c r="N82" s="299"/>
      <c r="O82" s="299"/>
      <c r="P82" s="299"/>
      <c r="Q82" s="299"/>
      <c r="R82" s="299"/>
      <c r="S82" s="299"/>
      <c r="T82" s="299"/>
      <c r="U82" s="299"/>
      <c r="V82" s="299"/>
      <c r="W82" s="299"/>
      <c r="X82" s="299"/>
      <c r="Y82" s="299"/>
      <c r="Z82" s="299"/>
      <c r="AA82" s="299"/>
      <c r="AB82" s="299"/>
      <c r="AC82" s="299"/>
      <c r="AD82" s="299"/>
      <c r="AE82" s="299"/>
      <c r="AF82" s="299"/>
      <c r="AG82" s="51"/>
      <c r="AH82" s="287"/>
      <c r="AI82" s="287"/>
      <c r="AJ82" s="287"/>
      <c r="AK82" s="287"/>
      <c r="AL82" s="287"/>
      <c r="AM82" s="287"/>
      <c r="AN82" s="287"/>
      <c r="AO82" s="287"/>
      <c r="AP82" s="287"/>
      <c r="AQ82" s="287"/>
      <c r="AR82" s="287"/>
    </row>
    <row r="83" spans="1:44" x14ac:dyDescent="0.25">
      <c r="A83" s="50"/>
      <c r="B83" s="299"/>
      <c r="C83" s="299"/>
      <c r="D83" s="299"/>
      <c r="E83" s="299"/>
      <c r="F83" s="299"/>
      <c r="G83" s="299"/>
      <c r="H83" s="299"/>
      <c r="I83" s="299"/>
      <c r="J83" s="299"/>
      <c r="K83" s="299"/>
      <c r="L83" s="299"/>
      <c r="M83" s="299"/>
      <c r="N83" s="299"/>
      <c r="O83" s="299"/>
      <c r="P83" s="299"/>
      <c r="Q83" s="299"/>
      <c r="R83" s="299"/>
      <c r="S83" s="299"/>
      <c r="T83" s="299"/>
      <c r="U83" s="299"/>
      <c r="V83" s="299"/>
      <c r="W83" s="299"/>
      <c r="X83" s="299"/>
      <c r="Y83" s="299"/>
      <c r="Z83" s="299"/>
      <c r="AA83" s="299"/>
      <c r="AB83" s="299"/>
      <c r="AC83" s="299"/>
      <c r="AD83" s="299"/>
      <c r="AE83" s="299"/>
      <c r="AF83" s="299"/>
      <c r="AG83" s="51"/>
      <c r="AH83" s="287"/>
      <c r="AI83" s="287"/>
      <c r="AJ83" s="287"/>
      <c r="AK83" s="287"/>
      <c r="AL83" s="287"/>
      <c r="AM83" s="287"/>
      <c r="AN83" s="287"/>
      <c r="AO83" s="287"/>
      <c r="AP83" s="287"/>
      <c r="AQ83" s="287"/>
      <c r="AR83" s="287"/>
    </row>
    <row r="84" spans="1:44" x14ac:dyDescent="0.25">
      <c r="A84" s="50"/>
      <c r="B84" s="299"/>
      <c r="C84" s="299"/>
      <c r="D84" s="299"/>
      <c r="E84" s="299"/>
      <c r="F84" s="299"/>
      <c r="G84" s="299"/>
      <c r="H84" s="299"/>
      <c r="I84" s="299"/>
      <c r="J84" s="299"/>
      <c r="K84" s="299"/>
      <c r="L84" s="299"/>
      <c r="M84" s="299"/>
      <c r="N84" s="299"/>
      <c r="O84" s="299"/>
      <c r="P84" s="299"/>
      <c r="Q84" s="299"/>
      <c r="R84" s="299"/>
      <c r="S84" s="299"/>
      <c r="T84" s="299"/>
      <c r="U84" s="299"/>
      <c r="V84" s="299"/>
      <c r="W84" s="299"/>
      <c r="X84" s="299"/>
      <c r="Y84" s="299"/>
      <c r="Z84" s="299"/>
      <c r="AA84" s="299"/>
      <c r="AB84" s="299"/>
      <c r="AC84" s="299"/>
      <c r="AD84" s="299"/>
      <c r="AE84" s="299"/>
      <c r="AF84" s="299"/>
      <c r="AG84" s="51"/>
      <c r="AH84" s="287"/>
      <c r="AI84" s="287"/>
      <c r="AJ84" s="287"/>
      <c r="AK84" s="287"/>
      <c r="AL84" s="287"/>
      <c r="AM84" s="287"/>
      <c r="AN84" s="287"/>
      <c r="AO84" s="287"/>
      <c r="AP84" s="287"/>
      <c r="AQ84" s="287"/>
      <c r="AR84" s="287"/>
    </row>
    <row r="85" spans="1:44" x14ac:dyDescent="0.25">
      <c r="A85" s="50"/>
      <c r="B85" s="299"/>
      <c r="C85" s="299"/>
      <c r="D85" s="299"/>
      <c r="E85" s="299"/>
      <c r="F85" s="299"/>
      <c r="G85" s="299"/>
      <c r="H85" s="299"/>
      <c r="I85" s="299"/>
      <c r="J85" s="299"/>
      <c r="K85" s="299"/>
      <c r="L85" s="299"/>
      <c r="M85" s="299"/>
      <c r="N85" s="299"/>
      <c r="O85" s="299"/>
      <c r="P85" s="299"/>
      <c r="Q85" s="299"/>
      <c r="R85" s="299"/>
      <c r="S85" s="299"/>
      <c r="T85" s="299"/>
      <c r="U85" s="299"/>
      <c r="V85" s="299"/>
      <c r="W85" s="299"/>
      <c r="X85" s="299"/>
      <c r="Y85" s="299"/>
      <c r="Z85" s="299"/>
      <c r="AA85" s="299"/>
      <c r="AB85" s="299"/>
      <c r="AC85" s="299"/>
      <c r="AD85" s="299"/>
      <c r="AE85" s="299"/>
      <c r="AF85" s="299"/>
      <c r="AG85" s="51"/>
      <c r="AH85" s="287"/>
      <c r="AI85" s="287"/>
      <c r="AJ85" s="287"/>
      <c r="AK85" s="287"/>
      <c r="AL85" s="287"/>
      <c r="AM85" s="287"/>
      <c r="AN85" s="287"/>
      <c r="AO85" s="287"/>
      <c r="AP85" s="287"/>
      <c r="AQ85" s="287"/>
      <c r="AR85" s="287"/>
    </row>
    <row r="86" spans="1:44" x14ac:dyDescent="0.25">
      <c r="A86" s="50"/>
      <c r="B86" s="299"/>
      <c r="C86" s="299"/>
      <c r="D86" s="299"/>
      <c r="E86" s="299"/>
      <c r="F86" s="299"/>
      <c r="G86" s="299"/>
      <c r="H86" s="299"/>
      <c r="I86" s="299"/>
      <c r="J86" s="299"/>
      <c r="K86" s="299"/>
      <c r="L86" s="299"/>
      <c r="M86" s="299"/>
      <c r="N86" s="299"/>
      <c r="O86" s="299"/>
      <c r="P86" s="299"/>
      <c r="Q86" s="299"/>
      <c r="R86" s="299"/>
      <c r="S86" s="299"/>
      <c r="T86" s="299"/>
      <c r="U86" s="299"/>
      <c r="V86" s="299"/>
      <c r="W86" s="299"/>
      <c r="X86" s="299"/>
      <c r="Y86" s="299"/>
      <c r="Z86" s="299"/>
      <c r="AA86" s="299"/>
      <c r="AB86" s="299"/>
      <c r="AC86" s="299"/>
      <c r="AD86" s="299"/>
      <c r="AE86" s="299"/>
      <c r="AF86" s="299"/>
      <c r="AG86" s="51"/>
      <c r="AH86" s="287"/>
      <c r="AI86" s="287"/>
      <c r="AJ86" s="287"/>
      <c r="AK86" s="287"/>
      <c r="AL86" s="287"/>
      <c r="AM86" s="287"/>
      <c r="AN86" s="287"/>
      <c r="AO86" s="287"/>
      <c r="AP86" s="287"/>
      <c r="AQ86" s="287"/>
      <c r="AR86" s="287"/>
    </row>
    <row r="87" spans="1:44" x14ac:dyDescent="0.25">
      <c r="A87" s="50"/>
      <c r="B87" s="299"/>
      <c r="C87" s="299"/>
      <c r="D87" s="299"/>
      <c r="E87" s="299"/>
      <c r="F87" s="299"/>
      <c r="G87" s="299"/>
      <c r="H87" s="299"/>
      <c r="I87" s="299"/>
      <c r="J87" s="299"/>
      <c r="K87" s="299"/>
      <c r="L87" s="299"/>
      <c r="M87" s="299"/>
      <c r="N87" s="299"/>
      <c r="O87" s="299"/>
      <c r="P87" s="299"/>
      <c r="Q87" s="299"/>
      <c r="R87" s="299"/>
      <c r="S87" s="299"/>
      <c r="T87" s="299"/>
      <c r="U87" s="299"/>
      <c r="V87" s="299"/>
      <c r="W87" s="299"/>
      <c r="X87" s="299"/>
      <c r="Y87" s="299"/>
      <c r="Z87" s="299"/>
      <c r="AA87" s="299"/>
      <c r="AB87" s="299"/>
      <c r="AC87" s="299"/>
      <c r="AD87" s="299"/>
      <c r="AE87" s="299"/>
      <c r="AF87" s="299"/>
      <c r="AG87" s="51"/>
      <c r="AH87" s="287"/>
      <c r="AI87" s="287"/>
      <c r="AJ87" s="287"/>
      <c r="AK87" s="287"/>
      <c r="AL87" s="287"/>
      <c r="AM87" s="287"/>
      <c r="AN87" s="287"/>
      <c r="AO87" s="287"/>
      <c r="AP87" s="287"/>
      <c r="AQ87" s="287"/>
      <c r="AR87" s="287"/>
    </row>
    <row r="88" spans="1:44" x14ac:dyDescent="0.25">
      <c r="A88" s="50"/>
      <c r="B88" s="299"/>
      <c r="C88" s="299"/>
      <c r="D88" s="299"/>
      <c r="E88" s="299"/>
      <c r="F88" s="299"/>
      <c r="G88" s="299"/>
      <c r="H88" s="299"/>
      <c r="I88" s="299"/>
      <c r="J88" s="299"/>
      <c r="K88" s="299"/>
      <c r="L88" s="299"/>
      <c r="M88" s="299"/>
      <c r="N88" s="299"/>
      <c r="O88" s="299"/>
      <c r="P88" s="299"/>
      <c r="Q88" s="299"/>
      <c r="R88" s="299"/>
      <c r="S88" s="299"/>
      <c r="T88" s="299"/>
      <c r="U88" s="299"/>
      <c r="V88" s="299"/>
      <c r="W88" s="299"/>
      <c r="X88" s="299"/>
      <c r="Y88" s="299"/>
      <c r="Z88" s="299"/>
      <c r="AA88" s="299"/>
      <c r="AB88" s="299"/>
      <c r="AC88" s="299"/>
      <c r="AD88" s="299"/>
      <c r="AE88" s="299"/>
      <c r="AF88" s="299"/>
      <c r="AG88" s="51"/>
      <c r="AH88" s="287"/>
      <c r="AI88" s="287"/>
      <c r="AJ88" s="287"/>
      <c r="AK88" s="287"/>
      <c r="AL88" s="287"/>
      <c r="AM88" s="287"/>
      <c r="AN88" s="287"/>
      <c r="AO88" s="287"/>
      <c r="AP88" s="287"/>
      <c r="AQ88" s="287"/>
      <c r="AR88" s="287"/>
    </row>
    <row r="89" spans="1:44" x14ac:dyDescent="0.25">
      <c r="A89" s="50"/>
      <c r="B89" s="299"/>
      <c r="C89" s="299"/>
      <c r="D89" s="299"/>
      <c r="E89" s="299"/>
      <c r="F89" s="299"/>
      <c r="G89" s="299"/>
      <c r="H89" s="299"/>
      <c r="I89" s="299"/>
      <c r="J89" s="299"/>
      <c r="K89" s="299"/>
      <c r="L89" s="299"/>
      <c r="M89" s="299"/>
      <c r="N89" s="299"/>
      <c r="O89" s="299"/>
      <c r="P89" s="299"/>
      <c r="Q89" s="299"/>
      <c r="R89" s="299"/>
      <c r="S89" s="299"/>
      <c r="T89" s="299"/>
      <c r="U89" s="299"/>
      <c r="V89" s="299"/>
      <c r="W89" s="299"/>
      <c r="X89" s="299"/>
      <c r="Y89" s="299"/>
      <c r="Z89" s="299"/>
      <c r="AA89" s="299"/>
      <c r="AB89" s="299"/>
      <c r="AC89" s="299"/>
      <c r="AD89" s="299"/>
      <c r="AE89" s="299"/>
      <c r="AF89" s="299"/>
      <c r="AG89" s="51"/>
      <c r="AH89" s="287"/>
      <c r="AI89" s="287"/>
      <c r="AJ89" s="287"/>
      <c r="AK89" s="287"/>
      <c r="AL89" s="287"/>
      <c r="AM89" s="287"/>
      <c r="AN89" s="287"/>
      <c r="AO89" s="287"/>
      <c r="AP89" s="287"/>
      <c r="AQ89" s="287"/>
      <c r="AR89" s="287"/>
    </row>
    <row r="90" spans="1:44" x14ac:dyDescent="0.25">
      <c r="A90" s="50"/>
      <c r="B90" s="299"/>
      <c r="C90" s="299"/>
      <c r="D90" s="299"/>
      <c r="E90" s="299"/>
      <c r="F90" s="299"/>
      <c r="G90" s="299"/>
      <c r="H90" s="299"/>
      <c r="I90" s="299"/>
      <c r="J90" s="299"/>
      <c r="K90" s="299"/>
      <c r="L90" s="299"/>
      <c r="M90" s="299"/>
      <c r="N90" s="299"/>
      <c r="O90" s="299"/>
      <c r="P90" s="299"/>
      <c r="Q90" s="299"/>
      <c r="R90" s="299"/>
      <c r="S90" s="299"/>
      <c r="T90" s="299"/>
      <c r="U90" s="299"/>
      <c r="V90" s="299"/>
      <c r="W90" s="299"/>
      <c r="X90" s="299"/>
      <c r="Y90" s="299"/>
      <c r="Z90" s="299"/>
      <c r="AA90" s="299"/>
      <c r="AB90" s="299"/>
      <c r="AC90" s="299"/>
      <c r="AD90" s="299"/>
      <c r="AE90" s="299"/>
      <c r="AF90" s="299"/>
      <c r="AG90" s="51"/>
      <c r="AH90" s="287"/>
      <c r="AI90" s="287"/>
      <c r="AJ90" s="287"/>
      <c r="AK90" s="287"/>
      <c r="AL90" s="287"/>
      <c r="AM90" s="287"/>
      <c r="AN90" s="287"/>
      <c r="AO90" s="287"/>
      <c r="AP90" s="287"/>
      <c r="AQ90" s="287"/>
      <c r="AR90" s="287"/>
    </row>
    <row r="91" spans="1:44" x14ac:dyDescent="0.25">
      <c r="A91" s="50"/>
      <c r="B91" s="299"/>
      <c r="C91" s="299"/>
      <c r="D91" s="299"/>
      <c r="E91" s="299"/>
      <c r="F91" s="299"/>
      <c r="G91" s="299"/>
      <c r="H91" s="299"/>
      <c r="I91" s="299"/>
      <c r="J91" s="299"/>
      <c r="K91" s="299"/>
      <c r="L91" s="299"/>
      <c r="M91" s="299"/>
      <c r="N91" s="299"/>
      <c r="O91" s="299"/>
      <c r="P91" s="299"/>
      <c r="Q91" s="299"/>
      <c r="R91" s="299"/>
      <c r="S91" s="299"/>
      <c r="T91" s="299"/>
      <c r="U91" s="299"/>
      <c r="V91" s="299"/>
      <c r="W91" s="299"/>
      <c r="X91" s="299"/>
      <c r="Y91" s="299"/>
      <c r="Z91" s="299"/>
      <c r="AA91" s="299"/>
      <c r="AB91" s="299"/>
      <c r="AC91" s="299"/>
      <c r="AD91" s="299"/>
      <c r="AE91" s="299"/>
      <c r="AF91" s="299"/>
      <c r="AG91" s="51"/>
      <c r="AH91" s="287"/>
      <c r="AI91" s="287"/>
      <c r="AJ91" s="287"/>
      <c r="AK91" s="287"/>
      <c r="AL91" s="287"/>
      <c r="AM91" s="287"/>
      <c r="AN91" s="287"/>
      <c r="AO91" s="287"/>
      <c r="AP91" s="287"/>
      <c r="AQ91" s="287"/>
      <c r="AR91" s="287"/>
    </row>
    <row r="92" spans="1:44" x14ac:dyDescent="0.25">
      <c r="A92" s="50"/>
      <c r="B92" s="299"/>
      <c r="C92" s="299"/>
      <c r="D92" s="299"/>
      <c r="E92" s="299"/>
      <c r="F92" s="299"/>
      <c r="G92" s="299"/>
      <c r="H92" s="299"/>
      <c r="I92" s="299"/>
      <c r="J92" s="299"/>
      <c r="K92" s="299"/>
      <c r="L92" s="299"/>
      <c r="M92" s="299"/>
      <c r="N92" s="299"/>
      <c r="O92" s="299"/>
      <c r="P92" s="299"/>
      <c r="Q92" s="299"/>
      <c r="R92" s="299"/>
      <c r="S92" s="299"/>
      <c r="T92" s="299"/>
      <c r="U92" s="299"/>
      <c r="V92" s="299"/>
      <c r="W92" s="299"/>
      <c r="X92" s="299"/>
      <c r="Y92" s="299"/>
      <c r="Z92" s="299"/>
      <c r="AA92" s="299"/>
      <c r="AB92" s="299"/>
      <c r="AC92" s="299"/>
      <c r="AD92" s="299"/>
      <c r="AE92" s="299"/>
      <c r="AF92" s="299"/>
      <c r="AG92" s="51"/>
      <c r="AH92" s="287"/>
      <c r="AI92" s="287"/>
      <c r="AJ92" s="287"/>
      <c r="AK92" s="287"/>
      <c r="AL92" s="287"/>
      <c r="AM92" s="287"/>
      <c r="AN92" s="287"/>
      <c r="AO92" s="287"/>
      <c r="AP92" s="287"/>
      <c r="AQ92" s="287"/>
      <c r="AR92" s="287"/>
    </row>
    <row r="93" spans="1:44" x14ac:dyDescent="0.25">
      <c r="A93" s="50"/>
      <c r="B93" s="299"/>
      <c r="C93" s="299"/>
      <c r="D93" s="299"/>
      <c r="E93" s="299"/>
      <c r="F93" s="299"/>
      <c r="G93" s="299"/>
      <c r="H93" s="299"/>
      <c r="I93" s="299"/>
      <c r="J93" s="299"/>
      <c r="K93" s="299"/>
      <c r="L93" s="299"/>
      <c r="M93" s="299"/>
      <c r="N93" s="299"/>
      <c r="O93" s="299"/>
      <c r="P93" s="299"/>
      <c r="Q93" s="299"/>
      <c r="R93" s="299"/>
      <c r="S93" s="299"/>
      <c r="T93" s="299"/>
      <c r="U93" s="299"/>
      <c r="V93" s="299"/>
      <c r="W93" s="299"/>
      <c r="X93" s="299"/>
      <c r="Y93" s="299"/>
      <c r="Z93" s="299"/>
      <c r="AA93" s="299"/>
      <c r="AB93" s="299"/>
      <c r="AC93" s="299"/>
      <c r="AD93" s="299"/>
      <c r="AE93" s="299"/>
      <c r="AF93" s="299"/>
      <c r="AG93" s="51"/>
      <c r="AH93" s="287"/>
      <c r="AI93" s="287"/>
      <c r="AJ93" s="287"/>
      <c r="AK93" s="287"/>
      <c r="AL93" s="287"/>
      <c r="AM93" s="287"/>
      <c r="AN93" s="287"/>
      <c r="AO93" s="287"/>
      <c r="AP93" s="287"/>
      <c r="AQ93" s="287"/>
      <c r="AR93" s="287"/>
    </row>
    <row r="94" spans="1:44" x14ac:dyDescent="0.25">
      <c r="A94" s="50"/>
      <c r="B94" s="299"/>
      <c r="C94" s="299"/>
      <c r="D94" s="299"/>
      <c r="E94" s="299"/>
      <c r="F94" s="299"/>
      <c r="G94" s="299"/>
      <c r="H94" s="299"/>
      <c r="I94" s="299"/>
      <c r="J94" s="299"/>
      <c r="K94" s="299"/>
      <c r="L94" s="299"/>
      <c r="M94" s="299"/>
      <c r="N94" s="299"/>
      <c r="O94" s="299"/>
      <c r="P94" s="299"/>
      <c r="Q94" s="299"/>
      <c r="R94" s="299"/>
      <c r="S94" s="299"/>
      <c r="T94" s="299"/>
      <c r="U94" s="299"/>
      <c r="V94" s="299"/>
      <c r="W94" s="299"/>
      <c r="X94" s="299"/>
      <c r="Y94" s="299"/>
      <c r="Z94" s="299"/>
      <c r="AA94" s="299"/>
      <c r="AB94" s="299"/>
      <c r="AC94" s="299"/>
      <c r="AD94" s="299"/>
      <c r="AE94" s="299"/>
      <c r="AF94" s="299"/>
      <c r="AG94" s="51"/>
      <c r="AH94" s="287"/>
      <c r="AI94" s="287"/>
      <c r="AJ94" s="287"/>
      <c r="AK94" s="287"/>
      <c r="AL94" s="287"/>
      <c r="AM94" s="287"/>
      <c r="AN94" s="287"/>
      <c r="AO94" s="287"/>
      <c r="AP94" s="287"/>
      <c r="AQ94" s="287"/>
      <c r="AR94" s="287"/>
    </row>
    <row r="95" spans="1:44" x14ac:dyDescent="0.25">
      <c r="A95" s="50"/>
      <c r="B95" s="299"/>
      <c r="C95" s="299"/>
      <c r="D95" s="299"/>
      <c r="E95" s="299"/>
      <c r="F95" s="299"/>
      <c r="G95" s="299"/>
      <c r="H95" s="299"/>
      <c r="I95" s="299"/>
      <c r="J95" s="299"/>
      <c r="K95" s="299"/>
      <c r="L95" s="299"/>
      <c r="M95" s="299"/>
      <c r="N95" s="299"/>
      <c r="O95" s="299"/>
      <c r="P95" s="299"/>
      <c r="Q95" s="299"/>
      <c r="R95" s="299"/>
      <c r="S95" s="299"/>
      <c r="T95" s="299"/>
      <c r="U95" s="299"/>
      <c r="V95" s="299"/>
      <c r="W95" s="299"/>
      <c r="X95" s="299"/>
      <c r="Y95" s="299"/>
      <c r="Z95" s="299"/>
      <c r="AA95" s="299"/>
      <c r="AB95" s="299"/>
      <c r="AC95" s="299"/>
      <c r="AD95" s="299"/>
      <c r="AE95" s="299"/>
      <c r="AF95" s="299"/>
      <c r="AG95" s="51"/>
      <c r="AH95" s="287"/>
      <c r="AI95" s="287"/>
      <c r="AJ95" s="287"/>
      <c r="AK95" s="287"/>
      <c r="AL95" s="287"/>
      <c r="AM95" s="287"/>
      <c r="AN95" s="287"/>
      <c r="AO95" s="287"/>
      <c r="AP95" s="287"/>
      <c r="AQ95" s="287"/>
      <c r="AR95" s="287"/>
    </row>
    <row r="96" spans="1:44" x14ac:dyDescent="0.25">
      <c r="A96" s="50"/>
      <c r="B96" s="299"/>
      <c r="C96" s="299"/>
      <c r="D96" s="299"/>
      <c r="E96" s="299"/>
      <c r="F96" s="299"/>
      <c r="G96" s="299"/>
      <c r="H96" s="299"/>
      <c r="I96" s="299"/>
      <c r="J96" s="299"/>
      <c r="K96" s="299"/>
      <c r="L96" s="299"/>
      <c r="M96" s="299"/>
      <c r="N96" s="299"/>
      <c r="O96" s="299"/>
      <c r="P96" s="299"/>
      <c r="Q96" s="299"/>
      <c r="R96" s="299"/>
      <c r="S96" s="299"/>
      <c r="T96" s="299"/>
      <c r="U96" s="299"/>
      <c r="V96" s="299"/>
      <c r="W96" s="299"/>
      <c r="X96" s="299"/>
      <c r="Y96" s="299"/>
      <c r="Z96" s="299"/>
      <c r="AA96" s="299"/>
      <c r="AB96" s="299"/>
      <c r="AC96" s="299"/>
      <c r="AD96" s="299"/>
      <c r="AE96" s="299"/>
      <c r="AF96" s="299"/>
      <c r="AG96" s="51"/>
      <c r="AH96" s="287"/>
      <c r="AI96" s="287"/>
      <c r="AJ96" s="287"/>
      <c r="AK96" s="287"/>
      <c r="AL96" s="287"/>
      <c r="AM96" s="287"/>
      <c r="AN96" s="287"/>
      <c r="AO96" s="287"/>
      <c r="AP96" s="287"/>
      <c r="AQ96" s="287"/>
      <c r="AR96" s="287"/>
    </row>
    <row r="97" spans="1:44" x14ac:dyDescent="0.25">
      <c r="A97" s="50"/>
      <c r="B97" s="299"/>
      <c r="C97" s="299"/>
      <c r="D97" s="299"/>
      <c r="E97" s="299"/>
      <c r="F97" s="299"/>
      <c r="G97" s="299"/>
      <c r="H97" s="299"/>
      <c r="I97" s="299"/>
      <c r="J97" s="299"/>
      <c r="K97" s="299"/>
      <c r="L97" s="299"/>
      <c r="M97" s="299"/>
      <c r="N97" s="299"/>
      <c r="O97" s="299"/>
      <c r="P97" s="299"/>
      <c r="Q97" s="299"/>
      <c r="R97" s="299"/>
      <c r="S97" s="299"/>
      <c r="T97" s="299"/>
      <c r="U97" s="299"/>
      <c r="V97" s="299"/>
      <c r="W97" s="299"/>
      <c r="X97" s="299"/>
      <c r="Y97" s="299"/>
      <c r="Z97" s="299"/>
      <c r="AA97" s="299"/>
      <c r="AB97" s="299"/>
      <c r="AC97" s="299"/>
      <c r="AD97" s="299"/>
      <c r="AE97" s="299"/>
      <c r="AF97" s="299"/>
      <c r="AG97" s="51"/>
      <c r="AH97" s="287"/>
      <c r="AI97" s="287"/>
      <c r="AJ97" s="287"/>
      <c r="AK97" s="287"/>
      <c r="AL97" s="287"/>
      <c r="AM97" s="287"/>
      <c r="AN97" s="287"/>
      <c r="AO97" s="287"/>
      <c r="AP97" s="287"/>
      <c r="AQ97" s="287"/>
      <c r="AR97" s="287"/>
    </row>
    <row r="98" spans="1:44" x14ac:dyDescent="0.25">
      <c r="A98" s="50"/>
      <c r="B98" s="299"/>
      <c r="C98" s="299"/>
      <c r="D98" s="299"/>
      <c r="E98" s="299"/>
      <c r="F98" s="299"/>
      <c r="G98" s="299"/>
      <c r="H98" s="299"/>
      <c r="I98" s="299"/>
      <c r="J98" s="299"/>
      <c r="K98" s="299"/>
      <c r="L98" s="299"/>
      <c r="M98" s="299"/>
      <c r="N98" s="299"/>
      <c r="O98" s="299"/>
      <c r="P98" s="299"/>
      <c r="Q98" s="299"/>
      <c r="R98" s="299"/>
      <c r="S98" s="299"/>
      <c r="T98" s="299"/>
      <c r="U98" s="299"/>
      <c r="V98" s="299"/>
      <c r="W98" s="299"/>
      <c r="X98" s="299"/>
      <c r="Y98" s="299"/>
      <c r="Z98" s="299"/>
      <c r="AA98" s="299"/>
      <c r="AB98" s="299"/>
      <c r="AC98" s="299"/>
      <c r="AD98" s="299"/>
      <c r="AE98" s="299"/>
      <c r="AF98" s="299"/>
      <c r="AG98" s="51"/>
      <c r="AH98" s="287"/>
      <c r="AI98" s="287"/>
      <c r="AJ98" s="287"/>
      <c r="AK98" s="287"/>
      <c r="AL98" s="287"/>
      <c r="AM98" s="287"/>
      <c r="AN98" s="287"/>
      <c r="AO98" s="287"/>
      <c r="AP98" s="287"/>
      <c r="AQ98" s="287"/>
      <c r="AR98" s="287"/>
    </row>
    <row r="99" spans="1:44" ht="15.75" thickBot="1" x14ac:dyDescent="0.3">
      <c r="A99" s="52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4"/>
      <c r="AH99" s="287"/>
      <c r="AI99" s="287"/>
      <c r="AJ99" s="287"/>
      <c r="AK99" s="287"/>
      <c r="AL99" s="287"/>
      <c r="AM99" s="287"/>
      <c r="AN99" s="287"/>
      <c r="AO99" s="287"/>
      <c r="AP99" s="287"/>
      <c r="AQ99" s="287"/>
      <c r="AR99" s="287"/>
    </row>
    <row r="100" spans="1:44" x14ac:dyDescent="0.25">
      <c r="A100" s="287"/>
      <c r="B100" s="287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  <c r="P100" s="287"/>
      <c r="Q100" s="287"/>
      <c r="R100" s="287"/>
      <c r="S100" s="287"/>
      <c r="T100" s="287"/>
      <c r="U100" s="287"/>
      <c r="V100" s="287"/>
      <c r="W100" s="287"/>
      <c r="X100" s="287"/>
      <c r="Y100" s="287"/>
      <c r="Z100" s="287"/>
      <c r="AA100" s="287"/>
      <c r="AB100" s="287"/>
      <c r="AC100" s="287"/>
      <c r="AD100" s="287"/>
      <c r="AE100" s="287"/>
      <c r="AF100" s="287"/>
      <c r="AG100" s="287"/>
      <c r="AH100" s="287"/>
      <c r="AI100" s="287"/>
      <c r="AJ100" s="287"/>
      <c r="AK100" s="287"/>
      <c r="AL100" s="287"/>
      <c r="AM100" s="287"/>
      <c r="AN100" s="287"/>
      <c r="AO100" s="287"/>
      <c r="AP100" s="287"/>
      <c r="AQ100" s="287"/>
      <c r="AR100" s="287"/>
    </row>
    <row r="101" spans="1:44" x14ac:dyDescent="0.25">
      <c r="A101" s="287"/>
      <c r="B101" s="287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  <c r="P101" s="287"/>
      <c r="Q101" s="287"/>
      <c r="R101" s="287"/>
      <c r="S101" s="287"/>
      <c r="T101" s="287"/>
      <c r="U101" s="287"/>
      <c r="V101" s="287"/>
      <c r="W101" s="287"/>
      <c r="X101" s="287"/>
      <c r="Y101" s="287"/>
      <c r="Z101" s="287"/>
      <c r="AA101" s="287"/>
      <c r="AB101" s="287"/>
      <c r="AC101" s="287"/>
      <c r="AD101" s="287"/>
      <c r="AE101" s="287"/>
      <c r="AF101" s="287"/>
      <c r="AG101" s="287"/>
      <c r="AH101" s="287"/>
      <c r="AI101" s="287"/>
      <c r="AJ101" s="287"/>
      <c r="AK101" s="287"/>
      <c r="AL101" s="287"/>
      <c r="AM101" s="287"/>
      <c r="AN101" s="287"/>
      <c r="AO101" s="287"/>
    </row>
    <row r="102" spans="1:44" x14ac:dyDescent="0.25">
      <c r="A102" s="287"/>
      <c r="B102" s="287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  <c r="P102" s="287"/>
      <c r="Q102" s="287"/>
      <c r="R102" s="287"/>
      <c r="S102" s="287"/>
      <c r="T102" s="287"/>
      <c r="U102" s="287"/>
      <c r="V102" s="287"/>
      <c r="W102" s="287"/>
      <c r="X102" s="287"/>
      <c r="Y102" s="287"/>
      <c r="Z102" s="287"/>
      <c r="AA102" s="287"/>
      <c r="AB102" s="287"/>
      <c r="AC102" s="287"/>
      <c r="AD102" s="287"/>
      <c r="AE102" s="287"/>
      <c r="AF102" s="287"/>
      <c r="AG102" s="287"/>
      <c r="AH102" s="287"/>
      <c r="AI102" s="287"/>
      <c r="AJ102" s="287"/>
      <c r="AK102" s="287"/>
      <c r="AL102" s="287"/>
      <c r="AM102" s="287"/>
      <c r="AN102" s="287"/>
      <c r="AO102" s="287"/>
    </row>
    <row r="103" spans="1:44" x14ac:dyDescent="0.25">
      <c r="A103" s="287"/>
      <c r="B103" s="287"/>
      <c r="C103" s="287"/>
      <c r="D103" s="287"/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  <c r="P103" s="287"/>
      <c r="Q103" s="287"/>
      <c r="R103" s="287"/>
      <c r="S103" s="287"/>
      <c r="T103" s="287"/>
      <c r="U103" s="287"/>
      <c r="V103" s="287"/>
      <c r="W103" s="287"/>
      <c r="X103" s="287"/>
      <c r="Y103" s="287"/>
      <c r="Z103" s="287"/>
      <c r="AA103" s="287"/>
      <c r="AB103" s="287"/>
      <c r="AC103" s="287"/>
      <c r="AD103" s="287"/>
      <c r="AE103" s="287"/>
      <c r="AF103" s="287"/>
      <c r="AG103" s="287"/>
      <c r="AH103" s="287"/>
      <c r="AI103" s="287"/>
      <c r="AJ103" s="287"/>
      <c r="AK103" s="287"/>
      <c r="AL103" s="287"/>
      <c r="AM103" s="287"/>
      <c r="AN103" s="287"/>
      <c r="AO103" s="287"/>
    </row>
    <row r="104" spans="1:44" x14ac:dyDescent="0.25">
      <c r="A104" s="287"/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  <c r="P104" s="287"/>
      <c r="Q104" s="287"/>
      <c r="R104" s="287"/>
      <c r="S104" s="287"/>
      <c r="T104" s="287"/>
      <c r="U104" s="287"/>
      <c r="V104" s="287"/>
      <c r="W104" s="287"/>
      <c r="X104" s="287"/>
      <c r="Y104" s="287"/>
      <c r="Z104" s="287"/>
      <c r="AA104" s="287"/>
      <c r="AB104" s="287"/>
      <c r="AC104" s="287"/>
      <c r="AD104" s="287"/>
      <c r="AE104" s="287"/>
      <c r="AF104" s="287"/>
      <c r="AG104" s="287"/>
      <c r="AH104" s="287"/>
      <c r="AI104" s="287"/>
      <c r="AJ104" s="287"/>
      <c r="AK104" s="287"/>
      <c r="AL104" s="287"/>
      <c r="AM104" s="287"/>
      <c r="AN104" s="287"/>
      <c r="AO104" s="287"/>
    </row>
    <row r="105" spans="1:44" x14ac:dyDescent="0.25">
      <c r="A105" s="287"/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  <c r="P105" s="287"/>
      <c r="Q105" s="287"/>
      <c r="R105" s="287"/>
      <c r="S105" s="287"/>
      <c r="T105" s="287"/>
      <c r="U105" s="287"/>
      <c r="V105" s="287"/>
      <c r="W105" s="287"/>
      <c r="X105" s="287"/>
      <c r="Y105" s="287"/>
      <c r="Z105" s="287"/>
      <c r="AA105" s="287"/>
      <c r="AB105" s="287"/>
      <c r="AC105" s="287"/>
      <c r="AD105" s="287"/>
      <c r="AE105" s="287"/>
      <c r="AF105" s="287"/>
      <c r="AG105" s="287"/>
      <c r="AH105" s="287"/>
      <c r="AI105" s="287"/>
      <c r="AJ105" s="287"/>
      <c r="AK105" s="287"/>
      <c r="AL105" s="287"/>
      <c r="AM105" s="287"/>
      <c r="AN105" s="287"/>
      <c r="AO105" s="287"/>
    </row>
    <row r="106" spans="1:44" x14ac:dyDescent="0.25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287"/>
      <c r="AH106" s="287"/>
    </row>
    <row r="107" spans="1:44" x14ac:dyDescent="0.25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287"/>
      <c r="AH107" s="287"/>
    </row>
    <row r="108" spans="1:44" x14ac:dyDescent="0.25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</row>
    <row r="109" spans="1:44" x14ac:dyDescent="0.25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</row>
    <row r="110" spans="1:44" x14ac:dyDescent="0.25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</row>
    <row r="111" spans="1:44" x14ac:dyDescent="0.25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</row>
    <row r="112" spans="1:44" x14ac:dyDescent="0.25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</row>
  </sheetData>
  <mergeCells count="3">
    <mergeCell ref="A1:P1"/>
    <mergeCell ref="Q1:AG1"/>
    <mergeCell ref="A45:AG4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Model Inputs</vt:lpstr>
      <vt:lpstr>Process Model Outputs</vt:lpstr>
      <vt:lpstr>CAPEX &amp; OPEX</vt:lpstr>
      <vt:lpstr>DCFROR (MBSP)</vt:lpstr>
      <vt:lpstr>DCFROR (MLSP)</vt:lpstr>
      <vt:lpstr>DCFROR (MFSP)</vt:lpstr>
      <vt:lpstr>LCA Outputs</vt:lpstr>
      <vt:lpstr>Figures Only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Jonah Greene</dc:creator>
  <cp:lastModifiedBy>Jonah Greene</cp:lastModifiedBy>
  <dcterms:created xsi:type="dcterms:W3CDTF">2022-09-08T15:19:39Z</dcterms:created>
  <dcterms:modified xsi:type="dcterms:W3CDTF">2024-06-04T18:10:33Z</dcterms:modified>
</cp:coreProperties>
</file>