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2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3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+xml" PartName="/xl/drawings/drawing4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5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Jonah_Work\ALGAE SOT PAPER\2023 Manuscript\Final Models\Final SAF Model\"/>
    </mc:Choice>
  </mc:AlternateContent>
  <xr:revisionPtr revIDLastSave="0" documentId="13_ncr:1_{653E8434-5191-47BF-A05D-987BC8B002C4}" xr6:coauthVersionLast="47" xr6:coauthVersionMax="47" xr10:uidLastSave="{00000000-0000-0000-0000-000000000000}"/>
  <bookViews>
    <workbookView xWindow="-120" yWindow="-120" windowWidth="38640" windowHeight="15840"/>
  </bookViews>
  <sheets>
    <sheet name="SAF_MBSP" sheetId="1" r:id="rId1"/>
    <sheet name="SAF_MLSP" sheetId="3" r:id="rId2"/>
    <sheet name="SAF_MFSP" sheetId="4" r:id="rId3"/>
    <sheet name="SAF_GWP" sheetId="5" r:id="rId4"/>
    <sheet name="SAF_BWF" sheetId="6" r:id="rId5"/>
  </sheets>
  <calcPr calcId="191029" fullCalcOnLoad="true" iterate="tru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<sst xmlns="http://schemas.openxmlformats.org/spreadsheetml/2006/main" count="1915" uniqueCount="1891">
  <si>
    <t>Baseline</t>
  </si>
  <si>
    <t>Increased</t>
  </si>
  <si>
    <t>Decreased</t>
  </si>
  <si>
    <t>MBSP - B</t>
  </si>
  <si>
    <t>MBSP - I</t>
  </si>
  <si>
    <t>MBSP - D</t>
  </si>
  <si>
    <t>MLSP - B</t>
  </si>
  <si>
    <t>MFSP - I</t>
  </si>
  <si>
    <t>MLSP - D</t>
  </si>
  <si>
    <t>MLSP - I</t>
  </si>
  <si>
    <t>Max Delta</t>
  </si>
  <si>
    <t>MFSP - B</t>
  </si>
  <si>
    <t>MFSP - D</t>
  </si>
  <si>
    <t>GWP - B</t>
  </si>
  <si>
    <t>GWP - I</t>
  </si>
  <si>
    <t>GWP - D</t>
  </si>
  <si>
    <t>BWF - B</t>
  </si>
  <si>
    <t>BWF - I</t>
  </si>
  <si>
    <t>BWF - D</t>
  </si>
  <si>
    <t>Delta (Var Increased)</t>
  </si>
  <si>
    <t>Delta (Var Decreased)</t>
  </si>
  <si>
    <t>Max Salt Conc.</t>
  </si>
  <si>
    <t>Storage Losses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</si>
  <si>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</si>
  <si>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</si>
  <si>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</si>
  <si>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</si>
  <si>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</si>
  <si>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</si>
  <si>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</si>
  <si>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</si>
  <si>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</si>
  <si>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</si>
  <si>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</si>
  <si>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</si>
  <si>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</si>
  <si>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</si>
  <si>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</si>
  <si>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</si>
  <si>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</si>
  <si>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</si>
  <si>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</si>
  <si>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</si>
  <si>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</si>
  <si>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P Content Algae</t>
  </si>
  <si>
    <t>DAP Cost</t>
  </si>
  <si>
    <t>Ammonia Cost</t>
  </si>
  <si>
    <t>N Content Algae</t>
  </si>
  <si>
    <t>Elec. Cost</t>
  </si>
  <si>
    <t>Harvest Days</t>
  </si>
  <si>
    <t>CO2 Cost</t>
  </si>
  <si>
    <t>CUE</t>
  </si>
  <si>
    <t>IRR</t>
  </si>
  <si>
    <t>Harvest Conc.</t>
  </si>
  <si>
    <t>Innoculation Conc.</t>
  </si>
  <si>
    <t>Initial Salt Conc.</t>
  </si>
  <si>
    <t>Max Salt Conc.</t>
  </si>
  <si>
    <t>Storage Losses</t>
  </si>
  <si>
    <t>Slurry Pump Eff.</t>
  </si>
  <si>
    <t>Op Days</t>
  </si>
  <si>
    <t>Op Hours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</si>
  <si>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</si>
  <si>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</si>
  <si>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</si>
  <si>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</si>
  <si>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</si>
  <si>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</si>
  <si>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</si>
  <si>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</si>
  <si>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</si>
  <si>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</si>
  <si>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</si>
  <si>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Hexane Loss</t>
  </si>
  <si>
    <t>Hexane Cost</t>
  </si>
  <si>
    <t>P Content Algae</t>
  </si>
  <si>
    <t>DAP Cost</t>
  </si>
  <si>
    <t>NG Cost</t>
  </si>
  <si>
    <t>WHE Thermal En.</t>
  </si>
  <si>
    <t>WHE Elec. En.</t>
  </si>
  <si>
    <t>Ammonia Cost</t>
  </si>
  <si>
    <t>N Content Algae</t>
  </si>
  <si>
    <t>Elec. Cost</t>
  </si>
  <si>
    <t>Harvest Days</t>
  </si>
  <si>
    <t>CO2 Cost</t>
  </si>
  <si>
    <t>CUE</t>
  </si>
  <si>
    <t>IRR</t>
  </si>
  <si>
    <t>Harvest Conc.</t>
  </si>
  <si>
    <t>Innoculation Conc.</t>
  </si>
  <si>
    <t>WHE Eff.</t>
  </si>
  <si>
    <t>Max Salt Conc.</t>
  </si>
  <si>
    <t>Slurry Pump Eff.</t>
  </si>
  <si>
    <t>Op Days</t>
  </si>
  <si>
    <t>Op Hours</t>
  </si>
  <si>
    <t>NG Trans Cost</t>
  </si>
  <si>
    <t>Carbon Offset Value</t>
  </si>
  <si>
    <t>Lip. Purchase Price</t>
  </si>
  <si>
    <t>Jet Value</t>
  </si>
  <si>
    <t>Initial Salt Conc.</t>
  </si>
  <si>
    <t>Storage Losses</t>
  </si>
  <si>
    <t>WHE Solvent:Biomass</t>
  </si>
  <si>
    <t>Water Cost</t>
  </si>
  <si>
    <t>Hexane Loss</t>
  </si>
  <si>
    <t>Hexane Cost</t>
  </si>
  <si>
    <t>P Content Algae</t>
  </si>
  <si>
    <t>DAP Cost</t>
  </si>
  <si>
    <t>WHE Thermal En.</t>
  </si>
  <si>
    <t>WHE Elec. En.</t>
  </si>
  <si>
    <t>Ammonia Cost</t>
  </si>
  <si>
    <t>NG Cost</t>
  </si>
  <si>
    <t>N Content Algae</t>
  </si>
  <si>
    <t>H2 Cost</t>
  </si>
  <si>
    <t>LNG Value</t>
  </si>
  <si>
    <t>Propane Value</t>
  </si>
  <si>
    <t>Naphtha Value</t>
  </si>
  <si>
    <t>Elec. Cost</t>
  </si>
  <si>
    <t>Harvest Days</t>
  </si>
  <si>
    <t>CO2 Cost</t>
  </si>
  <si>
    <t>CUE</t>
  </si>
  <si>
    <t>Diesel Value</t>
  </si>
  <si>
    <t>IRR</t>
  </si>
  <si>
    <t>Harvest Conc.</t>
  </si>
  <si>
    <t>Innoculation Conc.</t>
  </si>
  <si>
    <t>WHE Eff.</t>
  </si>
  <si>
    <t>Max Salt Conc.</t>
  </si>
  <si>
    <t>Op Days</t>
  </si>
  <si>
    <t>Op Hours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</si>
  <si>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</si>
  <si>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</si>
  <si>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</si>
  <si>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</si>
  <si>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</si>
  <si>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</si>
  <si>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</si>
  <si>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</si>
  <si>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</si>
  <si>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</si>
  <si>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</si>
  <si>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</si>
  <si>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</si>
  <si>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</si>
  <si>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</si>
  <si>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</si>
  <si>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</si>
  <si>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</si>
  <si>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</si>
  <si>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Storage Losses</t>
  </si>
  <si>
    <t>Slurry Pump Eff.</t>
  </si>
  <si>
    <t>Hexane Loss</t>
  </si>
  <si>
    <t>Harvest Days</t>
  </si>
  <si>
    <t>P Content Algae</t>
  </si>
  <si>
    <t>Innoculation Conc.</t>
  </si>
  <si>
    <t>Harvest Conc.</t>
  </si>
  <si>
    <t>WHE Thermal En.</t>
  </si>
  <si>
    <t>CUE</t>
  </si>
  <si>
    <t>N Content Algae</t>
  </si>
  <si>
    <t>WHE Elec. En.</t>
  </si>
  <si>
    <t>WHE Eff.</t>
  </si>
  <si>
    <t>Max Salt Conc.</t>
  </si>
  <si>
    <t>Op Days</t>
  </si>
  <si>
    <t>Op Hours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</si>
  <si>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</si>
  <si>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</si>
  <si>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</si>
  <si>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</si>
  <si>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</si>
  <si>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</si>
  <si>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</si>
  <si>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</si>
  <si>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</si>
  <si>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</si>
  <si>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</si>
  <si>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</si>
  <si>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</si>
  <si>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</si>
  <si>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</si>
  <si>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</si>
  <si>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</si>
  <si>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</si>
  <si>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</si>
  <si>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</si>
  <si>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</si>
  <si>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</si>
  <si>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Storage Losses</t>
  </si>
  <si>
    <t>N Content Algae</t>
  </si>
  <si>
    <t>CUE</t>
  </si>
  <si>
    <t>P Content Algae</t>
  </si>
  <si>
    <t>WHE Elec. En.</t>
  </si>
  <si>
    <t>Innoculation Conc.</t>
  </si>
  <si>
    <t>Harvest Days</t>
  </si>
  <si>
    <t>Harvest Conc.</t>
  </si>
  <si>
    <t>WHE Eff.</t>
  </si>
  <si>
    <t>Max Salt Conc.</t>
  </si>
  <si>
    <t>Storage Losses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</si>
  <si>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</si>
  <si>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</si>
  <si>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</si>
  <si>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</si>
  <si>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</si>
  <si>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</si>
  <si>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</si>
  <si>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</si>
  <si>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</si>
  <si>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</si>
  <si>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</si>
  <si>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</si>
  <si>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</si>
  <si>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</si>
  <si>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</si>
  <si>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</si>
  <si>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</si>
  <si>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</si>
  <si>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</si>
  <si>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</si>
  <si>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</si>
  <si>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P Content Algae</t>
  </si>
  <si>
    <t>DAP Cost</t>
  </si>
  <si>
    <t>Ammonia Cost</t>
  </si>
  <si>
    <t>N Content Algae</t>
  </si>
  <si>
    <t>Elec. Cost</t>
  </si>
  <si>
    <t>Harvest Days</t>
  </si>
  <si>
    <t>IRR</t>
  </si>
  <si>
    <t>Harvest Conc.</t>
  </si>
  <si>
    <t>Innoculation Conc.</t>
  </si>
  <si>
    <t>CO2 Cost</t>
  </si>
  <si>
    <t>CUE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</si>
  <si>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</si>
  <si>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</si>
  <si>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</si>
  <si>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</si>
  <si>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</si>
  <si>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</si>
  <si>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</si>
  <si>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</si>
  <si>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</si>
  <si>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</si>
  <si>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</si>
  <si>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</si>
  <si>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</si>
  <si>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</si>
  <si>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</si>
  <si>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Hexane Loss</t>
  </si>
  <si>
    <t>Storage Losses</t>
  </si>
  <si>
    <t>Hexane Cost</t>
  </si>
  <si>
    <t>NG Cost</t>
  </si>
  <si>
    <t>P Content Algae</t>
  </si>
  <si>
    <t>WHE Thermal En.</t>
  </si>
  <si>
    <t>DAP Cost</t>
  </si>
  <si>
    <t>WHE Elec. En.</t>
  </si>
  <si>
    <t>Ammonia Cost</t>
  </si>
  <si>
    <t>N Content Algae</t>
  </si>
  <si>
    <t>Elec. Cost</t>
  </si>
  <si>
    <t>Harvest Days</t>
  </si>
  <si>
    <t>IRR</t>
  </si>
  <si>
    <t>Harvest Conc.</t>
  </si>
  <si>
    <t>Innoculation Conc.</t>
  </si>
  <si>
    <t>CO2 Cost</t>
  </si>
  <si>
    <t>CUE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</si>
  <si>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</si>
  <si>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</si>
  <si>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</si>
  <si>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</si>
  <si>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</si>
  <si>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</si>
  <si>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</si>
  <si>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</si>
  <si>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Jet Value</t>
  </si>
  <si>
    <t>Initial Salt Conc.</t>
  </si>
  <si>
    <t>WHE Solvent:Biomass</t>
  </si>
  <si>
    <t>Water Cost</t>
  </si>
  <si>
    <t>Hexane Loss</t>
  </si>
  <si>
    <t>Hexane Cost</t>
  </si>
  <si>
    <t>Storage Losses</t>
  </si>
  <si>
    <t>P Content Algae</t>
  </si>
  <si>
    <t>NG Cost</t>
  </si>
  <si>
    <t>WHE Thermal En.</t>
  </si>
  <si>
    <t>DAP Cost</t>
  </si>
  <si>
    <t>WHE Elec. En.</t>
  </si>
  <si>
    <t>H2 Cost</t>
  </si>
  <si>
    <t>Ammonia Cost</t>
  </si>
  <si>
    <t>N Content Algae</t>
  </si>
  <si>
    <t>LNG Value</t>
  </si>
  <si>
    <t>Propane Value</t>
  </si>
  <si>
    <t>Naphtha Value</t>
  </si>
  <si>
    <t>Elec. Cost</t>
  </si>
  <si>
    <t>Harvest Days</t>
  </si>
  <si>
    <t>Diesel Value</t>
  </si>
  <si>
    <t>IRR</t>
  </si>
  <si>
    <t>Harvest Conc.</t>
  </si>
  <si>
    <t>Innoculation Conc.</t>
  </si>
  <si>
    <t>CO2 Cost</t>
  </si>
  <si>
    <t>CUE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</si>
  <si>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</si>
  <si>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</si>
  <si>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</si>
  <si>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</si>
  <si>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</si>
  <si>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</si>
  <si>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</si>
  <si>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</si>
  <si>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</si>
  <si>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</si>
  <si>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</si>
  <si>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</si>
  <si>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</si>
  <si>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</si>
  <si>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</si>
  <si>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</si>
  <si>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</si>
  <si>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</si>
  <si>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</si>
  <si>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</si>
  <si>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</si>
  <si>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</si>
  <si>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</si>
  <si>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Storage Losses</t>
  </si>
  <si>
    <t>Slurry Pump Eff.</t>
  </si>
  <si>
    <t>Hexane Loss</t>
  </si>
  <si>
    <t>Harvest Days</t>
  </si>
  <si>
    <t>P Content Algae</t>
  </si>
  <si>
    <t>Innoculation Conc.</t>
  </si>
  <si>
    <t>Harvest Conc.</t>
  </si>
  <si>
    <t>WHE Thermal En.</t>
  </si>
  <si>
    <t>N Content Algae</t>
  </si>
  <si>
    <t>WHE Elec. En.</t>
  </si>
  <si>
    <t>CUE</t>
  </si>
  <si>
    <t>Op Hours</t>
  </si>
  <si>
    <t>WHE Eff.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</si>
  <si>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</si>
  <si>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</si>
  <si>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</si>
  <si>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</si>
  <si>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</si>
  <si>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</si>
  <si>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</si>
  <si>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</si>
  <si>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</si>
  <si>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</si>
  <si>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</si>
  <si>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</si>
  <si>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</si>
  <si>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</si>
  <si>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</si>
  <si>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</si>
  <si>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</si>
  <si>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</si>
  <si>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</si>
  <si>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</si>
  <si>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</si>
  <si>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</si>
  <si>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</si>
  <si>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</si>
  <si>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</si>
  <si>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Storage Losses</t>
  </si>
  <si>
    <t>WHE Elec. En.</t>
  </si>
  <si>
    <t>CUE</t>
  </si>
  <si>
    <t>P Content Algae</t>
  </si>
  <si>
    <t>Innoculation Conc.</t>
  </si>
  <si>
    <t>Harvest Days</t>
  </si>
  <si>
    <t>Harvest Conc.</t>
  </si>
  <si>
    <t>WHE Eff.</t>
  </si>
  <si>
    <t>Op Hours</t>
  </si>
  <si>
    <t>Max Salt Conc.</t>
  </si>
  <si>
    <t>Storage Losses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</si>
  <si>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</si>
  <si>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</si>
  <si>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</si>
  <si>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</si>
  <si>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</si>
  <si>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</si>
  <si>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</si>
  <si>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</si>
  <si>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</si>
  <si>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</si>
  <si>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</si>
  <si>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</si>
  <si>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</si>
  <si>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</si>
  <si>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</si>
  <si>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</si>
  <si>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</si>
  <si>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</si>
  <si>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</si>
  <si>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</si>
  <si>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</si>
  <si>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P Content Algae</t>
  </si>
  <si>
    <t>DAP Cost</t>
  </si>
  <si>
    <t>Ammonia Cost</t>
  </si>
  <si>
    <t>N Content Algae</t>
  </si>
  <si>
    <t>Elec. Cost</t>
  </si>
  <si>
    <t>Harvest Days</t>
  </si>
  <si>
    <t>IRR</t>
  </si>
  <si>
    <t>Harvest Conc.</t>
  </si>
  <si>
    <t>Innoculation Conc.</t>
  </si>
  <si>
    <t>CO2 Cost</t>
  </si>
  <si>
    <t>CUE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</si>
  <si>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</si>
  <si>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</si>
  <si>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</si>
  <si>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</si>
  <si>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</si>
  <si>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</si>
  <si>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</si>
  <si>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</si>
  <si>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</si>
  <si>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</si>
  <si>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</si>
  <si>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</si>
  <si>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</si>
  <si>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</si>
  <si>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</si>
  <si>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Hexane Loss</t>
  </si>
  <si>
    <t>Storage Losses</t>
  </si>
  <si>
    <t>Hexane Cost</t>
  </si>
  <si>
    <t>NG Cost</t>
  </si>
  <si>
    <t>P Content Algae</t>
  </si>
  <si>
    <t>WHE Thermal En.</t>
  </si>
  <si>
    <t>DAP Cost</t>
  </si>
  <si>
    <t>WHE Elec. En.</t>
  </si>
  <si>
    <t>Ammonia Cost</t>
  </si>
  <si>
    <t>N Content Algae</t>
  </si>
  <si>
    <t>Elec. Cost</t>
  </si>
  <si>
    <t>Harvest Days</t>
  </si>
  <si>
    <t>IRR</t>
  </si>
  <si>
    <t>Harvest Conc.</t>
  </si>
  <si>
    <t>Innoculation Conc.</t>
  </si>
  <si>
    <t>CO2 Cost</t>
  </si>
  <si>
    <t>CUE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</si>
  <si>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</si>
  <si>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</si>
  <si>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</si>
  <si>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</si>
  <si>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</si>
  <si>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</si>
  <si>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</si>
  <si>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</si>
  <si>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Jet Value</t>
  </si>
  <si>
    <t>Initial Salt Conc.</t>
  </si>
  <si>
    <t>WHE Solvent:Biomass</t>
  </si>
  <si>
    <t>Water Cost</t>
  </si>
  <si>
    <t>Hexane Loss</t>
  </si>
  <si>
    <t>Hexane Cost</t>
  </si>
  <si>
    <t>Storage Losses</t>
  </si>
  <si>
    <t>P Content Algae</t>
  </si>
  <si>
    <t>NG Cost</t>
  </si>
  <si>
    <t>WHE Thermal En.</t>
  </si>
  <si>
    <t>DAP Cost</t>
  </si>
  <si>
    <t>WHE Elec. En.</t>
  </si>
  <si>
    <t>H2 Cost</t>
  </si>
  <si>
    <t>Ammonia Cost</t>
  </si>
  <si>
    <t>N Content Algae</t>
  </si>
  <si>
    <t>LNG Value</t>
  </si>
  <si>
    <t>Propane Value</t>
  </si>
  <si>
    <t>Naphtha Value</t>
  </si>
  <si>
    <t>Elec. Cost</t>
  </si>
  <si>
    <t>Harvest Days</t>
  </si>
  <si>
    <t>Diesel Value</t>
  </si>
  <si>
    <t>IRR</t>
  </si>
  <si>
    <t>Harvest Conc.</t>
  </si>
  <si>
    <t>Innoculation Conc.</t>
  </si>
  <si>
    <t>CO2 Cost</t>
  </si>
  <si>
    <t>CUE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</si>
  <si>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</si>
  <si>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</si>
  <si>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</si>
  <si>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</si>
  <si>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</si>
  <si>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</si>
  <si>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</si>
  <si>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</si>
  <si>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</si>
  <si>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</si>
  <si>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</si>
  <si>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</si>
  <si>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</si>
  <si>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</si>
  <si>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</si>
  <si>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</si>
  <si>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</si>
  <si>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</si>
  <si>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</si>
  <si>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</si>
  <si>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</si>
  <si>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</si>
  <si>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</si>
  <si>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Storage Losses</t>
  </si>
  <si>
    <t>Slurry Pump Eff.</t>
  </si>
  <si>
    <t>Hexane Loss</t>
  </si>
  <si>
    <t>Harvest Days</t>
  </si>
  <si>
    <t>P Content Algae</t>
  </si>
  <si>
    <t>Innoculation Conc.</t>
  </si>
  <si>
    <t>Harvest Conc.</t>
  </si>
  <si>
    <t>WHE Thermal En.</t>
  </si>
  <si>
    <t>N Content Algae</t>
  </si>
  <si>
    <t>WHE Elec. En.</t>
  </si>
  <si>
    <t>CUE</t>
  </si>
  <si>
    <t>Op Hours</t>
  </si>
  <si>
    <t>WHE Eff.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</si>
  <si>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</si>
  <si>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</si>
  <si>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</si>
  <si>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</si>
  <si>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</si>
  <si>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</si>
  <si>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</si>
  <si>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</si>
  <si>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</si>
  <si>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</si>
  <si>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</si>
  <si>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</si>
  <si>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</si>
  <si>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</si>
  <si>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</si>
  <si>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</si>
  <si>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</si>
  <si>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</si>
  <si>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</si>
  <si>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</si>
  <si>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</si>
  <si>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</si>
  <si>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</si>
  <si>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</si>
  <si>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</si>
  <si>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Storage Losses</t>
  </si>
  <si>
    <t>WHE Elec. En.</t>
  </si>
  <si>
    <t>CUE</t>
  </si>
  <si>
    <t>P Content Algae</t>
  </si>
  <si>
    <t>Innoculation Conc.</t>
  </si>
  <si>
    <t>Harvest Days</t>
  </si>
  <si>
    <t>Harvest Conc.</t>
  </si>
  <si>
    <t>WHE Eff.</t>
  </si>
  <si>
    <t>Op Hours</t>
  </si>
  <si>
    <t>Max Salt Conc.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</si>
  <si>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</si>
  <si>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</si>
  <si>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</si>
  <si>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</si>
  <si>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</si>
  <si>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</si>
  <si>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</si>
  <si>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</si>
  <si>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</si>
  <si>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</si>
  <si>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</si>
  <si>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</si>
  <si>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</si>
  <si>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</si>
  <si>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</si>
  <si>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</si>
  <si>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</si>
  <si>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</si>
  <si>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</si>
  <si>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</si>
  <si>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</si>
  <si>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Storage Losses</t>
  </si>
  <si>
    <t>P Content Algae</t>
  </si>
  <si>
    <t>DAP Cost</t>
  </si>
  <si>
    <t>Ammonia Cost</t>
  </si>
  <si>
    <t>N Content Algae</t>
  </si>
  <si>
    <t>Harvest Days</t>
  </si>
  <si>
    <t>Elec. Cost</t>
  </si>
  <si>
    <t>Innoculation Conc.</t>
  </si>
  <si>
    <t>Harvest Conc.</t>
  </si>
  <si>
    <t>IRR</t>
  </si>
  <si>
    <t>CO2 Cost</t>
  </si>
  <si>
    <t>CUE</t>
  </si>
  <si>
    <t>Initial Salt Conc.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</si>
  <si>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</si>
  <si>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</si>
  <si>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</si>
  <si>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</si>
  <si>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</si>
  <si>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</si>
  <si>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</si>
  <si>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</si>
  <si>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</si>
  <si>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</si>
  <si>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</si>
  <si>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</si>
  <si>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</si>
  <si>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</si>
  <si>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Hexane Loss</t>
  </si>
  <si>
    <t>Hexane Cost</t>
  </si>
  <si>
    <t>NG Cost</t>
  </si>
  <si>
    <t>Storage Losses</t>
  </si>
  <si>
    <t>P Content Algae</t>
  </si>
  <si>
    <t>DAP Cost</t>
  </si>
  <si>
    <t>WHE Thermal En.</t>
  </si>
  <si>
    <t>WHE Elec. En.</t>
  </si>
  <si>
    <t>Ammonia Cost</t>
  </si>
  <si>
    <t>N Content Algae</t>
  </si>
  <si>
    <t>Harvest Days</t>
  </si>
  <si>
    <t>Elec. Cost</t>
  </si>
  <si>
    <t>Innoculation Conc.</t>
  </si>
  <si>
    <t>Harvest Conc.</t>
  </si>
  <si>
    <t>IRR</t>
  </si>
  <si>
    <t>CO2 Cost</t>
  </si>
  <si>
    <t>CUE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</si>
  <si>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</si>
  <si>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</si>
  <si>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</si>
  <si>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</si>
  <si>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</si>
  <si>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</si>
  <si>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</si>
  <si>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</si>
  <si>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Jet Value</t>
  </si>
  <si>
    <t>Initial Salt Conc.</t>
  </si>
  <si>
    <t>WHE Solvent:Biomass</t>
  </si>
  <si>
    <t>Water Cost</t>
  </si>
  <si>
    <t>Hexane Loss</t>
  </si>
  <si>
    <t>Hexane Cost</t>
  </si>
  <si>
    <t>Storage Losses</t>
  </si>
  <si>
    <t>P Content Algae</t>
  </si>
  <si>
    <t>DAP Cost</t>
  </si>
  <si>
    <t>NG Cost</t>
  </si>
  <si>
    <t>WHE Thermal En.</t>
  </si>
  <si>
    <t>WHE Elec. En.</t>
  </si>
  <si>
    <t>Ammonia Cost</t>
  </si>
  <si>
    <t>N Content Algae</t>
  </si>
  <si>
    <t>H2 Cost</t>
  </si>
  <si>
    <t>LNG Value</t>
  </si>
  <si>
    <t>Propane Value</t>
  </si>
  <si>
    <t>Naphtha Value</t>
  </si>
  <si>
    <t>Harvest Days</t>
  </si>
  <si>
    <t>Elec. Cost</t>
  </si>
  <si>
    <t>Diesel Value</t>
  </si>
  <si>
    <t>Innoculation Conc.</t>
  </si>
  <si>
    <t>Harvest Conc.</t>
  </si>
  <si>
    <t>IRR</t>
  </si>
  <si>
    <t>CO2 Cost</t>
  </si>
  <si>
    <t>CUE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</si>
  <si>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</si>
  <si>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</si>
  <si>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</si>
  <si>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</si>
  <si>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</si>
  <si>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</si>
  <si>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</si>
  <si>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</si>
  <si>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</si>
  <si>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</si>
  <si>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</si>
  <si>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</si>
  <si>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</si>
  <si>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</si>
  <si>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</si>
  <si>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</si>
  <si>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</si>
  <si>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</si>
  <si>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</si>
  <si>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</si>
  <si>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</si>
  <si>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</si>
  <si>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</si>
  <si>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Storage Losses</t>
  </si>
  <si>
    <t>Slurry Pump Eff.</t>
  </si>
  <si>
    <t>Hexane Loss</t>
  </si>
  <si>
    <t>P Content Algae</t>
  </si>
  <si>
    <t>Harvest Days</t>
  </si>
  <si>
    <t>Harvest Conc.</t>
  </si>
  <si>
    <t>WHE Thermal En.</t>
  </si>
  <si>
    <t>Innoculation Conc.</t>
  </si>
  <si>
    <t>N Content Algae</t>
  </si>
  <si>
    <t>WHE Elec. En.</t>
  </si>
  <si>
    <t>CUE</t>
  </si>
  <si>
    <t>Op Hours</t>
  </si>
  <si>
    <t>WHE Eff.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</si>
  <si>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</si>
  <si>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</si>
  <si>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</si>
  <si>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</si>
  <si>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</si>
  <si>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</si>
  <si>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</si>
  <si>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</si>
  <si>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</si>
  <si>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</si>
  <si>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</si>
  <si>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</si>
  <si>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</si>
  <si>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</si>
  <si>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</si>
  <si>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</si>
  <si>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</si>
  <si>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</si>
  <si>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</si>
  <si>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</si>
  <si>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</si>
  <si>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</si>
  <si>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Slurry Pump Eff.</t>
  </si>
  <si>
    <t>Hexane Loss</t>
  </si>
  <si>
    <t>N Content Algae</t>
  </si>
  <si>
    <t>Storage Losses</t>
  </si>
  <si>
    <t>WHE Elec. En.</t>
  </si>
  <si>
    <t>P Content Algae</t>
  </si>
  <si>
    <t>CUE</t>
  </si>
  <si>
    <t>Harvest Conc.</t>
  </si>
  <si>
    <t>Innoculation Conc.</t>
  </si>
  <si>
    <t>Harvest Days</t>
  </si>
  <si>
    <t>WHE Eff.</t>
  </si>
  <si>
    <t>Op Hours</t>
  </si>
  <si>
    <t>Max Salt Conc.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</si>
  <si>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</si>
  <si>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</si>
  <si>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</si>
  <si>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</si>
  <si>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</si>
  <si>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</si>
  <si>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</si>
  <si>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</si>
  <si>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</si>
  <si>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</si>
  <si>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</si>
  <si>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</si>
  <si>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</si>
  <si>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</si>
  <si>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</si>
  <si>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</si>
  <si>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</si>
  <si>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</si>
  <si>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</si>
  <si>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</si>
  <si>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</si>
  <si>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Storage Losses</t>
  </si>
  <si>
    <t>P Content Algae</t>
  </si>
  <si>
    <t>DAP Cost</t>
  </si>
  <si>
    <t>Ammonia Cost</t>
  </si>
  <si>
    <t>N Content Algae</t>
  </si>
  <si>
    <t>Harvest Days</t>
  </si>
  <si>
    <t>Elec. Cost</t>
  </si>
  <si>
    <t>Innoculation Conc.</t>
  </si>
  <si>
    <t>Harvest Conc.</t>
  </si>
  <si>
    <t>IRR</t>
  </si>
  <si>
    <t>CO2 Cost</t>
  </si>
  <si>
    <t>CUE</t>
  </si>
  <si>
    <t>Initial Salt Conc.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</si>
  <si>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</si>
  <si>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</si>
  <si>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</si>
  <si>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</si>
  <si>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</si>
  <si>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</si>
  <si>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</si>
  <si>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</si>
  <si>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</si>
  <si>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</si>
  <si>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</si>
  <si>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</si>
  <si>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</si>
  <si>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</si>
  <si>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Hexane Loss</t>
  </si>
  <si>
    <t>Hexane Cost</t>
  </si>
  <si>
    <t>NG Cost</t>
  </si>
  <si>
    <t>Storage Losses</t>
  </si>
  <si>
    <t>P Content Algae</t>
  </si>
  <si>
    <t>DAP Cost</t>
  </si>
  <si>
    <t>WHE Thermal En.</t>
  </si>
  <si>
    <t>WHE Elec. En.</t>
  </si>
  <si>
    <t>Ammonia Cost</t>
  </si>
  <si>
    <t>N Content Algae</t>
  </si>
  <si>
    <t>Harvest Days</t>
  </si>
  <si>
    <t>Elec. Cost</t>
  </si>
  <si>
    <t>Innoculation Conc.</t>
  </si>
  <si>
    <t>Harvest Conc.</t>
  </si>
  <si>
    <t>IRR</t>
  </si>
  <si>
    <t>CO2 Cost</t>
  </si>
  <si>
    <t>CUE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</si>
  <si>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</si>
  <si>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</si>
  <si>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</si>
  <si>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</si>
  <si>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</si>
  <si>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</si>
  <si>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</si>
  <si>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</si>
  <si>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Jet Value</t>
  </si>
  <si>
    <t>Initial Salt Conc.</t>
  </si>
  <si>
    <t>WHE Solvent:Biomass</t>
  </si>
  <si>
    <t>Water Cost</t>
  </si>
  <si>
    <t>Hexane Loss</t>
  </si>
  <si>
    <t>Hexane Cost</t>
  </si>
  <si>
    <t>Storage Losses</t>
  </si>
  <si>
    <t>P Content Algae</t>
  </si>
  <si>
    <t>DAP Cost</t>
  </si>
  <si>
    <t>NG Cost</t>
  </si>
  <si>
    <t>WHE Thermal En.</t>
  </si>
  <si>
    <t>WHE Elec. En.</t>
  </si>
  <si>
    <t>Ammonia Cost</t>
  </si>
  <si>
    <t>N Content Algae</t>
  </si>
  <si>
    <t>H2 Cost</t>
  </si>
  <si>
    <t>LNG Value</t>
  </si>
  <si>
    <t>Propane Value</t>
  </si>
  <si>
    <t>Naphtha Value</t>
  </si>
  <si>
    <t>Harvest Days</t>
  </si>
  <si>
    <t>Elec. Cost</t>
  </si>
  <si>
    <t>Diesel Value</t>
  </si>
  <si>
    <t>Innoculation Conc.</t>
  </si>
  <si>
    <t>Harvest Conc.</t>
  </si>
  <si>
    <t>IRR</t>
  </si>
  <si>
    <t>CO2 Cost</t>
  </si>
  <si>
    <t>CUE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</si>
  <si>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</si>
  <si>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</si>
  <si>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</si>
  <si>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</si>
  <si>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</si>
  <si>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</si>
  <si>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</si>
  <si>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</si>
  <si>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</si>
  <si>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</si>
  <si>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</si>
  <si>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</si>
  <si>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</si>
  <si>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</si>
  <si>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</si>
  <si>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</si>
  <si>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</si>
  <si>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</si>
  <si>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</si>
  <si>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</si>
  <si>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</si>
  <si>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</si>
  <si>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</si>
  <si>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Storage Losses</t>
  </si>
  <si>
    <t>Slurry Pump Eff.</t>
  </si>
  <si>
    <t>Hexane Loss</t>
  </si>
  <si>
    <t>P Content Algae</t>
  </si>
  <si>
    <t>Harvest Days</t>
  </si>
  <si>
    <t>Harvest Conc.</t>
  </si>
  <si>
    <t>WHE Thermal En.</t>
  </si>
  <si>
    <t>Innoculation Conc.</t>
  </si>
  <si>
    <t>N Content Algae</t>
  </si>
  <si>
    <t>WHE Elec. En.</t>
  </si>
  <si>
    <t>CUE</t>
  </si>
  <si>
    <t>Op Hours</t>
  </si>
  <si>
    <t>WHE Eff.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</si>
  <si>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</si>
  <si>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</si>
  <si>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</si>
  <si>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</si>
  <si>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</si>
  <si>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</si>
  <si>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</si>
  <si>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</si>
  <si>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</si>
  <si>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</si>
  <si>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</si>
  <si>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</si>
  <si>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</si>
  <si>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</si>
  <si>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</si>
  <si>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</si>
  <si>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</si>
  <si>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</si>
  <si>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</si>
  <si>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</si>
  <si>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</si>
  <si>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</si>
  <si>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Slurry Pump Eff.</t>
  </si>
  <si>
    <t>Hexane Loss</t>
  </si>
  <si>
    <t>N Content Algae</t>
  </si>
  <si>
    <t>Storage Losses</t>
  </si>
  <si>
    <t>WHE Elec. En.</t>
  </si>
  <si>
    <t>P Content Algae</t>
  </si>
  <si>
    <t>CUE</t>
  </si>
  <si>
    <t>Harvest Conc.</t>
  </si>
  <si>
    <t>Innoculation Conc.</t>
  </si>
  <si>
    <t>Harvest Days</t>
  </si>
  <si>
    <t>WHE Eff.</t>
  </si>
  <si>
    <t>Op Hours</t>
  </si>
  <si>
    <t>Max Salt Conc.</t>
  </si>
  <si>
    <t>Storage Losses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</si>
  <si>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</si>
  <si>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</si>
  <si>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</si>
  <si>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</si>
  <si>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</si>
  <si>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</si>
  <si>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</si>
  <si>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</si>
  <si>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</si>
  <si>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</si>
  <si>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</si>
  <si>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</si>
  <si>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</si>
  <si>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</si>
  <si>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</si>
  <si>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</si>
  <si>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</si>
  <si>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</si>
  <si>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</si>
  <si>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</si>
  <si>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</si>
  <si>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P Content Algae</t>
  </si>
  <si>
    <t>DAP Cost</t>
  </si>
  <si>
    <t>Ammonia Cost</t>
  </si>
  <si>
    <t>N Content Algae</t>
  </si>
  <si>
    <t>Elec. Cost</t>
  </si>
  <si>
    <t>Harvest Days</t>
  </si>
  <si>
    <t>CO2 Cost</t>
  </si>
  <si>
    <t>CUE</t>
  </si>
  <si>
    <t>IRR</t>
  </si>
  <si>
    <t>Harvest Conc.</t>
  </si>
  <si>
    <t>Innoculation Conc.</t>
  </si>
  <si>
    <t>Initial Salt Conc.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</si>
  <si>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</si>
  <si>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</si>
  <si>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</si>
  <si>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</si>
  <si>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</si>
  <si>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</si>
  <si>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</si>
  <si>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</si>
  <si>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</si>
  <si>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</si>
  <si>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</si>
  <si>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</si>
  <si>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</si>
  <si>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</si>
  <si>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Storage Losses</t>
  </si>
  <si>
    <t>Hexane Loss</t>
  </si>
  <si>
    <t>Hexane Cost</t>
  </si>
  <si>
    <t>P Content Algae</t>
  </si>
  <si>
    <t>DAP Cost</t>
  </si>
  <si>
    <t>NG Cost</t>
  </si>
  <si>
    <t>WHE Thermal En.</t>
  </si>
  <si>
    <t>Ammonia Cost</t>
  </si>
  <si>
    <t>WHE Elec. En.</t>
  </si>
  <si>
    <t>N Content Algae</t>
  </si>
  <si>
    <t>Elec. Cost</t>
  </si>
  <si>
    <t>Harvest Days</t>
  </si>
  <si>
    <t>CO2 Cost</t>
  </si>
  <si>
    <t>CUE</t>
  </si>
  <si>
    <t>IRR</t>
  </si>
  <si>
    <t>Harvest Conc.</t>
  </si>
  <si>
    <t>Innoculation Conc.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</si>
  <si>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</si>
  <si>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</si>
  <si>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</si>
  <si>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</si>
  <si>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</si>
  <si>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</si>
  <si>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</si>
  <si>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</si>
  <si>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Jet Value</t>
  </si>
  <si>
    <t>Initial Salt Conc.</t>
  </si>
  <si>
    <t>WHE Solvent:Biomass</t>
  </si>
  <si>
    <t>Storage Losses</t>
  </si>
  <si>
    <t>Water Cost</t>
  </si>
  <si>
    <t>Hexane Loss</t>
  </si>
  <si>
    <t>Hexane Cost</t>
  </si>
  <si>
    <t>P Content Algae</t>
  </si>
  <si>
    <t>DAP Cost</t>
  </si>
  <si>
    <t>WHE Thermal En.</t>
  </si>
  <si>
    <t>Ammonia Cost</t>
  </si>
  <si>
    <t>WHE Elec. En.</t>
  </si>
  <si>
    <t>N Content Algae</t>
  </si>
  <si>
    <t>NG Cost</t>
  </si>
  <si>
    <t>H2 Cost</t>
  </si>
  <si>
    <t>LNG Value</t>
  </si>
  <si>
    <t>Propane Value</t>
  </si>
  <si>
    <t>Naphtha Value</t>
  </si>
  <si>
    <t>Elec. Cost</t>
  </si>
  <si>
    <t>Harvest Days</t>
  </si>
  <si>
    <t>CO2 Cost</t>
  </si>
  <si>
    <t>Diesel Value</t>
  </si>
  <si>
    <t>CUE</t>
  </si>
  <si>
    <t>IRR</t>
  </si>
  <si>
    <t>Harvest Conc.</t>
  </si>
  <si>
    <t>Innoculation Conc.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</si>
  <si>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</si>
  <si>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</si>
  <si>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</si>
  <si>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</si>
  <si>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</si>
  <si>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</si>
  <si>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</si>
  <si>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</si>
  <si>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</si>
  <si>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</si>
  <si>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</si>
  <si>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</si>
  <si>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</si>
  <si>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</si>
  <si>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</si>
  <si>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</si>
  <si>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</si>
  <si>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</si>
  <si>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</si>
  <si>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</si>
  <si>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</si>
  <si>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</si>
  <si>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</si>
  <si>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Slurry Pump Eff.</t>
  </si>
  <si>
    <t>Storage Losses</t>
  </si>
  <si>
    <t>Hexane Loss</t>
  </si>
  <si>
    <t>Harvest Days</t>
  </si>
  <si>
    <t>P Content Algae</t>
  </si>
  <si>
    <t>Innoculation Conc.</t>
  </si>
  <si>
    <t>Harvest Conc.</t>
  </si>
  <si>
    <t>WHE Thermal En.</t>
  </si>
  <si>
    <t>N Content Algae</t>
  </si>
  <si>
    <t>CUE</t>
  </si>
  <si>
    <t>WHE Elec. En.</t>
  </si>
  <si>
    <t>WHE Eff.</t>
  </si>
  <si>
    <t>Op Hours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</si>
  <si>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</si>
  <si>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</si>
  <si>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</si>
  <si>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</si>
  <si>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</si>
  <si>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</si>
  <si>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</si>
  <si>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</si>
  <si>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</si>
  <si>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</si>
  <si>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</si>
  <si>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</si>
  <si>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</si>
  <si>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</si>
  <si>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</si>
  <si>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</si>
  <si>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</si>
  <si>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</si>
  <si>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</si>
  <si>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</si>
  <si>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</si>
  <si>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</si>
  <si>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</si>
  <si>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</si>
  <si>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</si>
  <si>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Storage Losses</t>
  </si>
  <si>
    <t>CUE</t>
  </si>
  <si>
    <t>P Content Algae</t>
  </si>
  <si>
    <t>WHE Elec. En.</t>
  </si>
  <si>
    <t>Innoculation Conc.</t>
  </si>
  <si>
    <t>Harvest Days</t>
  </si>
  <si>
    <t>Harvest Conc.</t>
  </si>
  <si>
    <t>WHE Eff.</t>
  </si>
  <si>
    <t>Op Hours</t>
  </si>
  <si>
    <t>Max Salt Conc.</t>
  </si>
  <si>
    <t>Storage Losses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</si>
  <si>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</si>
  <si>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</si>
  <si>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</si>
  <si>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</si>
  <si>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</si>
  <si>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</si>
  <si>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</si>
  <si>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</si>
  <si>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</si>
  <si>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</si>
  <si>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</si>
  <si>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</si>
  <si>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</si>
  <si>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</si>
  <si>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</si>
  <si>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</si>
  <si>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</si>
  <si>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</si>
  <si>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</si>
  <si>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</si>
  <si>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</si>
  <si>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P Content Algae</t>
  </si>
  <si>
    <t>DAP Cost</t>
  </si>
  <si>
    <t>Ammonia Cost</t>
  </si>
  <si>
    <t>N Content Algae</t>
  </si>
  <si>
    <t>Elec. Cost</t>
  </si>
  <si>
    <t>Harvest Days</t>
  </si>
  <si>
    <t>CO2 Cost</t>
  </si>
  <si>
    <t>CUE</t>
  </si>
  <si>
    <t>IRR</t>
  </si>
  <si>
    <t>Harvest Conc.</t>
  </si>
  <si>
    <t>Innoculation Conc.</t>
  </si>
  <si>
    <t>Initial Salt Conc.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</si>
  <si>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</si>
  <si>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</si>
  <si>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</si>
  <si>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</si>
  <si>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</si>
  <si>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</si>
  <si>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</si>
  <si>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</si>
  <si>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</si>
  <si>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</si>
  <si>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</si>
  <si>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</si>
  <si>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</si>
  <si>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</si>
  <si>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Storage Losses</t>
  </si>
  <si>
    <t>Hexane Loss</t>
  </si>
  <si>
    <t>Hexane Cost</t>
  </si>
  <si>
    <t>P Content Algae</t>
  </si>
  <si>
    <t>DAP Cost</t>
  </si>
  <si>
    <t>NG Cost</t>
  </si>
  <si>
    <t>WHE Thermal En.</t>
  </si>
  <si>
    <t>Ammonia Cost</t>
  </si>
  <si>
    <t>WHE Elec. En.</t>
  </si>
  <si>
    <t>N Content Algae</t>
  </si>
  <si>
    <t>Elec. Cost</t>
  </si>
  <si>
    <t>Harvest Days</t>
  </si>
  <si>
    <t>CO2 Cost</t>
  </si>
  <si>
    <t>CUE</t>
  </si>
  <si>
    <t>IRR</t>
  </si>
  <si>
    <t>Harvest Conc.</t>
  </si>
  <si>
    <t>Innoculation Conc.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</si>
  <si>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</si>
  <si>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</si>
  <si>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</si>
  <si>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</si>
  <si>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</si>
  <si>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</si>
  <si>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</si>
  <si>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</si>
  <si>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Jet Value</t>
  </si>
  <si>
    <t>Initial Salt Conc.</t>
  </si>
  <si>
    <t>WHE Solvent:Biomass</t>
  </si>
  <si>
    <t>Storage Losses</t>
  </si>
  <si>
    <t>Water Cost</t>
  </si>
  <si>
    <t>Hexane Loss</t>
  </si>
  <si>
    <t>Hexane Cost</t>
  </si>
  <si>
    <t>P Content Algae</t>
  </si>
  <si>
    <t>DAP Cost</t>
  </si>
  <si>
    <t>WHE Thermal En.</t>
  </si>
  <si>
    <t>Ammonia Cost</t>
  </si>
  <si>
    <t>WHE Elec. En.</t>
  </si>
  <si>
    <t>N Content Algae</t>
  </si>
  <si>
    <t>NG Cost</t>
  </si>
  <si>
    <t>H2 Cost</t>
  </si>
  <si>
    <t>LNG Value</t>
  </si>
  <si>
    <t>Propane Value</t>
  </si>
  <si>
    <t>Naphtha Value</t>
  </si>
  <si>
    <t>Elec. Cost</t>
  </si>
  <si>
    <t>Harvest Days</t>
  </si>
  <si>
    <t>CO2 Cost</t>
  </si>
  <si>
    <t>Diesel Value</t>
  </si>
  <si>
    <t>CUE</t>
  </si>
  <si>
    <t>IRR</t>
  </si>
  <si>
    <t>Harvest Conc.</t>
  </si>
  <si>
    <t>Innoculation Conc.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</si>
  <si>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</si>
  <si>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</si>
  <si>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</si>
  <si>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</si>
  <si>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</si>
  <si>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</si>
  <si>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</si>
  <si>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</si>
  <si>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</si>
  <si>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</si>
  <si>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</si>
  <si>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</si>
  <si>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</si>
  <si>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</si>
  <si>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</si>
  <si>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</si>
  <si>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</si>
  <si>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</si>
  <si>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</si>
  <si>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</si>
  <si>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</si>
  <si>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</si>
  <si>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</si>
  <si>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Slurry Pump Eff.</t>
  </si>
  <si>
    <t>Storage Losses</t>
  </si>
  <si>
    <t>Hexane Loss</t>
  </si>
  <si>
    <t>Harvest Days</t>
  </si>
  <si>
    <t>P Content Algae</t>
  </si>
  <si>
    <t>Innoculation Conc.</t>
  </si>
  <si>
    <t>Harvest Conc.</t>
  </si>
  <si>
    <t>WHE Thermal En.</t>
  </si>
  <si>
    <t>N Content Algae</t>
  </si>
  <si>
    <t>CUE</t>
  </si>
  <si>
    <t>WHE Elec. En.</t>
  </si>
  <si>
    <t>WHE Eff.</t>
  </si>
  <si>
    <t>Op Hours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</si>
  <si>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</si>
  <si>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</si>
  <si>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</si>
  <si>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</si>
  <si>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</si>
  <si>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</si>
  <si>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</si>
  <si>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</si>
  <si>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</si>
  <si>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</si>
  <si>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</si>
  <si>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</si>
  <si>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</si>
  <si>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</si>
  <si>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</si>
  <si>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</si>
  <si>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</si>
  <si>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</si>
  <si>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</si>
  <si>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</si>
  <si>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</si>
  <si>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</si>
  <si>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</si>
  <si>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</si>
  <si>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</si>
  <si>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Storage Losses</t>
  </si>
  <si>
    <t>CUE</t>
  </si>
  <si>
    <t>P Content Algae</t>
  </si>
  <si>
    <t>WHE Elec. En.</t>
  </si>
  <si>
    <t>Innoculation Conc.</t>
  </si>
  <si>
    <t>Harvest Days</t>
  </si>
  <si>
    <t>Harvest Conc.</t>
  </si>
  <si>
    <t>WHE Eff.</t>
  </si>
  <si>
    <t>Op Hours</t>
  </si>
  <si>
    <t>Max Salt Conc.</t>
  </si>
  <si>
    <t>Storage Losses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</si>
  <si>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</si>
  <si>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</si>
  <si>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</si>
  <si>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</si>
  <si>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</si>
  <si>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</si>
  <si>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</si>
  <si>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</si>
  <si>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</si>
  <si>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</si>
  <si>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</si>
  <si>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</si>
  <si>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</si>
  <si>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</si>
  <si>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</si>
  <si>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</si>
  <si>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</si>
  <si>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</si>
  <si>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</si>
  <si>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</si>
  <si>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</si>
  <si>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P Content Algae</t>
  </si>
  <si>
    <t>DAP Cost</t>
  </si>
  <si>
    <t>Ammonia Cost</t>
  </si>
  <si>
    <t>Harvest Days</t>
  </si>
  <si>
    <t>Harvest Conc.</t>
  </si>
  <si>
    <t>N Content Algae</t>
  </si>
  <si>
    <t>Elec. Cost</t>
  </si>
  <si>
    <t>Innoculation Conc.</t>
  </si>
  <si>
    <t>CO2 Cost</t>
  </si>
  <si>
    <t>CUE</t>
  </si>
  <si>
    <t>IRR</t>
  </si>
  <si>
    <t>Initial Salt Conc.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</si>
  <si>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</si>
  <si>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</si>
  <si>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</si>
  <si>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</si>
  <si>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</si>
  <si>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</si>
  <si>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</si>
  <si>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</si>
  <si>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</si>
  <si>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</si>
  <si>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</si>
  <si>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</si>
  <si>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</si>
  <si>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</si>
  <si>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Storage Losses</t>
  </si>
  <si>
    <t>Hexane Loss</t>
  </si>
  <si>
    <t>Hexane Cost</t>
  </si>
  <si>
    <t>P Content Algae</t>
  </si>
  <si>
    <t>DAP Cost</t>
  </si>
  <si>
    <t>NG Cost</t>
  </si>
  <si>
    <t>WHE Thermal En.</t>
  </si>
  <si>
    <t>Ammonia Cost</t>
  </si>
  <si>
    <t>WHE Elec. En.</t>
  </si>
  <si>
    <t>N Content Algae</t>
  </si>
  <si>
    <t>Harvest Days</t>
  </si>
  <si>
    <t>Harvest Conc.</t>
  </si>
  <si>
    <t>Elec. Cost</t>
  </si>
  <si>
    <t>Innoculation Conc.</t>
  </si>
  <si>
    <t>CO2 Cost</t>
  </si>
  <si>
    <t>CUE</t>
  </si>
  <si>
    <t>IRR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</si>
  <si>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</si>
  <si>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</si>
  <si>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</si>
  <si>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</si>
  <si>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</si>
  <si>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</si>
  <si>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</si>
  <si>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</si>
  <si>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</si>
  <si>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</si>
  <si>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</si>
  <si>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</si>
  <si>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</si>
  <si>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</si>
  <si>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</si>
  <si>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Water Cost</t>
  </si>
  <si>
    <t>Storage Losses</t>
  </si>
  <si>
    <t>Hexane Loss</t>
  </si>
  <si>
    <t>Hexane Cost</t>
  </si>
  <si>
    <t>P Content Algae</t>
  </si>
  <si>
    <t>DAP Cost</t>
  </si>
  <si>
    <t>WHE Thermal En.</t>
  </si>
  <si>
    <t>Ammonia Cost</t>
  </si>
  <si>
    <t>WHE Elec. En.</t>
  </si>
  <si>
    <t>N Content Algae</t>
  </si>
  <si>
    <t>NG Cost</t>
  </si>
  <si>
    <t>Harvest Conc.</t>
  </si>
  <si>
    <t>Harvest Days</t>
  </si>
  <si>
    <t>H2 Cost</t>
  </si>
  <si>
    <t>Elec. Cost</t>
  </si>
  <si>
    <t>Innoculation Conc.</t>
  </si>
  <si>
    <t>CO2 Cost</t>
  </si>
  <si>
    <t>CUE</t>
  </si>
  <si>
    <t>IRR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</si>
  <si>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</si>
  <si>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</si>
  <si>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</si>
  <si>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</si>
  <si>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</si>
  <si>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</si>
  <si>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</si>
  <si>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</si>
  <si>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</si>
  <si>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</si>
  <si>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</si>
  <si>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</si>
  <si>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</si>
  <si>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</si>
  <si>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</si>
  <si>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</si>
  <si>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</si>
  <si>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</si>
  <si>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</si>
  <si>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</si>
  <si>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</si>
  <si>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</si>
  <si>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</si>
  <si>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Slurry Pump Eff.</t>
  </si>
  <si>
    <t>Storage Losses</t>
  </si>
  <si>
    <t>Hexane Loss</t>
  </si>
  <si>
    <t>Innoculation Conc.</t>
  </si>
  <si>
    <t>Harvest Days</t>
  </si>
  <si>
    <t>P Content Algae</t>
  </si>
  <si>
    <t>Harvest Conc.</t>
  </si>
  <si>
    <t>WHE Thermal En.</t>
  </si>
  <si>
    <t>N Content Algae</t>
  </si>
  <si>
    <t>CUE</t>
  </si>
  <si>
    <t>WHE Elec. En.</t>
  </si>
  <si>
    <t>WHE Eff.</t>
  </si>
  <si>
    <t>Op Hours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</si>
  <si>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</si>
  <si>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</si>
  <si>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</si>
  <si>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</si>
  <si>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</si>
  <si>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</si>
  <si>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</si>
  <si>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</si>
  <si>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</si>
  <si>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</si>
  <si>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</si>
  <si>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</si>
  <si>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</si>
  <si>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</si>
  <si>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</si>
  <si>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</si>
  <si>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</si>
  <si>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</si>
  <si>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</si>
  <si>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</si>
  <si>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</si>
  <si>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</si>
  <si>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</si>
  <si>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</si>
  <si>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</si>
  <si>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Storage Losses</t>
  </si>
  <si>
    <t>CUE</t>
  </si>
  <si>
    <t>P Content Algae</t>
  </si>
  <si>
    <t>WHE Elec. En.</t>
  </si>
  <si>
    <t>Innoculation Conc.</t>
  </si>
  <si>
    <t>Harvest Days</t>
  </si>
  <si>
    <t>Harvest Conc.</t>
  </si>
  <si>
    <t>WHE Eff.</t>
  </si>
  <si>
    <t>Op Hours</t>
  </si>
  <si>
    <t>Max Salt Conc.</t>
  </si>
  <si>
    <t>Storage Losses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</si>
  <si>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</si>
  <si>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</si>
  <si>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</si>
  <si>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</si>
  <si>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</si>
  <si>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</si>
  <si>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</si>
  <si>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</si>
  <si>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</si>
  <si>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</si>
  <si>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</si>
  <si>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</si>
  <si>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</si>
  <si>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</si>
  <si>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</si>
  <si>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</si>
  <si>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</si>
  <si>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</si>
  <si>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</si>
  <si>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</si>
  <si>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</si>
  <si>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P Content Algae</t>
  </si>
  <si>
    <t>DAP Cost</t>
  </si>
  <si>
    <t>Ammonia Cost</t>
  </si>
  <si>
    <t>Harvest Days</t>
  </si>
  <si>
    <t>Harvest Conc.</t>
  </si>
  <si>
    <t>N Content Algae</t>
  </si>
  <si>
    <t>Elec. Cost</t>
  </si>
  <si>
    <t>Innoculation Conc.</t>
  </si>
  <si>
    <t>CO2 Cost</t>
  </si>
  <si>
    <t>CUE</t>
  </si>
  <si>
    <t>IRR</t>
  </si>
  <si>
    <t>Initial Salt Conc.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</si>
  <si>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</si>
  <si>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</si>
  <si>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</si>
  <si>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</si>
  <si>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</si>
  <si>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</si>
  <si>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</si>
  <si>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</si>
  <si>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</si>
  <si>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</si>
  <si>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</si>
  <si>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</si>
  <si>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</si>
  <si>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</si>
  <si>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Storage Losses</t>
  </si>
  <si>
    <t>Hexane Loss</t>
  </si>
  <si>
    <t>Hexane Cost</t>
  </si>
  <si>
    <t>P Content Algae</t>
  </si>
  <si>
    <t>DAP Cost</t>
  </si>
  <si>
    <t>NG Cost</t>
  </si>
  <si>
    <t>WHE Thermal En.</t>
  </si>
  <si>
    <t>Ammonia Cost</t>
  </si>
  <si>
    <t>WHE Elec. En.</t>
  </si>
  <si>
    <t>N Content Algae</t>
  </si>
  <si>
    <t>Harvest Days</t>
  </si>
  <si>
    <t>Harvest Conc.</t>
  </si>
  <si>
    <t>Elec. Cost</t>
  </si>
  <si>
    <t>Innoculation Conc.</t>
  </si>
  <si>
    <t>CO2 Cost</t>
  </si>
  <si>
    <t>CUE</t>
  </si>
  <si>
    <t>IRR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</si>
  <si>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</si>
  <si>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</si>
  <si>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</si>
  <si>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</si>
  <si>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</si>
  <si>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</si>
  <si>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</si>
  <si>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</si>
  <si>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</si>
  <si>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</si>
  <si>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</si>
  <si>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</si>
  <si>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</si>
  <si>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</si>
  <si>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</si>
  <si>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Water Cost</t>
  </si>
  <si>
    <t>Storage Losses</t>
  </si>
  <si>
    <t>Hexane Loss</t>
  </si>
  <si>
    <t>Hexane Cost</t>
  </si>
  <si>
    <t>P Content Algae</t>
  </si>
  <si>
    <t>DAP Cost</t>
  </si>
  <si>
    <t>WHE Thermal En.</t>
  </si>
  <si>
    <t>Ammonia Cost</t>
  </si>
  <si>
    <t>WHE Elec. En.</t>
  </si>
  <si>
    <t>N Content Algae</t>
  </si>
  <si>
    <t>NG Cost</t>
  </si>
  <si>
    <t>Harvest Conc.</t>
  </si>
  <si>
    <t>Harvest Days</t>
  </si>
  <si>
    <t>H2 Cost</t>
  </si>
  <si>
    <t>Elec. Cost</t>
  </si>
  <si>
    <t>Innoculation Conc.</t>
  </si>
  <si>
    <t>CO2 Cost</t>
  </si>
  <si>
    <t>CUE</t>
  </si>
  <si>
    <t>IRR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</si>
  <si>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</si>
  <si>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</si>
  <si>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</si>
  <si>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</si>
  <si>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</si>
  <si>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</si>
  <si>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</si>
  <si>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</si>
  <si>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</si>
  <si>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</si>
  <si>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</si>
  <si>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</si>
  <si>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</si>
  <si>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</si>
  <si>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</si>
  <si>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</si>
  <si>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</si>
  <si>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</si>
  <si>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</si>
  <si>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</si>
  <si>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</si>
  <si>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</si>
  <si>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</si>
  <si>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Slurry Pump Eff.</t>
  </si>
  <si>
    <t>Storage Losses</t>
  </si>
  <si>
    <t>Hexane Loss</t>
  </si>
  <si>
    <t>Innoculation Conc.</t>
  </si>
  <si>
    <t>Harvest Days</t>
  </si>
  <si>
    <t>P Content Algae</t>
  </si>
  <si>
    <t>Harvest Conc.</t>
  </si>
  <si>
    <t>WHE Thermal En.</t>
  </si>
  <si>
    <t>N Content Algae</t>
  </si>
  <si>
    <t>CUE</t>
  </si>
  <si>
    <t>WHE Elec. En.</t>
  </si>
  <si>
    <t>WHE Eff.</t>
  </si>
  <si>
    <t>Op Hours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</si>
  <si>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</si>
  <si>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</si>
  <si>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</si>
  <si>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</si>
  <si>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</si>
  <si>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</si>
  <si>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</si>
  <si>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</si>
  <si>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</si>
  <si>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</si>
  <si>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</si>
  <si>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</si>
  <si>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</si>
  <si>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</si>
  <si>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</si>
  <si>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</si>
  <si>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</si>
  <si>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</si>
  <si>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</si>
  <si>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</si>
  <si>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</si>
  <si>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</si>
  <si>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</si>
  <si>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</si>
  <si>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</si>
  <si>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Storage Losses</t>
  </si>
  <si>
    <t>CUE</t>
  </si>
  <si>
    <t>P Content Algae</t>
  </si>
  <si>
    <t>WHE Elec. En.</t>
  </si>
  <si>
    <t>Innoculation Conc.</t>
  </si>
  <si>
    <t>Harvest Days</t>
  </si>
  <si>
    <t>Harvest Conc.</t>
  </si>
  <si>
    <t>WHE Eff.</t>
  </si>
  <si>
    <t>Op Hours</t>
  </si>
  <si>
    <t>Max Salt Conc.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</si>
  <si>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</si>
  <si>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</si>
  <si>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</si>
  <si>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</si>
  <si>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</si>
  <si>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</si>
  <si>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</si>
  <si>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</si>
  <si>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</si>
  <si>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</si>
  <si>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</si>
  <si>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</si>
  <si>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</si>
  <si>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</si>
  <si>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</si>
  <si>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</si>
  <si>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</si>
  <si>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</si>
  <si>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</si>
  <si>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</si>
  <si>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</si>
  <si>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Storage Losses</t>
  </si>
  <si>
    <t>P Content Algae</t>
  </si>
  <si>
    <t>DAP Cost</t>
  </si>
  <si>
    <t>Ammonia Cost</t>
  </si>
  <si>
    <t>N Content Algae</t>
  </si>
  <si>
    <t>Innoculation Conc.</t>
  </si>
  <si>
    <t>Harvest Conc.</t>
  </si>
  <si>
    <t>Elec. Cost</t>
  </si>
  <si>
    <t>Harvest Days</t>
  </si>
  <si>
    <t>IRR</t>
  </si>
  <si>
    <t>CO2 Cost</t>
  </si>
  <si>
    <t>CUE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</si>
  <si>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</si>
  <si>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</si>
  <si>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</si>
  <si>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</si>
  <si>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</si>
  <si>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</si>
  <si>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</si>
  <si>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</si>
  <si>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</si>
  <si>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</si>
  <si>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</si>
  <si>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</si>
  <si>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</si>
  <si>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</si>
  <si>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</si>
  <si>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Hexane Loss</t>
  </si>
  <si>
    <t>Hexane Cost</t>
  </si>
  <si>
    <t>NG Cost</t>
  </si>
  <si>
    <t>Storage Losses</t>
  </si>
  <si>
    <t>P Content Algae</t>
  </si>
  <si>
    <t>DAP Cost</t>
  </si>
  <si>
    <t>WHE Thermal En.</t>
  </si>
  <si>
    <t>WHE Elec. En.</t>
  </si>
  <si>
    <t>Ammonia Cost</t>
  </si>
  <si>
    <t>N Content Algae</t>
  </si>
  <si>
    <t>Innoculation Conc.</t>
  </si>
  <si>
    <t>Harvest Conc.</t>
  </si>
  <si>
    <t>Elec. Cost</t>
  </si>
  <si>
    <t>Harvest Days</t>
  </si>
  <si>
    <t>IRR</t>
  </si>
  <si>
    <t>CO2 Cost</t>
  </si>
  <si>
    <t>CUE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</si>
  <si>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</si>
  <si>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</si>
  <si>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</si>
  <si>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</si>
  <si>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</si>
  <si>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</si>
  <si>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</si>
  <si>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</si>
  <si>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</si>
  <si>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</si>
  <si>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</si>
  <si>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</si>
  <si>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</si>
  <si>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</si>
  <si>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</si>
  <si>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Water Cost</t>
  </si>
  <si>
    <t>Hexane Loss</t>
  </si>
  <si>
    <t>Hexane Cost</t>
  </si>
  <si>
    <t>Storage Losses</t>
  </si>
  <si>
    <t>P Content Algae</t>
  </si>
  <si>
    <t>DAP Cost</t>
  </si>
  <si>
    <t>NG Cost</t>
  </si>
  <si>
    <t>WHE Thermal En.</t>
  </si>
  <si>
    <t>WHE Elec. En.</t>
  </si>
  <si>
    <t>Ammonia Cost</t>
  </si>
  <si>
    <t>N Content Algae</t>
  </si>
  <si>
    <t>H2 Cost</t>
  </si>
  <si>
    <t>Harvest Conc.</t>
  </si>
  <si>
    <t>Innoculation Conc.</t>
  </si>
  <si>
    <t>Elec. Cost</t>
  </si>
  <si>
    <t>Harvest Days</t>
  </si>
  <si>
    <t>IRR</t>
  </si>
  <si>
    <t>CO2 Cost</t>
  </si>
  <si>
    <t>CUE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</si>
  <si>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</si>
  <si>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</si>
  <si>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</si>
  <si>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</si>
  <si>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</si>
  <si>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</si>
  <si>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</si>
  <si>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</si>
  <si>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</si>
  <si>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</si>
  <si>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</si>
  <si>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</si>
  <si>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</si>
  <si>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</si>
  <si>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</si>
  <si>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</si>
  <si>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</si>
  <si>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</si>
  <si>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</si>
  <si>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</si>
  <si>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</si>
  <si>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</si>
  <si>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</si>
  <si>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Storage Losses</t>
  </si>
  <si>
    <t>Slurry Pump Eff.</t>
  </si>
  <si>
    <t>Hexane Loss</t>
  </si>
  <si>
    <t>P Content Algae</t>
  </si>
  <si>
    <t>Innoculation Conc.</t>
  </si>
  <si>
    <t>Harvest Days</t>
  </si>
  <si>
    <t>WHE Thermal En.</t>
  </si>
  <si>
    <t>Harvest Conc.</t>
  </si>
  <si>
    <t>N Content Algae</t>
  </si>
  <si>
    <t>WHE Elec. En.</t>
  </si>
  <si>
    <t>CUE</t>
  </si>
  <si>
    <t>Op Hours</t>
  </si>
  <si>
    <t>WHE Eff.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</si>
  <si>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</si>
  <si>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</si>
  <si>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</si>
  <si>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</si>
  <si>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</si>
  <si>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</si>
  <si>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</si>
  <si>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</si>
  <si>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</si>
  <si>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</si>
  <si>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</si>
  <si>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</si>
  <si>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</si>
  <si>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</si>
  <si>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</si>
  <si>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</si>
  <si>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</si>
  <si>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</si>
  <si>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</si>
  <si>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</si>
  <si>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</si>
  <si>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</si>
  <si>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</si>
  <si>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</si>
  <si>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</si>
  <si>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WHE Elec. En.</t>
  </si>
  <si>
    <t>P Content Algae</t>
  </si>
  <si>
    <t>CUE</t>
  </si>
  <si>
    <t>Storage Losses</t>
  </si>
  <si>
    <t>Innoculation Conc.</t>
  </si>
  <si>
    <t>Harvest Conc.</t>
  </si>
  <si>
    <t>Harvest Days</t>
  </si>
  <si>
    <t>WHE Eff.</t>
  </si>
  <si>
    <t>Op Hours</t>
  </si>
  <si>
    <t>Max Salt Conc.</t>
  </si>
  <si>
    <t>Slurry Pump Eff.</t>
  </si>
  <si>
    <t>Op Days</t>
  </si>
  <si>
    <t>Op Hours</t>
  </si>
  <si>
    <t>WHE Thermal En.</t>
  </si>
  <si>
    <t>WHE Elec. En.</t>
  </si>
  <si>
    <t>WHE Solvent:Biomass</t>
  </si>
  <si>
    <t>Hexane Loss</t>
  </si>
  <si>
    <t>WHE Eff.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</si>
  <si>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</si>
  <si>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</si>
  <si>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</si>
  <si>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</si>
  <si>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</si>
  <si>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</si>
  <si>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</si>
  <si>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</si>
  <si>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</si>
  <si>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</si>
  <si>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</si>
  <si>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</si>
  <si>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</si>
  <si>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Storage Losses</t>
  </si>
  <si>
    <t>P Content Algae</t>
  </si>
  <si>
    <t>DAP Cost</t>
  </si>
  <si>
    <t>Ammonia Cost</t>
  </si>
  <si>
    <t>N Content Algae</t>
  </si>
  <si>
    <t>Innoculation Conc.</t>
  </si>
  <si>
    <t>Harvest Conc.</t>
  </si>
  <si>
    <t>Elec. Cost</t>
  </si>
  <si>
    <t>Harvest Days</t>
  </si>
  <si>
    <t>IRR</t>
  </si>
  <si>
    <t>CO2 Cost</t>
  </si>
  <si>
    <t>CUE</t>
  </si>
  <si>
    <t>Max Salt Conc.</t>
  </si>
  <si>
    <t>Slurry Pump Eff.</t>
  </si>
  <si>
    <t>Op Days</t>
  </si>
  <si>
    <t>NG Trans Cost</t>
  </si>
  <si>
    <t>H2 Cost</t>
  </si>
  <si>
    <t>Water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</si>
  <si>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</si>
  <si>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</si>
  <si>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</si>
  <si>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</si>
  <si>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</si>
  <si>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</si>
  <si>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</si>
  <si>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</si>
  <si>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</si>
  <si>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Hexane Loss</t>
  </si>
  <si>
    <t>Hexane Cost</t>
  </si>
  <si>
    <t>NG Cost</t>
  </si>
  <si>
    <t>Storage Losses</t>
  </si>
  <si>
    <t>P Content Algae</t>
  </si>
  <si>
    <t>DAP Cost</t>
  </si>
  <si>
    <t>WHE Thermal En.</t>
  </si>
  <si>
    <t>WHE Elec. En.</t>
  </si>
  <si>
    <t>Ammonia Cost</t>
  </si>
  <si>
    <t>N Content Algae</t>
  </si>
  <si>
    <t>Innoculation Conc.</t>
  </si>
  <si>
    <t>Harvest Conc.</t>
  </si>
  <si>
    <t>Elec. Cost</t>
  </si>
  <si>
    <t>Harvest Days</t>
  </si>
  <si>
    <t>IRR</t>
  </si>
  <si>
    <t>CO2 Cost</t>
  </si>
  <si>
    <t>CUE</t>
  </si>
  <si>
    <t>WHE Eff.</t>
  </si>
  <si>
    <t>Op Hours</t>
  </si>
  <si>
    <t>Max Salt Conc.</t>
  </si>
  <si>
    <t>Slurry Pump Eff.</t>
  </si>
  <si>
    <t>Op Days</t>
  </si>
  <si>
    <t>NG Trans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</si>
  <si>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</si>
  <si>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</si>
  <si>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</si>
  <si>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</si>
  <si>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</si>
  <si>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</si>
  <si>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</si>
  <si>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</si>
  <si>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</si>
  <si>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Water Cost</t>
  </si>
  <si>
    <t>Hexane Loss</t>
  </si>
  <si>
    <t>Hexane Cost</t>
  </si>
  <si>
    <t>Storage Losses</t>
  </si>
  <si>
    <t>P Content Algae</t>
  </si>
  <si>
    <t>DAP Cost</t>
  </si>
  <si>
    <t>NG Cost</t>
  </si>
  <si>
    <t>WHE Thermal En.</t>
  </si>
  <si>
    <t>WHE Elec. En.</t>
  </si>
  <si>
    <t>Ammonia Cost</t>
  </si>
  <si>
    <t>N Content Algae</t>
  </si>
  <si>
    <t>H2 Cost</t>
  </si>
  <si>
    <t>Harvest Conc.</t>
  </si>
  <si>
    <t>Innoculation Conc.</t>
  </si>
  <si>
    <t>Elec. Cost</t>
  </si>
  <si>
    <t>Harvest Days</t>
  </si>
  <si>
    <t>IRR</t>
  </si>
  <si>
    <t>CO2 Cost</t>
  </si>
  <si>
    <t>CUE</t>
  </si>
  <si>
    <t>WHE Eff.</t>
  </si>
  <si>
    <t>Op Hours</t>
  </si>
  <si>
    <t>Max Salt Conc.</t>
  </si>
  <si>
    <t>Op Days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</si>
  <si>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</si>
  <si>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</si>
  <si>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</si>
  <si>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</si>
  <si>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</si>
  <si>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</si>
  <si>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</si>
  <si>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</si>
  <si>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</si>
  <si>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</si>
  <si>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</si>
  <si>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</si>
  <si>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</si>
  <si>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</si>
  <si>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</si>
  <si>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</si>
  <si>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</si>
  <si>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WHE Solvent:Biomass</t>
  </si>
  <si>
    <t>Initial Salt Conc.</t>
  </si>
  <si>
    <t>Storage Losses</t>
  </si>
  <si>
    <t>Slurry Pump Eff.</t>
  </si>
  <si>
    <t>Hexane Loss</t>
  </si>
  <si>
    <t>P Content Algae</t>
  </si>
  <si>
    <t>Innoculation Conc.</t>
  </si>
  <si>
    <t>Harvest Days</t>
  </si>
  <si>
    <t>WHE Thermal En.</t>
  </si>
  <si>
    <t>Harvest Conc.</t>
  </si>
  <si>
    <t>N Content Algae</t>
  </si>
  <si>
    <t>WHE Elec. En.</t>
  </si>
  <si>
    <t>CUE</t>
  </si>
  <si>
    <t>Op Hours</t>
  </si>
  <si>
    <t>WHE Eff.</t>
  </si>
  <si>
    <t>Max Salt Conc.</t>
  </si>
  <si>
    <t>Op Days</t>
  </si>
  <si>
    <t>WHE Thermal En.</t>
  </si>
  <si>
    <t>IRR</t>
  </si>
  <si>
    <t>Elec. Cost</t>
  </si>
  <si>
    <t>Ammonia Cost</t>
  </si>
  <si>
    <t>DAP Cost</t>
  </si>
  <si>
    <t>CO2 Cost</t>
  </si>
  <si>
    <t>NG Cost</t>
  </si>
  <si>
    <t>NG Trans Cost</t>
  </si>
  <si>
    <t>H2 Cost</t>
  </si>
  <si>
    <t>Water Cost</t>
  </si>
  <si>
    <t>Hexane Cost</t>
  </si>
  <si>
    <t>Carbon Offset Value</t>
  </si>
  <si>
    <t>Lip. Purchase Price</t>
  </si>
  <si>
    <t>Propane Value</t>
  </si>
  <si>
    <t>LNG Value</t>
  </si>
  <si>
    <t>Naphtha Value</t>
  </si>
  <si>
    <t>Jet Value</t>
  </si>
  <si>
    <t>Diesel Value</t>
  </si>
  <si>
    <t>Initial Salt Conc.</t>
  </si>
  <si>
    <t>WHE Solvent:Biomass</t>
  </si>
  <si>
    <t>Slurry Pump Eff.</t>
  </si>
  <si>
    <t>Hexane Loss</t>
  </si>
  <si>
    <t>N Content Algae</t>
  </si>
  <si>
    <t>WHE Elec. En.</t>
  </si>
  <si>
    <t>P Content Algae</t>
  </si>
  <si>
    <t>CUE</t>
  </si>
  <si>
    <t>Storage Losses</t>
  </si>
  <si>
    <t>Innoculation Conc.</t>
  </si>
  <si>
    <t>Harvest Conc.</t>
  </si>
  <si>
    <t>Harvest Days</t>
  </si>
  <si>
    <t>WHE Eff.</t>
  </si>
  <si>
    <t>Op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</si>
</sst>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/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true"/>
    <xf numFmtId="0" fontId="1" fillId="2" borderId="1" xfId="0" applyFont="true" applyFill="true" applyBorder="true"/>
    <xf numFmtId="2" fontId="0" fillId="0" borderId="1" xfId="0" applyNumberFormat="true" applyBorder="true"/>
    <xf numFmtId="22" fontId="0" fillId="0" borderId="2" xfId="0" applyNumberFormat="true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sharedStrings.xml" Type="http://schemas.openxmlformats.org/officeDocument/2006/relationships/sharedStrings" Id="rId8"/><Relationship Target="worksheets/sheet3.xml" Type="http://schemas.openxmlformats.org/officeDocument/2006/relationships/worksheet" Id="rId3"/><Relationship Target="styles.xml" Type="http://schemas.openxmlformats.org/officeDocument/2006/relationships/styles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theme/theme1.xml" Type="http://schemas.openxmlformats.org/officeDocument/2006/relationships/theme" Id="rId6"/><Relationship Target="worksheets/sheet5.xml" Type="http://schemas.openxmlformats.org/officeDocument/2006/relationships/worksheet" Id="rId5"/><Relationship Target="worksheets/sheet4.xml" Type="http://schemas.openxmlformats.org/officeDocument/2006/relationships/worksheet" Id="rId4"/></Relationships>
</file>

<file path=xl/charts/_rels/chart1.xml.rels><?xml version="1.0" encoding="UTF-8"?><Relationships xmlns="http://schemas.openxmlformats.org/package/2006/relationships"><Relationship Target="colors1.xml" Type="http://schemas.microsoft.com/office/2011/relationships/chartColorStyle" Id="rId2"/><Relationship Target="style1.xml" Type="http://schemas.microsoft.com/office/2011/relationships/chartStyle" Id="rId1"/></Relationships>
</file>

<file path=xl/charts/_rels/chart2.xml.rels><?xml version="1.0" encoding="UTF-8"?><Relationships xmlns="http://schemas.openxmlformats.org/package/2006/relationships"><Relationship Target="colors2.xml" Type="http://schemas.microsoft.com/office/2011/relationships/chartColorStyle" Id="rId2"/><Relationship Target="style2.xml" Type="http://schemas.microsoft.com/office/2011/relationships/chartStyle" Id="rId1"/></Relationships>
</file>

<file path=xl/charts/_rels/chart3.xml.rels><?xml version="1.0" encoding="UTF-8"?><Relationships xmlns="http://schemas.openxmlformats.org/package/2006/relationships"><Relationship Target="colors3.xml" Type="http://schemas.microsoft.com/office/2011/relationships/chartColorStyle" Id="rId2"/><Relationship Target="style3.xml" Type="http://schemas.microsoft.com/office/2011/relationships/chartStyle" Id="rId1"/></Relationships>
</file>

<file path=xl/charts/_rels/chart4.xml.rels><?xml version="1.0" encoding="UTF-8"?><Relationships xmlns="http://schemas.openxmlformats.org/package/2006/relationships"><Relationship Target="colors4.xml" Type="http://schemas.microsoft.com/office/2011/relationships/chartColorStyle" Id="rId2"/><Relationship Target="style4.xml" Type="http://schemas.microsoft.com/office/2011/relationships/chartStyle" Id="rId1"/></Relationships>
</file>

<file path=xl/charts/_rels/chart5.xml.rels><?xml version="1.0" encoding="UTF-8"?><Relationships xmlns="http://schemas.openxmlformats.org/package/2006/relationships"><Relationship Target="colors5.xml" Type="http://schemas.microsoft.com/office/2011/relationships/chartColorStyle" Id="rId2"/><Relationship Target="style5.xml" Type="http://schemas.microsoft.com/office/2011/relationships/chartStyle" Id="rId1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MBSP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SAF_MBSP!$I$1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SAF_MBSP!$A$2:$A$35</c:f>
              <c:strCache>
                <c:ptCount val="34"/>
                <c:pt idx="0">
                  <c:v>Max Salt Conc.</c:v>
                </c:pt>
                <c:pt idx="1">
                  <c:v>Storage Losses</c:v>
                </c:pt>
                <c:pt idx="2">
                  <c:v>Slurry Pump Eff.</c:v>
                </c:pt>
                <c:pt idx="3">
                  <c:v>Op Days</c:v>
                </c:pt>
                <c:pt idx="4">
                  <c:v>Op Hours</c:v>
                </c:pt>
                <c:pt idx="5">
                  <c:v>WHE Thermal En.</c:v>
                </c:pt>
                <c:pt idx="6">
                  <c:v>WHE Elec. En.</c:v>
                </c:pt>
                <c:pt idx="7">
                  <c:v>WHE Solvent:Biomass</c:v>
                </c:pt>
                <c:pt idx="8">
                  <c:v>Hexane Loss</c:v>
                </c:pt>
                <c:pt idx="9">
                  <c:v>WHE Eff.</c:v>
                </c:pt>
                <c:pt idx="10">
                  <c:v>NG Cost</c:v>
                </c:pt>
                <c:pt idx="11">
                  <c:v>NG Trans Cost</c:v>
                </c:pt>
                <c:pt idx="12">
                  <c:v>H2 Cost</c:v>
                </c:pt>
                <c:pt idx="13">
                  <c:v>Water Cost</c:v>
                </c:pt>
                <c:pt idx="14">
                  <c:v>Hexane Cost</c:v>
                </c:pt>
                <c:pt idx="15">
                  <c:v>Carbon Offset Value</c:v>
                </c:pt>
                <c:pt idx="16">
                  <c:v>Lip. Purchase Price</c:v>
                </c:pt>
                <c:pt idx="17">
                  <c:v>Propane Value</c:v>
                </c:pt>
                <c:pt idx="18">
                  <c:v>LNG Value</c:v>
                </c:pt>
                <c:pt idx="19">
                  <c:v>Naphtha Value</c:v>
                </c:pt>
                <c:pt idx="20">
                  <c:v>Jet Value</c:v>
                </c:pt>
                <c:pt idx="21">
                  <c:v>Diesel Value</c:v>
                </c:pt>
                <c:pt idx="22">
                  <c:v>Initial Salt Conc.</c:v>
                </c:pt>
                <c:pt idx="23">
                  <c:v>P Content Algae</c:v>
                </c:pt>
                <c:pt idx="24">
                  <c:v>DAP Cost</c:v>
                </c:pt>
                <c:pt idx="25">
                  <c:v>Ammonia Cost</c:v>
                </c:pt>
                <c:pt idx="26">
                  <c:v>N Content Algae</c:v>
                </c:pt>
                <c:pt idx="27">
                  <c:v>Elec. Cost</c:v>
                </c:pt>
                <c:pt idx="28">
                  <c:v>Harvest Days</c:v>
                </c:pt>
                <c:pt idx="29">
                  <c:v>CO2 Cost</c:v>
                </c:pt>
                <c:pt idx="30">
                  <c:v>CUE</c:v>
                </c:pt>
                <c:pt idx="31">
                  <c:v>IRR</c:v>
                </c:pt>
                <c:pt idx="32">
                  <c:v>Harvest Conc.</c:v>
                </c:pt>
                <c:pt idx="33">
                  <c:v>Innoculation Conc.</c:v>
                </c:pt>
              </c:strCache>
            </c:strRef>
          </c:cat>
          <c:val>
            <c:numRef>
              <c:f>SAF_MBSP!$I$2:$I$35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2.8000000000929504E-3</c:v>
                </c:pt>
                <c:pt idx="23">
                  <c:v>1.4615000000000009</c:v>
                </c:pt>
                <c:pt idx="24">
                  <c:v>1.9799000000000433</c:v>
                </c:pt>
                <c:pt idx="25">
                  <c:v>4.2707000000000335</c:v>
                </c:pt>
                <c:pt idx="26">
                  <c:v>4.7891000000000759</c:v>
                </c:pt>
                <c:pt idx="27">
                  <c:v>7.8251999999999953</c:v>
                </c:pt>
                <c:pt idx="28">
                  <c:v>2.180300000000102</c:v>
                </c:pt>
                <c:pt idx="29">
                  <c:v>18.757900000000063</c:v>
                </c:pt>
                <c:pt idx="30">
                  <c:v>-5.4227999999999383</c:v>
                </c:pt>
                <c:pt idx="31">
                  <c:v>56.198900000000094</c:v>
                </c:pt>
                <c:pt idx="32">
                  <c:v>75.98700000000008</c:v>
                </c:pt>
                <c:pt idx="33">
                  <c:v>1.5520000000000209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2-4DD4-9480-8521F54ACB32}"/>
            </c:ext>
          </c:extLst>
        </c:ser>
        <c:ser>
          <c:idx val="1"/>
          <c:order val="1"/>
          <c:tx>
            <c:strRef>
              <c:f>SAF_MBSP!$J$1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SAF_MBSP!$A$2:$A$35</c:f>
              <c:strCache>
                <c:ptCount val="34"/>
                <c:pt idx="0">
                  <c:v>Max Salt Conc.</c:v>
                </c:pt>
                <c:pt idx="1">
                  <c:v>Storage Losses</c:v>
                </c:pt>
                <c:pt idx="2">
                  <c:v>Slurry Pump Eff.</c:v>
                </c:pt>
                <c:pt idx="3">
                  <c:v>Op Days</c:v>
                </c:pt>
                <c:pt idx="4">
                  <c:v>Op Hours</c:v>
                </c:pt>
                <c:pt idx="5">
                  <c:v>WHE Thermal En.</c:v>
                </c:pt>
                <c:pt idx="6">
                  <c:v>WHE Elec. En.</c:v>
                </c:pt>
                <c:pt idx="7">
                  <c:v>WHE Solvent:Biomass</c:v>
                </c:pt>
                <c:pt idx="8">
                  <c:v>Hexane Loss</c:v>
                </c:pt>
                <c:pt idx="9">
                  <c:v>WHE Eff.</c:v>
                </c:pt>
                <c:pt idx="10">
                  <c:v>NG Cost</c:v>
                </c:pt>
                <c:pt idx="11">
                  <c:v>NG Trans Cost</c:v>
                </c:pt>
                <c:pt idx="12">
                  <c:v>H2 Cost</c:v>
                </c:pt>
                <c:pt idx="13">
                  <c:v>Water Cost</c:v>
                </c:pt>
                <c:pt idx="14">
                  <c:v>Hexane Cost</c:v>
                </c:pt>
                <c:pt idx="15">
                  <c:v>Carbon Offset Value</c:v>
                </c:pt>
                <c:pt idx="16">
                  <c:v>Lip. Purchase Price</c:v>
                </c:pt>
                <c:pt idx="17">
                  <c:v>Propane Value</c:v>
                </c:pt>
                <c:pt idx="18">
                  <c:v>LNG Value</c:v>
                </c:pt>
                <c:pt idx="19">
                  <c:v>Naphtha Value</c:v>
                </c:pt>
                <c:pt idx="20">
                  <c:v>Jet Value</c:v>
                </c:pt>
                <c:pt idx="21">
                  <c:v>Diesel Value</c:v>
                </c:pt>
                <c:pt idx="22">
                  <c:v>Initial Salt Conc.</c:v>
                </c:pt>
                <c:pt idx="23">
                  <c:v>P Content Algae</c:v>
                </c:pt>
                <c:pt idx="24">
                  <c:v>DAP Cost</c:v>
                </c:pt>
                <c:pt idx="25">
                  <c:v>Ammonia Cost</c:v>
                </c:pt>
                <c:pt idx="26">
                  <c:v>N Content Algae</c:v>
                </c:pt>
                <c:pt idx="27">
                  <c:v>Elec. Cost</c:v>
                </c:pt>
                <c:pt idx="28">
                  <c:v>Harvest Days</c:v>
                </c:pt>
                <c:pt idx="29">
                  <c:v>CO2 Cost</c:v>
                </c:pt>
                <c:pt idx="30">
                  <c:v>CUE</c:v>
                </c:pt>
                <c:pt idx="31">
                  <c:v>IRR</c:v>
                </c:pt>
                <c:pt idx="32">
                  <c:v>Harvest Conc.</c:v>
                </c:pt>
                <c:pt idx="33">
                  <c:v>Innoculation Conc.</c:v>
                </c:pt>
              </c:strCache>
            </c:strRef>
          </c:cat>
          <c:val>
            <c:numRef>
              <c:f>SAF_MBSP!$J$2:$J$35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-2.7999999999792635E-3</c:v>
                </c:pt>
                <c:pt idx="23">
                  <c:v>-1.4615000000000009</c:v>
                </c:pt>
                <c:pt idx="24">
                  <c:v>-1.9797999999999547</c:v>
                </c:pt>
                <c:pt idx="25">
                  <c:v>-4.2706999999999198</c:v>
                </c:pt>
                <c:pt idx="26">
                  <c:v>-4.7889999999999873</c:v>
                </c:pt>
                <c:pt idx="27">
                  <c:v>-7.8251999999999953</c:v>
                </c:pt>
                <c:pt idx="28">
                  <c:v>9.668100000000095</c:v>
                </c:pt>
                <c:pt idx="29">
                  <c:v>-18.75789999999995</c:v>
                </c:pt>
                <c:pt idx="30">
                  <c:v>27.086900000000014</c:v>
                </c:pt>
                <c:pt idx="31">
                  <c:v>-55.486099999999965</c:v>
                </c:pt>
                <c:pt idx="32">
                  <c:v>6.5808000000000675</c:v>
                </c:pt>
                <c:pt idx="33">
                  <c:v>100.1785000000001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22-4DD4-9480-8521F54AC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MSBP (2019 USD per Tonne AFDW)</a:t>
                </a:r>
              </a:p>
            </c:rich>
          </c:tx>
          <c:layout>
            <c:manualLayout>
              <c:xMode val="edge"/>
              <c:yMode val="edge"/>
              <c:x val="0.32962776913159825"/>
              <c:y val="0.94651717789007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MLSP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SAF_MLSP!$I$1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SAF_MLSP!$A$2:$A$35</c:f>
              <c:strCache>
                <c:ptCount val="34"/>
                <c:pt idx="0">
                  <c:v>Initial Salt Conc.</c:v>
                </c:pt>
                <c:pt idx="1">
                  <c:v>Max Salt Conc.</c:v>
                </c:pt>
                <c:pt idx="2">
                  <c:v>Storage Losses</c:v>
                </c:pt>
                <c:pt idx="3">
                  <c:v>Slurry Pump Eff.</c:v>
                </c:pt>
                <c:pt idx="4">
                  <c:v>Op Days</c:v>
                </c:pt>
                <c:pt idx="5">
                  <c:v>Op Hours</c:v>
                </c:pt>
                <c:pt idx="6">
                  <c:v>NG Trans Cost</c:v>
                </c:pt>
                <c:pt idx="7">
                  <c:v>H2 Cost</c:v>
                </c:pt>
                <c:pt idx="8">
                  <c:v>Water Cost</c:v>
                </c:pt>
                <c:pt idx="9">
                  <c:v>Carbon Offset Value</c:v>
                </c:pt>
                <c:pt idx="10">
                  <c:v>Lip. Purchase Price</c:v>
                </c:pt>
                <c:pt idx="11">
                  <c:v>Propane Value</c:v>
                </c:pt>
                <c:pt idx="12">
                  <c:v>LNG Value</c:v>
                </c:pt>
                <c:pt idx="13">
                  <c:v>Naphtha Value</c:v>
                </c:pt>
                <c:pt idx="14">
                  <c:v>Jet Value</c:v>
                </c:pt>
                <c:pt idx="15">
                  <c:v>Diesel Value</c:v>
                </c:pt>
                <c:pt idx="16">
                  <c:v>WHE Solvent:Biomass</c:v>
                </c:pt>
                <c:pt idx="17">
                  <c:v>Hexane Loss</c:v>
                </c:pt>
                <c:pt idx="18">
                  <c:v>Hexane Cost</c:v>
                </c:pt>
                <c:pt idx="19">
                  <c:v>P Content Algae</c:v>
                </c:pt>
                <c:pt idx="20">
                  <c:v>DAP Cost</c:v>
                </c:pt>
                <c:pt idx="21">
                  <c:v>NG Cost</c:v>
                </c:pt>
                <c:pt idx="22">
                  <c:v>WHE Thermal En.</c:v>
                </c:pt>
                <c:pt idx="23">
                  <c:v>WHE Elec. En.</c:v>
                </c:pt>
                <c:pt idx="24">
                  <c:v>Ammonia Cost</c:v>
                </c:pt>
                <c:pt idx="25">
                  <c:v>N Content Algae</c:v>
                </c:pt>
                <c:pt idx="26">
                  <c:v>Elec. Cost</c:v>
                </c:pt>
                <c:pt idx="27">
                  <c:v>Harvest Days</c:v>
                </c:pt>
                <c:pt idx="28">
                  <c:v>CO2 Cost</c:v>
                </c:pt>
                <c:pt idx="29">
                  <c:v>CUE</c:v>
                </c:pt>
                <c:pt idx="30">
                  <c:v>IRR</c:v>
                </c:pt>
                <c:pt idx="31">
                  <c:v>Harvest Conc.</c:v>
                </c:pt>
                <c:pt idx="32">
                  <c:v>Innoculation Conc.</c:v>
                </c:pt>
                <c:pt idx="33">
                  <c:v>WHE Eff.</c:v>
                </c:pt>
              </c:strCache>
            </c:strRef>
          </c:cat>
          <c:val>
            <c:numRef>
              <c:f>SAF_MLSP!$I$2:$I$35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9.9999999999988987E-5</c:v>
                </c:pt>
                <c:pt idx="17">
                  <c:v>7.9999999999991189E-4</c:v>
                </c:pt>
                <c:pt idx="18">
                  <c:v>8.9999999999990088E-4</c:v>
                </c:pt>
                <c:pt idx="19">
                  <c:v>3.1000000000001027E-3</c:v>
                </c:pt>
                <c:pt idx="20">
                  <c:v>4.4999999999999485E-3</c:v>
                </c:pt>
                <c:pt idx="21">
                  <c:v>4.4999999999999485E-3</c:v>
                </c:pt>
                <c:pt idx="22">
                  <c:v>7.0000000000001172E-3</c:v>
                </c:pt>
                <c:pt idx="23">
                  <c:v>7.6000000000000512E-3</c:v>
                </c:pt>
                <c:pt idx="24">
                  <c:v>7.9000000000000181E-3</c:v>
                </c:pt>
                <c:pt idx="25">
                  <c:v>9.300000000000086E-3</c:v>
                </c:pt>
                <c:pt idx="26">
                  <c:v>2.2699999999999942E-2</c:v>
                </c:pt>
                <c:pt idx="27">
                  <c:v>5.9000000000000163E-3</c:v>
                </c:pt>
                <c:pt idx="28">
                  <c:v>5.06000000000002E-2</c:v>
                </c:pt>
                <c:pt idx="29">
                  <c:v>-1.4599999999999946E-2</c:v>
                </c:pt>
                <c:pt idx="30">
                  <c:v>0.16780000000000017</c:v>
                </c:pt>
                <c:pt idx="31">
                  <c:v>0.20509999999999984</c:v>
                </c:pt>
                <c:pt idx="32">
                  <c:v>4.1999999999999815E-3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3-4E72-9757-4F4B6C40D238}"/>
            </c:ext>
          </c:extLst>
        </c:ser>
        <c:ser>
          <c:idx val="1"/>
          <c:order val="1"/>
          <c:tx>
            <c:strRef>
              <c:f>SAF_MLSP!$J$1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SAF_MLSP!$A$2:$A$35</c:f>
              <c:strCache>
                <c:ptCount val="34"/>
                <c:pt idx="0">
                  <c:v>Initial Salt Conc.</c:v>
                </c:pt>
                <c:pt idx="1">
                  <c:v>Max Salt Conc.</c:v>
                </c:pt>
                <c:pt idx="2">
                  <c:v>Storage Losses</c:v>
                </c:pt>
                <c:pt idx="3">
                  <c:v>Slurry Pump Eff.</c:v>
                </c:pt>
                <c:pt idx="4">
                  <c:v>Op Days</c:v>
                </c:pt>
                <c:pt idx="5">
                  <c:v>Op Hours</c:v>
                </c:pt>
                <c:pt idx="6">
                  <c:v>NG Trans Cost</c:v>
                </c:pt>
                <c:pt idx="7">
                  <c:v>H2 Cost</c:v>
                </c:pt>
                <c:pt idx="8">
                  <c:v>Water Cost</c:v>
                </c:pt>
                <c:pt idx="9">
                  <c:v>Carbon Offset Value</c:v>
                </c:pt>
                <c:pt idx="10">
                  <c:v>Lip. Purchase Price</c:v>
                </c:pt>
                <c:pt idx="11">
                  <c:v>Propane Value</c:v>
                </c:pt>
                <c:pt idx="12">
                  <c:v>LNG Value</c:v>
                </c:pt>
                <c:pt idx="13">
                  <c:v>Naphtha Value</c:v>
                </c:pt>
                <c:pt idx="14">
                  <c:v>Jet Value</c:v>
                </c:pt>
                <c:pt idx="15">
                  <c:v>Diesel Value</c:v>
                </c:pt>
                <c:pt idx="16">
                  <c:v>WHE Solvent:Biomass</c:v>
                </c:pt>
                <c:pt idx="17">
                  <c:v>Hexane Loss</c:v>
                </c:pt>
                <c:pt idx="18">
                  <c:v>Hexane Cost</c:v>
                </c:pt>
                <c:pt idx="19">
                  <c:v>P Content Algae</c:v>
                </c:pt>
                <c:pt idx="20">
                  <c:v>DAP Cost</c:v>
                </c:pt>
                <c:pt idx="21">
                  <c:v>NG Cost</c:v>
                </c:pt>
                <c:pt idx="22">
                  <c:v>WHE Thermal En.</c:v>
                </c:pt>
                <c:pt idx="23">
                  <c:v>WHE Elec. En.</c:v>
                </c:pt>
                <c:pt idx="24">
                  <c:v>Ammonia Cost</c:v>
                </c:pt>
                <c:pt idx="25">
                  <c:v>N Content Algae</c:v>
                </c:pt>
                <c:pt idx="26">
                  <c:v>Elec. Cost</c:v>
                </c:pt>
                <c:pt idx="27">
                  <c:v>Harvest Days</c:v>
                </c:pt>
                <c:pt idx="28">
                  <c:v>CO2 Cost</c:v>
                </c:pt>
                <c:pt idx="29">
                  <c:v>CUE</c:v>
                </c:pt>
                <c:pt idx="30">
                  <c:v>IRR</c:v>
                </c:pt>
                <c:pt idx="31">
                  <c:v>Harvest Conc.</c:v>
                </c:pt>
                <c:pt idx="32">
                  <c:v>Innoculation Conc.</c:v>
                </c:pt>
                <c:pt idx="33">
                  <c:v>WHE Eff.</c:v>
                </c:pt>
              </c:strCache>
            </c:strRef>
          </c:cat>
          <c:val>
            <c:numRef>
              <c:f>SAF_MLSP!$J$2:$J$35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-9.9999999999988987E-5</c:v>
                </c:pt>
                <c:pt idx="17">
                  <c:v>-6.9999999999992291E-4</c:v>
                </c:pt>
                <c:pt idx="18">
                  <c:v>-7.9999999999991189E-4</c:v>
                </c:pt>
                <c:pt idx="19">
                  <c:v>-3.0999999999998806E-3</c:v>
                </c:pt>
                <c:pt idx="20">
                  <c:v>-4.4999999999999485E-3</c:v>
                </c:pt>
                <c:pt idx="21">
                  <c:v>-4.3999999999999595E-3</c:v>
                </c:pt>
                <c:pt idx="22">
                  <c:v>-6.9999999999998952E-3</c:v>
                </c:pt>
                <c:pt idx="23">
                  <c:v>-7.5000000000000622E-3</c:v>
                </c:pt>
                <c:pt idx="24">
                  <c:v>-7.8000000000000291E-3</c:v>
                </c:pt>
                <c:pt idx="25">
                  <c:v>-9.200000000000097E-3</c:v>
                </c:pt>
                <c:pt idx="26">
                  <c:v>-2.2599999999999953E-2</c:v>
                </c:pt>
                <c:pt idx="27">
                  <c:v>2.6100000000000012E-2</c:v>
                </c:pt>
                <c:pt idx="28">
                  <c:v>-5.0599999999999978E-2</c:v>
                </c:pt>
                <c:pt idx="29">
                  <c:v>7.3100000000000165E-2</c:v>
                </c:pt>
                <c:pt idx="30">
                  <c:v>-0.16579999999999995</c:v>
                </c:pt>
                <c:pt idx="31">
                  <c:v>1.7700000000000049E-2</c:v>
                </c:pt>
                <c:pt idx="32">
                  <c:v>0.27030000000000021</c:v>
                </c:pt>
                <c:pt idx="33">
                  <c:v>0.46479999999999988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83-4E72-9757-4F4B6C40D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MLSP (2019 USD per kg Lipid)</a:t>
                </a:r>
              </a:p>
            </c:rich>
          </c:tx>
          <c:layout>
            <c:manualLayout>
              <c:xMode val="edge"/>
              <c:yMode val="edge"/>
              <c:x val="0.37625529685501641"/>
              <c:y val="0.94452712813883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MFSP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SAF_MFSP!$I$1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SAF_MFSP!$A$2:$A$35</c:f>
              <c:strCache>
                <c:ptCount val="34"/>
                <c:pt idx="0">
                  <c:v>Max Salt Conc.</c:v>
                </c:pt>
                <c:pt idx="1">
                  <c:v>Slurry Pump Eff.</c:v>
                </c:pt>
                <c:pt idx="2">
                  <c:v>Op Days</c:v>
                </c:pt>
                <c:pt idx="3">
                  <c:v>Op Hours</c:v>
                </c:pt>
                <c:pt idx="4">
                  <c:v>NG Trans Cost</c:v>
                </c:pt>
                <c:pt idx="5">
                  <c:v>Carbon Offset Value</c:v>
                </c:pt>
                <c:pt idx="6">
                  <c:v>Lip. Purchase Price</c:v>
                </c:pt>
                <c:pt idx="7">
                  <c:v>Jet Value</c:v>
                </c:pt>
                <c:pt idx="8">
                  <c:v>Initial Salt Conc.</c:v>
                </c:pt>
                <c:pt idx="9">
                  <c:v>Storage Losses</c:v>
                </c:pt>
                <c:pt idx="10">
                  <c:v>WHE Solvent:Biomass</c:v>
                </c:pt>
                <c:pt idx="11">
                  <c:v>Water Cost</c:v>
                </c:pt>
                <c:pt idx="12">
                  <c:v>Hexane Loss</c:v>
                </c:pt>
                <c:pt idx="13">
                  <c:v>Hexane Cost</c:v>
                </c:pt>
                <c:pt idx="14">
                  <c:v>P Content Algae</c:v>
                </c:pt>
                <c:pt idx="15">
                  <c:v>DAP Cost</c:v>
                </c:pt>
                <c:pt idx="16">
                  <c:v>WHE Thermal En.</c:v>
                </c:pt>
                <c:pt idx="17">
                  <c:v>WHE Elec. En.</c:v>
                </c:pt>
                <c:pt idx="18">
                  <c:v>Ammonia Cost</c:v>
                </c:pt>
                <c:pt idx="19">
                  <c:v>NG Cost</c:v>
                </c:pt>
                <c:pt idx="20">
                  <c:v>N Content Algae</c:v>
                </c:pt>
                <c:pt idx="21">
                  <c:v>H2 Cost</c:v>
                </c:pt>
                <c:pt idx="22">
                  <c:v>LNG Value</c:v>
                </c:pt>
                <c:pt idx="23">
                  <c:v>Propane Value</c:v>
                </c:pt>
                <c:pt idx="24">
                  <c:v>Naphtha Value</c:v>
                </c:pt>
                <c:pt idx="25">
                  <c:v>Elec. Cost</c:v>
                </c:pt>
                <c:pt idx="26">
                  <c:v>Harvest Days</c:v>
                </c:pt>
                <c:pt idx="27">
                  <c:v>CO2 Cost</c:v>
                </c:pt>
                <c:pt idx="28">
                  <c:v>CUE</c:v>
                </c:pt>
                <c:pt idx="29">
                  <c:v>Diesel Value</c:v>
                </c:pt>
                <c:pt idx="30">
                  <c:v>IRR</c:v>
                </c:pt>
                <c:pt idx="31">
                  <c:v>Harvest Conc.</c:v>
                </c:pt>
                <c:pt idx="32">
                  <c:v>Innoculation Conc.</c:v>
                </c:pt>
                <c:pt idx="33">
                  <c:v>WHE Eff.</c:v>
                </c:pt>
              </c:strCache>
            </c:strRef>
          </c:cat>
          <c:val>
            <c:numRef>
              <c:f>SAF_MFSP!$I$2:$I$35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7.0000000000014495E-4</c:v>
                </c:pt>
                <c:pt idx="11">
                  <c:v>1.9999999999988916E-3</c:v>
                </c:pt>
                <c:pt idx="12">
                  <c:v>4.6999999999997044E-3</c:v>
                </c:pt>
                <c:pt idx="13">
                  <c:v>5.3999999999998494E-3</c:v>
                </c:pt>
                <c:pt idx="14">
                  <c:v>1.8899999999998585E-2</c:v>
                </c:pt>
                <c:pt idx="15">
                  <c:v>2.7499999999999858E-2</c:v>
                </c:pt>
                <c:pt idx="16">
                  <c:v>4.2799999999999727E-2</c:v>
                </c:pt>
                <c:pt idx="17">
                  <c:v>4.6299999999998676E-2</c:v>
                </c:pt>
                <c:pt idx="18">
                  <c:v>4.8199999999999577E-2</c:v>
                </c:pt>
                <c:pt idx="19">
                  <c:v>5.6099999999998929E-2</c:v>
                </c:pt>
                <c:pt idx="20">
                  <c:v>5.6699999999999307E-2</c:v>
                </c:pt>
                <c:pt idx="21">
                  <c:v>7.2099999999998943E-2</c:v>
                </c:pt>
                <c:pt idx="22">
                  <c:v>-9.7200000000000841E-2</c:v>
                </c:pt>
                <c:pt idx="23">
                  <c:v>-9.8000000000000753E-2</c:v>
                </c:pt>
                <c:pt idx="24">
                  <c:v>-0.12330000000000041</c:v>
                </c:pt>
                <c:pt idx="25">
                  <c:v>0.1424000000000003</c:v>
                </c:pt>
                <c:pt idx="26">
                  <c:v>3.8299999999999557E-2</c:v>
                </c:pt>
                <c:pt idx="27">
                  <c:v>0.31020000000000003</c:v>
                </c:pt>
                <c:pt idx="28">
                  <c:v>-8.9700000000000557E-2</c:v>
                </c:pt>
                <c:pt idx="29">
                  <c:v>-0.46640000000000015</c:v>
                </c:pt>
                <c:pt idx="30">
                  <c:v>1.1376999999999988</c:v>
                </c:pt>
                <c:pt idx="31">
                  <c:v>1.2606999999999999</c:v>
                </c:pt>
                <c:pt idx="32">
                  <c:v>2.6600000000000179E-2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1-4E65-BBBA-C1CD31086523}"/>
            </c:ext>
          </c:extLst>
        </c:ser>
        <c:ser>
          <c:idx val="1"/>
          <c:order val="1"/>
          <c:tx>
            <c:strRef>
              <c:f>SAF_MFSP!$J$1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SAF_MFSP!$A$2:$A$35</c:f>
              <c:strCache>
                <c:ptCount val="34"/>
                <c:pt idx="0">
                  <c:v>Max Salt Conc.</c:v>
                </c:pt>
                <c:pt idx="1">
                  <c:v>Slurry Pump Eff.</c:v>
                </c:pt>
                <c:pt idx="2">
                  <c:v>Op Days</c:v>
                </c:pt>
                <c:pt idx="3">
                  <c:v>Op Hours</c:v>
                </c:pt>
                <c:pt idx="4">
                  <c:v>NG Trans Cost</c:v>
                </c:pt>
                <c:pt idx="5">
                  <c:v>Carbon Offset Value</c:v>
                </c:pt>
                <c:pt idx="6">
                  <c:v>Lip. Purchase Price</c:v>
                </c:pt>
                <c:pt idx="7">
                  <c:v>Jet Value</c:v>
                </c:pt>
                <c:pt idx="8">
                  <c:v>Initial Salt Conc.</c:v>
                </c:pt>
                <c:pt idx="9">
                  <c:v>Storage Losses</c:v>
                </c:pt>
                <c:pt idx="10">
                  <c:v>WHE Solvent:Biomass</c:v>
                </c:pt>
                <c:pt idx="11">
                  <c:v>Water Cost</c:v>
                </c:pt>
                <c:pt idx="12">
                  <c:v>Hexane Loss</c:v>
                </c:pt>
                <c:pt idx="13">
                  <c:v>Hexane Cost</c:v>
                </c:pt>
                <c:pt idx="14">
                  <c:v>P Content Algae</c:v>
                </c:pt>
                <c:pt idx="15">
                  <c:v>DAP Cost</c:v>
                </c:pt>
                <c:pt idx="16">
                  <c:v>WHE Thermal En.</c:v>
                </c:pt>
                <c:pt idx="17">
                  <c:v>WHE Elec. En.</c:v>
                </c:pt>
                <c:pt idx="18">
                  <c:v>Ammonia Cost</c:v>
                </c:pt>
                <c:pt idx="19">
                  <c:v>NG Cost</c:v>
                </c:pt>
                <c:pt idx="20">
                  <c:v>N Content Algae</c:v>
                </c:pt>
                <c:pt idx="21">
                  <c:v>H2 Cost</c:v>
                </c:pt>
                <c:pt idx="22">
                  <c:v>LNG Value</c:v>
                </c:pt>
                <c:pt idx="23">
                  <c:v>Propane Value</c:v>
                </c:pt>
                <c:pt idx="24">
                  <c:v>Naphtha Value</c:v>
                </c:pt>
                <c:pt idx="25">
                  <c:v>Elec. Cost</c:v>
                </c:pt>
                <c:pt idx="26">
                  <c:v>Harvest Days</c:v>
                </c:pt>
                <c:pt idx="27">
                  <c:v>CO2 Cost</c:v>
                </c:pt>
                <c:pt idx="28">
                  <c:v>CUE</c:v>
                </c:pt>
                <c:pt idx="29">
                  <c:v>Diesel Value</c:v>
                </c:pt>
                <c:pt idx="30">
                  <c:v>IRR</c:v>
                </c:pt>
                <c:pt idx="31">
                  <c:v>Harvest Conc.</c:v>
                </c:pt>
                <c:pt idx="32">
                  <c:v>Innoculation Conc.</c:v>
                </c:pt>
                <c:pt idx="33">
                  <c:v>WHE Eff.</c:v>
                </c:pt>
              </c:strCache>
            </c:strRef>
          </c:cat>
          <c:val>
            <c:numRef>
              <c:f>SAF_MFSP!$J$2:$J$35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-9.9999999999766942E-5</c:v>
                </c:pt>
                <c:pt idx="9">
                  <c:v>-3.0000000000107718E-4</c:v>
                </c:pt>
                <c:pt idx="10">
                  <c:v>-7.0000000000014495E-4</c:v>
                </c:pt>
                <c:pt idx="11">
                  <c:v>-2.0000000000006679E-3</c:v>
                </c:pt>
                <c:pt idx="12">
                  <c:v>-4.6999999999997044E-3</c:v>
                </c:pt>
                <c:pt idx="13">
                  <c:v>-5.3999999999998494E-3</c:v>
                </c:pt>
                <c:pt idx="14">
                  <c:v>-1.9000000000000128E-2</c:v>
                </c:pt>
                <c:pt idx="15">
                  <c:v>-2.7499999999999858E-2</c:v>
                </c:pt>
                <c:pt idx="16">
                  <c:v>-4.290000000000127E-2</c:v>
                </c:pt>
                <c:pt idx="17">
                  <c:v>-4.6300000000000452E-2</c:v>
                </c:pt>
                <c:pt idx="18">
                  <c:v>-4.8200000000001353E-2</c:v>
                </c:pt>
                <c:pt idx="19">
                  <c:v>-5.6100000000000705E-2</c:v>
                </c:pt>
                <c:pt idx="20">
                  <c:v>-5.6700000000001083E-2</c:v>
                </c:pt>
                <c:pt idx="21">
                  <c:v>-7.2100000000000719E-2</c:v>
                </c:pt>
                <c:pt idx="22">
                  <c:v>9.7199999999999065E-2</c:v>
                </c:pt>
                <c:pt idx="23">
                  <c:v>9.789999999999921E-2</c:v>
                </c:pt>
                <c:pt idx="24">
                  <c:v>0.12329999999999863</c:v>
                </c:pt>
                <c:pt idx="25">
                  <c:v>-0.1424000000000003</c:v>
                </c:pt>
                <c:pt idx="26">
                  <c:v>0.15859999999999985</c:v>
                </c:pt>
                <c:pt idx="27">
                  <c:v>-0.31020000000000003</c:v>
                </c:pt>
                <c:pt idx="28">
                  <c:v>0.44799999999999862</c:v>
                </c:pt>
                <c:pt idx="29">
                  <c:v>0.46640000000000015</c:v>
                </c:pt>
                <c:pt idx="30">
                  <c:v>-1.1247000000000007</c:v>
                </c:pt>
                <c:pt idx="31">
                  <c:v>0.10489999999999888</c:v>
                </c:pt>
                <c:pt idx="32">
                  <c:v>1.6557999999999993</c:v>
                </c:pt>
                <c:pt idx="33">
                  <c:v>2.9702000000000002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01-4E65-BBBA-C1CD31086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MFSP (2019 USD per kg Lipid)</a:t>
                </a:r>
              </a:p>
            </c:rich>
          </c:tx>
          <c:layout>
            <c:manualLayout>
              <c:xMode val="edge"/>
              <c:yMode val="edge"/>
              <c:x val="0.34233487937295509"/>
              <c:y val="0.94452712813883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GWP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SAF_GWP!$I$1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SAF_GWP!$A$2:$A$35</c:f>
              <c:strCache>
                <c:ptCount val="34"/>
                <c:pt idx="0">
                  <c:v>Max Salt Conc.</c:v>
                </c:pt>
                <c:pt idx="1">
                  <c:v>Op Days</c:v>
                </c:pt>
                <c:pt idx="2">
                  <c:v>Op Hours</c:v>
                </c:pt>
                <c:pt idx="3">
                  <c:v>IRR</c:v>
                </c:pt>
                <c:pt idx="4">
                  <c:v>Elec. Cost</c:v>
                </c:pt>
                <c:pt idx="5">
                  <c:v>Ammonia Cost</c:v>
                </c:pt>
                <c:pt idx="6">
                  <c:v>DAP Cost</c:v>
                </c:pt>
                <c:pt idx="7">
                  <c:v>CO2 Cost</c:v>
                </c:pt>
                <c:pt idx="8">
                  <c:v>NG Cost</c:v>
                </c:pt>
                <c:pt idx="9">
                  <c:v>NG Trans Cost</c:v>
                </c:pt>
                <c:pt idx="10">
                  <c:v>H2 Cost</c:v>
                </c:pt>
                <c:pt idx="11">
                  <c:v>Water Cost</c:v>
                </c:pt>
                <c:pt idx="12">
                  <c:v>Hexane Cost</c:v>
                </c:pt>
                <c:pt idx="13">
                  <c:v>Carbon Offset Value</c:v>
                </c:pt>
                <c:pt idx="14">
                  <c:v>Lip. Purchase Price</c:v>
                </c:pt>
                <c:pt idx="15">
                  <c:v>Propane Value</c:v>
                </c:pt>
                <c:pt idx="16">
                  <c:v>LNG Value</c:v>
                </c:pt>
                <c:pt idx="17">
                  <c:v>Naphtha Value</c:v>
                </c:pt>
                <c:pt idx="18">
                  <c:v>Jet Value</c:v>
                </c:pt>
                <c:pt idx="19">
                  <c:v>Diesel Value</c:v>
                </c:pt>
                <c:pt idx="20">
                  <c:v>WHE Solvent:Biomass</c:v>
                </c:pt>
                <c:pt idx="21">
                  <c:v>Initial Salt Conc.</c:v>
                </c:pt>
                <c:pt idx="22">
                  <c:v>Storage Losses</c:v>
                </c:pt>
                <c:pt idx="23">
                  <c:v>Slurry Pump Eff.</c:v>
                </c:pt>
                <c:pt idx="24">
                  <c:v>Hexane Loss</c:v>
                </c:pt>
                <c:pt idx="25">
                  <c:v>Harvest Days</c:v>
                </c:pt>
                <c:pt idx="26">
                  <c:v>P Content Algae</c:v>
                </c:pt>
                <c:pt idx="27">
                  <c:v>Innoculation Conc.</c:v>
                </c:pt>
                <c:pt idx="28">
                  <c:v>Harvest Conc.</c:v>
                </c:pt>
                <c:pt idx="29">
                  <c:v>WHE Thermal En.</c:v>
                </c:pt>
                <c:pt idx="30">
                  <c:v>CUE</c:v>
                </c:pt>
                <c:pt idx="31">
                  <c:v>N Content Algae</c:v>
                </c:pt>
                <c:pt idx="32">
                  <c:v>WHE Elec. En.</c:v>
                </c:pt>
                <c:pt idx="33">
                  <c:v>WHE Eff.</c:v>
                </c:pt>
              </c:strCache>
            </c:strRef>
          </c:cat>
          <c:val>
            <c:numRef>
              <c:f>SAF_GWP!$I$2:$I$35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3.9999999999906777E-4</c:v>
                </c:pt>
                <c:pt idx="21">
                  <c:v>5.9999999999860165E-4</c:v>
                </c:pt>
                <c:pt idx="22">
                  <c:v>2.8000000000005798E-3</c:v>
                </c:pt>
                <c:pt idx="23">
                  <c:v>-2.3000000000052978E-3</c:v>
                </c:pt>
                <c:pt idx="24">
                  <c:v>2.1699999999995612E-2</c:v>
                </c:pt>
                <c:pt idx="25">
                  <c:v>9.4599999999999795E-2</c:v>
                </c:pt>
                <c:pt idx="26">
                  <c:v>0.14949999999999619</c:v>
                </c:pt>
                <c:pt idx="27">
                  <c:v>7.1199999999997488E-2</c:v>
                </c:pt>
                <c:pt idx="28">
                  <c:v>0.11769999999999925</c:v>
                </c:pt>
                <c:pt idx="29">
                  <c:v>0.62859999999999872</c:v>
                </c:pt>
                <c:pt idx="30">
                  <c:v>-0.13589999999999947</c:v>
                </c:pt>
                <c:pt idx="31">
                  <c:v>0.81530000000000058</c:v>
                </c:pt>
                <c:pt idx="32">
                  <c:v>1.3356999999999957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1-453F-8587-9DBF942BFD11}"/>
            </c:ext>
          </c:extLst>
        </c:ser>
        <c:ser>
          <c:idx val="1"/>
          <c:order val="1"/>
          <c:tx>
            <c:strRef>
              <c:f>SAF_GWP!$J$1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SAF_GWP!$A$2:$A$35</c:f>
              <c:strCache>
                <c:ptCount val="34"/>
                <c:pt idx="0">
                  <c:v>Max Salt Conc.</c:v>
                </c:pt>
                <c:pt idx="1">
                  <c:v>Op Days</c:v>
                </c:pt>
                <c:pt idx="2">
                  <c:v>Op Hours</c:v>
                </c:pt>
                <c:pt idx="3">
                  <c:v>IRR</c:v>
                </c:pt>
                <c:pt idx="4">
                  <c:v>Elec. Cost</c:v>
                </c:pt>
                <c:pt idx="5">
                  <c:v>Ammonia Cost</c:v>
                </c:pt>
                <c:pt idx="6">
                  <c:v>DAP Cost</c:v>
                </c:pt>
                <c:pt idx="7">
                  <c:v>CO2 Cost</c:v>
                </c:pt>
                <c:pt idx="8">
                  <c:v>NG Cost</c:v>
                </c:pt>
                <c:pt idx="9">
                  <c:v>NG Trans Cost</c:v>
                </c:pt>
                <c:pt idx="10">
                  <c:v>H2 Cost</c:v>
                </c:pt>
                <c:pt idx="11">
                  <c:v>Water Cost</c:v>
                </c:pt>
                <c:pt idx="12">
                  <c:v>Hexane Cost</c:v>
                </c:pt>
                <c:pt idx="13">
                  <c:v>Carbon Offset Value</c:v>
                </c:pt>
                <c:pt idx="14">
                  <c:v>Lip. Purchase Price</c:v>
                </c:pt>
                <c:pt idx="15">
                  <c:v>Propane Value</c:v>
                </c:pt>
                <c:pt idx="16">
                  <c:v>LNG Value</c:v>
                </c:pt>
                <c:pt idx="17">
                  <c:v>Naphtha Value</c:v>
                </c:pt>
                <c:pt idx="18">
                  <c:v>Jet Value</c:v>
                </c:pt>
                <c:pt idx="19">
                  <c:v>Diesel Value</c:v>
                </c:pt>
                <c:pt idx="20">
                  <c:v>WHE Solvent:Biomass</c:v>
                </c:pt>
                <c:pt idx="21">
                  <c:v>Initial Salt Conc.</c:v>
                </c:pt>
                <c:pt idx="22">
                  <c:v>Storage Losses</c:v>
                </c:pt>
                <c:pt idx="23">
                  <c:v>Slurry Pump Eff.</c:v>
                </c:pt>
                <c:pt idx="24">
                  <c:v>Hexane Loss</c:v>
                </c:pt>
                <c:pt idx="25">
                  <c:v>Harvest Days</c:v>
                </c:pt>
                <c:pt idx="26">
                  <c:v>P Content Algae</c:v>
                </c:pt>
                <c:pt idx="27">
                  <c:v>Innoculation Conc.</c:v>
                </c:pt>
                <c:pt idx="28">
                  <c:v>Harvest Conc.</c:v>
                </c:pt>
                <c:pt idx="29">
                  <c:v>WHE Thermal En.</c:v>
                </c:pt>
                <c:pt idx="30">
                  <c:v>CUE</c:v>
                </c:pt>
                <c:pt idx="31">
                  <c:v>N Content Algae</c:v>
                </c:pt>
                <c:pt idx="32">
                  <c:v>WHE Elec. En.</c:v>
                </c:pt>
                <c:pt idx="33">
                  <c:v>WHE Eff.</c:v>
                </c:pt>
              </c:strCache>
            </c:strRef>
          </c:cat>
          <c:val>
            <c:numRef>
              <c:f>SAF_GWP!$J$2:$J$35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-4.000000000061732E-4</c:v>
                </c:pt>
                <c:pt idx="21">
                  <c:v>-5.0000000000238742E-4</c:v>
                </c:pt>
                <c:pt idx="22">
                  <c:v>-3.4000000000062869E-3</c:v>
                </c:pt>
                <c:pt idx="23">
                  <c:v>3.4999999999953957E-3</c:v>
                </c:pt>
                <c:pt idx="24">
                  <c:v>-2.1700000000002717E-2</c:v>
                </c:pt>
                <c:pt idx="25">
                  <c:v>4.4399999999995998E-2</c:v>
                </c:pt>
                <c:pt idx="26">
                  <c:v>-0.14939999999999998</c:v>
                </c:pt>
                <c:pt idx="27">
                  <c:v>0.17960000000000065</c:v>
                </c:pt>
                <c:pt idx="28">
                  <c:v>0.30679999999999552</c:v>
                </c:pt>
                <c:pt idx="29">
                  <c:v>-0.62860000000000582</c:v>
                </c:pt>
                <c:pt idx="30">
                  <c:v>0.67980000000000018</c:v>
                </c:pt>
                <c:pt idx="31">
                  <c:v>-0.81520000000000437</c:v>
                </c:pt>
                <c:pt idx="32">
                  <c:v>-1.3355999999999995</c:v>
                </c:pt>
                <c:pt idx="33">
                  <c:v>6.4767999999999972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11-453F-8587-9DBF942BF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GWP (kg CO2-eq per MJ SAF)</a:t>
                </a:r>
              </a:p>
            </c:rich>
          </c:tx>
          <c:layout>
            <c:manualLayout>
              <c:xMode val="edge"/>
              <c:yMode val="edge"/>
              <c:x val="0.26405699287589046"/>
              <c:y val="0.94651717789007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BWF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SAF_BWF!$I$1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SAF_BWF!$A$2:$A$35</c:f>
              <c:strCache>
                <c:ptCount val="34"/>
                <c:pt idx="0">
                  <c:v>Max Salt Conc.</c:v>
                </c:pt>
                <c:pt idx="1">
                  <c:v>Op Days</c:v>
                </c:pt>
                <c:pt idx="2">
                  <c:v>Op Hours</c:v>
                </c:pt>
                <c:pt idx="3">
                  <c:v>WHE Thermal En.</c:v>
                </c:pt>
                <c:pt idx="4">
                  <c:v>IRR</c:v>
                </c:pt>
                <c:pt idx="5">
                  <c:v>Elec. Cost</c:v>
                </c:pt>
                <c:pt idx="6">
                  <c:v>Ammonia Cost</c:v>
                </c:pt>
                <c:pt idx="7">
                  <c:v>DAP Cost</c:v>
                </c:pt>
                <c:pt idx="8">
                  <c:v>CO2 Cost</c:v>
                </c:pt>
                <c:pt idx="9">
                  <c:v>NG Cost</c:v>
                </c:pt>
                <c:pt idx="10">
                  <c:v>NG Trans Cost</c:v>
                </c:pt>
                <c:pt idx="11">
                  <c:v>H2 Cost</c:v>
                </c:pt>
                <c:pt idx="12">
                  <c:v>Water Cost</c:v>
                </c:pt>
                <c:pt idx="13">
                  <c:v>Hexane Cost</c:v>
                </c:pt>
                <c:pt idx="14">
                  <c:v>Carbon Offset Value</c:v>
                </c:pt>
                <c:pt idx="15">
                  <c:v>Lip. Purchase Price</c:v>
                </c:pt>
                <c:pt idx="16">
                  <c:v>Propane Value</c:v>
                </c:pt>
                <c:pt idx="17">
                  <c:v>LNG Value</c:v>
                </c:pt>
                <c:pt idx="18">
                  <c:v>Naphtha Value</c:v>
                </c:pt>
                <c:pt idx="19">
                  <c:v>Jet Value</c:v>
                </c:pt>
                <c:pt idx="20">
                  <c:v>Diesel Value</c:v>
                </c:pt>
                <c:pt idx="21">
                  <c:v>Initial Salt Conc.</c:v>
                </c:pt>
                <c:pt idx="22">
                  <c:v>WHE Solvent:Biomass</c:v>
                </c:pt>
                <c:pt idx="23">
                  <c:v>Slurry Pump Eff.</c:v>
                </c:pt>
                <c:pt idx="24">
                  <c:v>Hexane Loss</c:v>
                </c:pt>
                <c:pt idx="25">
                  <c:v>Storage Losses</c:v>
                </c:pt>
                <c:pt idx="26">
                  <c:v>N Content Algae</c:v>
                </c:pt>
                <c:pt idx="27">
                  <c:v>CUE</c:v>
                </c:pt>
                <c:pt idx="28">
                  <c:v>P Content Algae</c:v>
                </c:pt>
                <c:pt idx="29">
                  <c:v>WHE Elec. En.</c:v>
                </c:pt>
                <c:pt idx="30">
                  <c:v>Innoculation Conc.</c:v>
                </c:pt>
                <c:pt idx="31">
                  <c:v>Harvest Days</c:v>
                </c:pt>
                <c:pt idx="32">
                  <c:v>Harvest Conc.</c:v>
                </c:pt>
                <c:pt idx="33">
                  <c:v>WHE Eff.</c:v>
                </c:pt>
              </c:strCache>
            </c:strRef>
          </c:cat>
          <c:val>
            <c:numRef>
              <c:f>SAF_BWF!$I$2:$I$35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-9.9999999999766942E-5</c:v>
                </c:pt>
                <c:pt idx="24">
                  <c:v>1.9999999999953388E-4</c:v>
                </c:pt>
                <c:pt idx="25">
                  <c:v>0</c:v>
                </c:pt>
                <c:pt idx="26">
                  <c:v>5.0000000000061107E-4</c:v>
                </c:pt>
                <c:pt idx="27">
                  <c:v>-8.9999999999967883E-4</c:v>
                </c:pt>
                <c:pt idx="28">
                  <c:v>6.5000000000008384E-3</c:v>
                </c:pt>
                <c:pt idx="29">
                  <c:v>8.3000000000001961E-3</c:v>
                </c:pt>
                <c:pt idx="30">
                  <c:v>2.7300000000000324E-2</c:v>
                </c:pt>
                <c:pt idx="31">
                  <c:v>6.9300000000000139E-2</c:v>
                </c:pt>
                <c:pt idx="32">
                  <c:v>0.13640000000000008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F-4CD6-B37D-3B5DCD073CD9}"/>
            </c:ext>
          </c:extLst>
        </c:ser>
        <c:ser>
          <c:idx val="1"/>
          <c:order val="1"/>
          <c:tx>
            <c:strRef>
              <c:f>SAF_BWF!$J$1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SAF_BWF!$A$2:$A$35</c:f>
              <c:strCache>
                <c:ptCount val="34"/>
                <c:pt idx="0">
                  <c:v>Max Salt Conc.</c:v>
                </c:pt>
                <c:pt idx="1">
                  <c:v>Op Days</c:v>
                </c:pt>
                <c:pt idx="2">
                  <c:v>Op Hours</c:v>
                </c:pt>
                <c:pt idx="3">
                  <c:v>WHE Thermal En.</c:v>
                </c:pt>
                <c:pt idx="4">
                  <c:v>IRR</c:v>
                </c:pt>
                <c:pt idx="5">
                  <c:v>Elec. Cost</c:v>
                </c:pt>
                <c:pt idx="6">
                  <c:v>Ammonia Cost</c:v>
                </c:pt>
                <c:pt idx="7">
                  <c:v>DAP Cost</c:v>
                </c:pt>
                <c:pt idx="8">
                  <c:v>CO2 Cost</c:v>
                </c:pt>
                <c:pt idx="9">
                  <c:v>NG Cost</c:v>
                </c:pt>
                <c:pt idx="10">
                  <c:v>NG Trans Cost</c:v>
                </c:pt>
                <c:pt idx="11">
                  <c:v>H2 Cost</c:v>
                </c:pt>
                <c:pt idx="12">
                  <c:v>Water Cost</c:v>
                </c:pt>
                <c:pt idx="13">
                  <c:v>Hexane Cost</c:v>
                </c:pt>
                <c:pt idx="14">
                  <c:v>Carbon Offset Value</c:v>
                </c:pt>
                <c:pt idx="15">
                  <c:v>Lip. Purchase Price</c:v>
                </c:pt>
                <c:pt idx="16">
                  <c:v>Propane Value</c:v>
                </c:pt>
                <c:pt idx="17">
                  <c:v>LNG Value</c:v>
                </c:pt>
                <c:pt idx="18">
                  <c:v>Naphtha Value</c:v>
                </c:pt>
                <c:pt idx="19">
                  <c:v>Jet Value</c:v>
                </c:pt>
                <c:pt idx="20">
                  <c:v>Diesel Value</c:v>
                </c:pt>
                <c:pt idx="21">
                  <c:v>Initial Salt Conc.</c:v>
                </c:pt>
                <c:pt idx="22">
                  <c:v>WHE Solvent:Biomass</c:v>
                </c:pt>
                <c:pt idx="23">
                  <c:v>Slurry Pump Eff.</c:v>
                </c:pt>
                <c:pt idx="24">
                  <c:v>Hexane Loss</c:v>
                </c:pt>
                <c:pt idx="25">
                  <c:v>Storage Losses</c:v>
                </c:pt>
                <c:pt idx="26">
                  <c:v>N Content Algae</c:v>
                </c:pt>
                <c:pt idx="27">
                  <c:v>CUE</c:v>
                </c:pt>
                <c:pt idx="28">
                  <c:v>P Content Algae</c:v>
                </c:pt>
                <c:pt idx="29">
                  <c:v>WHE Elec. En.</c:v>
                </c:pt>
                <c:pt idx="30">
                  <c:v>Innoculation Conc.</c:v>
                </c:pt>
                <c:pt idx="31">
                  <c:v>Harvest Days</c:v>
                </c:pt>
                <c:pt idx="32">
                  <c:v>Harvest Conc.</c:v>
                </c:pt>
                <c:pt idx="33">
                  <c:v>WHE Eff.</c:v>
                </c:pt>
              </c:strCache>
            </c:strRef>
          </c:cat>
          <c:val>
            <c:numRef>
              <c:f>SAF_BWF!$J$2:$J$35</c:f>
              <c:numCache>
                <c:formatCode>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-9.9999999999766942E-5</c:v>
                </c:pt>
                <c:pt idx="22">
                  <c:v>-9.9999999999766942E-5</c:v>
                </c:pt>
                <c:pt idx="23">
                  <c:v>0</c:v>
                </c:pt>
                <c:pt idx="24">
                  <c:v>-2.9999999999930083E-4</c:v>
                </c:pt>
                <c:pt idx="25">
                  <c:v>-3.9999999999906777E-4</c:v>
                </c:pt>
                <c:pt idx="26">
                  <c:v>-6.0000000000037801E-4</c:v>
                </c:pt>
                <c:pt idx="27">
                  <c:v>4.2000000000008697E-3</c:v>
                </c:pt>
                <c:pt idx="28">
                  <c:v>-6.6000000000006054E-3</c:v>
                </c:pt>
                <c:pt idx="29">
                  <c:v>-8.3999999999999631E-3</c:v>
                </c:pt>
                <c:pt idx="30">
                  <c:v>-1.8900000000000361E-2</c:v>
                </c:pt>
                <c:pt idx="31">
                  <c:v>-3.4800000000000608E-2</c:v>
                </c:pt>
                <c:pt idx="32">
                  <c:v>-0.13449999999999918</c:v>
                </c:pt>
                <c:pt idx="33">
                  <c:v>3.7131000000000007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F-4CD6-B37D-3B5DCD073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BWF (m3 water per GJ SAF)</a:t>
                </a:r>
              </a:p>
            </c:rich>
          </c:tx>
          <c:layout>
            <c:manualLayout>
              <c:xMode val="edge"/>
              <c:yMode val="edge"/>
              <c:x val="0.27188478152559697"/>
              <c:y val="0.94651717789007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?><Relationships xmlns="http://schemas.openxmlformats.org/package/2006/relationships"><Relationship Target="../charts/chart1.xml" Type="http://schemas.openxmlformats.org/officeDocument/2006/relationships/chart" Id="rId1"/></Relationships>
</file>

<file path=xl/drawings/_rels/drawing2.xml.rels><?xml version="1.0" encoding="UTF-8"?><Relationships xmlns="http://schemas.openxmlformats.org/package/2006/relationships"><Relationship Target="../charts/chart2.xml" Type="http://schemas.openxmlformats.org/officeDocument/2006/relationships/chart" Id="rId1"/></Relationships>
</file>

<file path=xl/drawings/_rels/drawing3.xml.rels><?xml version="1.0" encoding="UTF-8"?><Relationships xmlns="http://schemas.openxmlformats.org/package/2006/relationships"><Relationship Target="../charts/chart3.xml" Type="http://schemas.openxmlformats.org/officeDocument/2006/relationships/chart" Id="rId1"/></Relationships>
</file>

<file path=xl/drawings/_rels/drawing4.xml.rels><?xml version="1.0" encoding="UTF-8"?><Relationships xmlns="http://schemas.openxmlformats.org/package/2006/relationships"><Relationship Target="../charts/chart4.xml" Type="http://schemas.openxmlformats.org/officeDocument/2006/relationships/chart" Id="rId1"/></Relationships>
</file>

<file path=xl/drawings/_rels/drawing5.xml.rels><?xml version="1.0" encoding="UTF-8"?><Relationships xmlns="http://schemas.openxmlformats.org/package/2006/relationships"><Relationship Target="../charts/chart5.xml" Type="http://schemas.openxmlformats.org/officeDocument/2006/relationships/chart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11</xdr:col>
      <xdr:colOff>38099</xdr:colOff>
      <xdr:row>1</xdr:row>
      <xdr:rowOff>66675</xdr:rowOff>
    </xdr:from>
    <xdr:to>
      <xdr:col>19</xdr:col>
      <xdr:colOff>28574</xdr:colOff>
      <xdr:row>34</xdr:row>
      <xdr:rowOff>161925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3D3AA39A-3930-51BB-750E-44EA06D0E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10</xdr:col>
      <xdr:colOff>209550</xdr:colOff>
      <xdr:row>1</xdr:row>
      <xdr:rowOff>19050</xdr:rowOff>
    </xdr:from>
    <xdr:to>
      <xdr:col>18</xdr:col>
      <xdr:colOff>200025</xdr:colOff>
      <xdr:row>34</xdr:row>
      <xdr:rowOff>114300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1A54BD6F-72C8-4AB2-8CC6-95E371B3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10</xdr:col>
      <xdr:colOff>381000</xdr:colOff>
      <xdr:row>1</xdr:row>
      <xdr:rowOff>85725</xdr:rowOff>
    </xdr:from>
    <xdr:to>
      <xdr:col>18</xdr:col>
      <xdr:colOff>371475</xdr:colOff>
      <xdr:row>34</xdr:row>
      <xdr:rowOff>180975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552CE314-7B0D-46F4-B135-C471B8F3C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10</xdr:col>
      <xdr:colOff>381000</xdr:colOff>
      <xdr:row>1</xdr:row>
      <xdr:rowOff>85725</xdr:rowOff>
    </xdr:from>
    <xdr:to>
      <xdr:col>18</xdr:col>
      <xdr:colOff>371475</xdr:colOff>
      <xdr:row>34</xdr:row>
      <xdr:rowOff>180975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0CC830B4-1A5A-4A42-9A6D-E7091D2D5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10</xdr:col>
      <xdr:colOff>381000</xdr:colOff>
      <xdr:row>1</xdr:row>
      <xdr:rowOff>85725</xdr:rowOff>
    </xdr:from>
    <xdr:to>
      <xdr:col>18</xdr:col>
      <xdr:colOff>371475</xdr:colOff>
      <xdr:row>34</xdr:row>
      <xdr:rowOff>180975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D3228AE4-75F5-4AA8-9418-B54D0BFF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2"/><Relationship Target="../printerSettings/printerSettings1.bin" Type="http://schemas.openxmlformats.org/officeDocument/2006/relationships/printerSettings" Id="rId1"/></Relationships>
</file>

<file path=xl/worksheets/_rels/sheet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_rels/sheet3.xml.rels><?xml version="1.0" encoding="UTF-8"?><Relationships xmlns="http://schemas.openxmlformats.org/package/2006/relationships"><Relationship Target="../drawings/drawing3.xml" Type="http://schemas.openxmlformats.org/officeDocument/2006/relationships/drawing" Id="rId1"/></Relationships>
</file>

<file path=xl/worksheets/_rels/sheet4.xml.rels><?xml version="1.0" encoding="UTF-8"?><Relationships xmlns="http://schemas.openxmlformats.org/package/2006/relationships"><Relationship Target="../drawings/drawing4.xml" Type="http://schemas.openxmlformats.org/officeDocument/2006/relationships/drawing" Id="rId1"/></Relationships>
</file>

<file path=xl/worksheets/_rels/sheet5.xml.rels><?xml version="1.0" encoding="UTF-8"?><Relationships xmlns="http://schemas.openxmlformats.org/package/2006/relationships"><Relationship Target="../drawings/drawing5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5774-F163-4DBB-9A6C-E13251D9509F}">
  <sheetPr codeName="Sheet1"/>
  <dimension ref="A1:J35"/>
  <sheetViews>
    <sheetView tabSelected="true" workbookViewId="0"/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10</v>
      </c>
      <c r="I1" s="2" t="s">
        <v>19</v>
      </c>
      <c r="J1" s="2" t="s">
        <v>20</v>
      </c>
    </row>
    <row r="2" x14ac:dyDescent="0.25">
      <c r="A2" s="1" t="s">
        <v>1721</v>
      </c>
      <c r="B2" s="3">
        <v>4000</v>
      </c>
      <c r="C2" s="3">
        <v>4800</v>
      </c>
      <c r="D2" s="3">
        <v>3200</v>
      </c>
      <c r="E2" s="3">
        <v>1593.7335</v>
      </c>
      <c r="F2" s="3">
        <v>1593.7335</v>
      </c>
      <c r="G2" s="3">
        <v>1593.7335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1722</v>
      </c>
      <c r="B3" s="3">
        <v>0.69999999999999996</v>
      </c>
      <c r="C3" s="3">
        <v>0.83999999999999997</v>
      </c>
      <c r="D3" s="3">
        <v>0.56000000000000005</v>
      </c>
      <c r="E3" s="3">
        <v>1593.7335</v>
      </c>
      <c r="F3" s="3">
        <v>1593.7335</v>
      </c>
      <c r="G3" s="3">
        <v>1593.7335</v>
      </c>
      <c r="H3" s="3">
        <v>0</v>
      </c>
      <c r="I3" s="3">
        <f t="shared" ref="I3:I35" si="0">F3-E3</f>
        <v>0</v>
      </c>
      <c r="J3" s="3">
        <f t="shared" ref="J3:J35" si="1">G3-E3</f>
        <v>0</v>
      </c>
    </row>
    <row r="4" x14ac:dyDescent="0.25">
      <c r="A4" s="1" t="s">
        <v>1723</v>
      </c>
      <c r="B4" s="3">
        <v>330</v>
      </c>
      <c r="C4" s="3">
        <v>365</v>
      </c>
      <c r="D4" s="3">
        <v>264</v>
      </c>
      <c r="E4" s="3">
        <v>1593.7335</v>
      </c>
      <c r="F4" s="3">
        <v>1593.7335</v>
      </c>
      <c r="G4" s="3">
        <v>1593.7335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1724</v>
      </c>
      <c r="B5" s="3">
        <v>7920</v>
      </c>
      <c r="C5" s="3">
        <v>8760</v>
      </c>
      <c r="D5" s="3">
        <v>6336</v>
      </c>
      <c r="E5" s="3">
        <v>1593.7335</v>
      </c>
      <c r="F5" s="3">
        <v>1593.7335</v>
      </c>
      <c r="G5" s="3">
        <v>1593.7335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1725</v>
      </c>
      <c r="B6" s="3">
        <v>1.7</v>
      </c>
      <c r="C6" s="3">
        <v>2.04</v>
      </c>
      <c r="D6" s="3">
        <v>1.3600000000000001</v>
      </c>
      <c r="E6" s="3">
        <v>1593.7335</v>
      </c>
      <c r="F6" s="3">
        <v>1593.7335</v>
      </c>
      <c r="G6" s="3">
        <v>1593.7335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1726</v>
      </c>
      <c r="B7" s="3">
        <v>0.54000000000000004</v>
      </c>
      <c r="C7" s="3">
        <v>0.64800000000000002</v>
      </c>
      <c r="D7" s="3">
        <v>0.432</v>
      </c>
      <c r="E7" s="3">
        <v>1593.7335</v>
      </c>
      <c r="F7" s="3">
        <v>1593.7335</v>
      </c>
      <c r="G7" s="3">
        <v>1593.7335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1727</v>
      </c>
      <c r="B8" s="3">
        <v>1.8</v>
      </c>
      <c r="C8" s="3">
        <v>2.1600000000000001</v>
      </c>
      <c r="D8" s="3">
        <v>1.4399999999999999</v>
      </c>
      <c r="E8" s="3">
        <v>1593.7335</v>
      </c>
      <c r="F8" s="3">
        <v>1593.7335</v>
      </c>
      <c r="G8" s="3">
        <v>1593.7335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1728</v>
      </c>
      <c r="B9" s="3">
        <v>5.2000000000000002</v>
      </c>
      <c r="C9" s="3">
        <v>6.2400000000000002</v>
      </c>
      <c r="D9" s="3">
        <v>4.1600000000000001</v>
      </c>
      <c r="E9" s="3">
        <v>1593.7335</v>
      </c>
      <c r="F9" s="3">
        <v>1593.7335</v>
      </c>
      <c r="G9" s="3">
        <v>1593.7335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1729</v>
      </c>
      <c r="B10" s="3">
        <v>0.90000000000000002</v>
      </c>
      <c r="C10" s="3">
        <v>1</v>
      </c>
      <c r="D10" s="3">
        <v>0.71999999999999997</v>
      </c>
      <c r="E10" s="3">
        <v>1593.7335</v>
      </c>
      <c r="F10" s="3">
        <v>1593.7335</v>
      </c>
      <c r="G10" s="3">
        <v>1593.7335</v>
      </c>
      <c r="H10" s="3">
        <v>0</v>
      </c>
      <c r="I10" s="3">
        <f t="shared" si="0"/>
        <v>0</v>
      </c>
      <c r="J10" s="3">
        <f t="shared" si="1"/>
        <v>0</v>
      </c>
    </row>
    <row r="11" x14ac:dyDescent="0.25">
      <c r="A11" s="1" t="s">
        <v>1730</v>
      </c>
      <c r="B11" s="3">
        <v>0.21540000000000001</v>
      </c>
      <c r="C11" s="3">
        <v>0.25847999999999999</v>
      </c>
      <c r="D11" s="3">
        <v>0.17232</v>
      </c>
      <c r="E11" s="3">
        <v>1593.7335</v>
      </c>
      <c r="F11" s="3">
        <v>1593.7335</v>
      </c>
      <c r="G11" s="3">
        <v>1593.7335</v>
      </c>
      <c r="H11" s="3">
        <v>0</v>
      </c>
      <c r="I11" s="3">
        <f t="shared" si="0"/>
        <v>0</v>
      </c>
      <c r="J11" s="3">
        <f t="shared" si="1"/>
        <v>0</v>
      </c>
    </row>
    <row r="12" x14ac:dyDescent="0.25">
      <c r="A12" s="1" t="s">
        <v>1731</v>
      </c>
      <c r="B12" s="3">
        <v>0</v>
      </c>
      <c r="C12" s="3">
        <v>0</v>
      </c>
      <c r="D12" s="3">
        <v>0</v>
      </c>
      <c r="E12" s="3">
        <v>1593.7335</v>
      </c>
      <c r="F12" s="3">
        <v>1593.7335</v>
      </c>
      <c r="G12" s="3">
        <v>1593.7335</v>
      </c>
      <c r="H12" s="3">
        <v>0</v>
      </c>
      <c r="I12" s="3">
        <f t="shared" si="0"/>
        <v>0</v>
      </c>
      <c r="J12" s="3">
        <f t="shared" si="1"/>
        <v>0</v>
      </c>
    </row>
    <row r="13" x14ac:dyDescent="0.25">
      <c r="A13" s="1" t="s">
        <v>1732</v>
      </c>
      <c r="B13" s="3">
        <v>1.47</v>
      </c>
      <c r="C13" s="3">
        <v>1.764</v>
      </c>
      <c r="D13" s="3">
        <v>1.1759999999999999</v>
      </c>
      <c r="E13" s="3">
        <v>1593.7335</v>
      </c>
      <c r="F13" s="3">
        <v>1593.7335</v>
      </c>
      <c r="G13" s="3">
        <v>1593.7335</v>
      </c>
      <c r="H13" s="3">
        <v>0</v>
      </c>
      <c r="I13" s="3">
        <f t="shared" si="0"/>
        <v>0</v>
      </c>
      <c r="J13" s="3">
        <f t="shared" si="1"/>
        <v>0</v>
      </c>
    </row>
    <row r="14" x14ac:dyDescent="0.25">
      <c r="A14" s="1" t="s">
        <v>1733</v>
      </c>
      <c r="B14" s="3">
        <v>0.000204</v>
      </c>
      <c r="C14" s="3">
        <v>0.00024479999999999999</v>
      </c>
      <c r="D14" s="3">
        <v>0.00016320000000000001</v>
      </c>
      <c r="E14" s="3">
        <v>1593.7335</v>
      </c>
      <c r="F14" s="3">
        <v>1593.7335</v>
      </c>
      <c r="G14" s="3">
        <v>1593.7335</v>
      </c>
      <c r="H14" s="3">
        <v>0</v>
      </c>
      <c r="I14" s="3">
        <f t="shared" si="0"/>
        <v>0</v>
      </c>
      <c r="J14" s="3">
        <f t="shared" si="1"/>
        <v>0</v>
      </c>
    </row>
    <row r="15" x14ac:dyDescent="0.25">
      <c r="A15" s="1" t="s">
        <v>1734</v>
      </c>
      <c r="B15" s="3">
        <v>0.73519999999999996</v>
      </c>
      <c r="C15" s="3">
        <v>0.88224000000000002</v>
      </c>
      <c r="D15" s="3">
        <v>0.58816000000000002</v>
      </c>
      <c r="E15" s="3">
        <v>1593.7335</v>
      </c>
      <c r="F15" s="3">
        <v>1593.7335</v>
      </c>
      <c r="G15" s="3">
        <v>1593.7335</v>
      </c>
      <c r="H15" s="3">
        <v>0</v>
      </c>
      <c r="I15" s="3">
        <f t="shared" si="0"/>
        <v>0</v>
      </c>
      <c r="J15" s="3">
        <f t="shared" si="1"/>
        <v>0</v>
      </c>
    </row>
    <row r="16" x14ac:dyDescent="0.25">
      <c r="A16" s="1" t="s">
        <v>1735</v>
      </c>
      <c r="B16" s="3">
        <v>45</v>
      </c>
      <c r="C16" s="3">
        <v>54</v>
      </c>
      <c r="D16" s="3">
        <v>36</v>
      </c>
      <c r="E16" s="3">
        <v>1593.7335</v>
      </c>
      <c r="F16" s="3">
        <v>1593.7335</v>
      </c>
      <c r="G16" s="3">
        <v>1593.7335</v>
      </c>
      <c r="H16" s="3">
        <v>0</v>
      </c>
      <c r="I16" s="3">
        <f t="shared" si="0"/>
        <v>0</v>
      </c>
      <c r="J16" s="3">
        <f t="shared" si="1"/>
        <v>0</v>
      </c>
    </row>
    <row r="17" x14ac:dyDescent="0.25">
      <c r="A17" s="1" t="s">
        <v>1736</v>
      </c>
      <c r="B17" s="3">
        <v>0.75</v>
      </c>
      <c r="C17" s="3">
        <v>0.90000000000000002</v>
      </c>
      <c r="D17" s="3">
        <v>0.59999999999999998</v>
      </c>
      <c r="E17" s="3">
        <v>1593.7335</v>
      </c>
      <c r="F17" s="3">
        <v>1593.7335</v>
      </c>
      <c r="G17" s="3">
        <v>1593.7335</v>
      </c>
      <c r="H17" s="3">
        <v>0</v>
      </c>
      <c r="I17" s="3">
        <f t="shared" si="0"/>
        <v>0</v>
      </c>
      <c r="J17" s="3">
        <f t="shared" si="1"/>
        <v>0</v>
      </c>
    </row>
    <row r="18" x14ac:dyDescent="0.25">
      <c r="A18" s="1" t="s">
        <v>1737</v>
      </c>
      <c r="B18" s="3">
        <v>3.5499999999999998</v>
      </c>
      <c r="C18" s="3">
        <v>4.2599999999999998</v>
      </c>
      <c r="D18" s="3">
        <v>2.8399999999999999</v>
      </c>
      <c r="E18" s="3">
        <v>1593.7335</v>
      </c>
      <c r="F18" s="3">
        <v>1593.7335</v>
      </c>
      <c r="G18" s="3">
        <v>1593.7335</v>
      </c>
      <c r="H18" s="3">
        <v>0</v>
      </c>
      <c r="I18" s="3">
        <f t="shared" si="0"/>
        <v>0</v>
      </c>
      <c r="J18" s="3">
        <f t="shared" si="1"/>
        <v>0</v>
      </c>
    </row>
    <row r="19" x14ac:dyDescent="0.25">
      <c r="A19" s="1" t="s">
        <v>1738</v>
      </c>
      <c r="B19" s="3">
        <v>3.6299999999999999</v>
      </c>
      <c r="C19" s="3">
        <v>4.3559999999999999</v>
      </c>
      <c r="D19" s="3">
        <v>2.9039999999999999</v>
      </c>
      <c r="E19" s="3">
        <v>1593.7335</v>
      </c>
      <c r="F19" s="3">
        <v>1593.7335</v>
      </c>
      <c r="G19" s="3">
        <v>1593.7335</v>
      </c>
      <c r="H19" s="3">
        <v>0</v>
      </c>
      <c r="I19" s="3">
        <f t="shared" si="0"/>
        <v>0</v>
      </c>
      <c r="J19" s="3">
        <f t="shared" si="1"/>
        <v>0</v>
      </c>
    </row>
    <row r="20" x14ac:dyDescent="0.25">
      <c r="A20" s="1" t="s">
        <v>1739</v>
      </c>
      <c r="B20" s="3">
        <v>4.0499999999999998</v>
      </c>
      <c r="C20" s="3">
        <v>4.8600000000000003</v>
      </c>
      <c r="D20" s="3">
        <v>3.2400000000000002</v>
      </c>
      <c r="E20" s="3">
        <v>1593.7335</v>
      </c>
      <c r="F20" s="3">
        <v>1593.7335</v>
      </c>
      <c r="G20" s="3">
        <v>1593.7335</v>
      </c>
      <c r="H20" s="3">
        <v>0</v>
      </c>
      <c r="I20" s="3">
        <f t="shared" si="0"/>
        <v>0</v>
      </c>
      <c r="J20" s="3">
        <f t="shared" si="1"/>
        <v>0</v>
      </c>
    </row>
    <row r="21" x14ac:dyDescent="0.25">
      <c r="A21" s="1" t="s">
        <v>1740</v>
      </c>
      <c r="B21" s="3">
        <v>2.46</v>
      </c>
      <c r="C21" s="3">
        <v>2.952</v>
      </c>
      <c r="D21" s="3">
        <v>1.968</v>
      </c>
      <c r="E21" s="3">
        <v>1593.7335</v>
      </c>
      <c r="F21" s="3">
        <v>1593.7335</v>
      </c>
      <c r="G21" s="3">
        <v>1593.7335</v>
      </c>
      <c r="H21" s="3">
        <v>0</v>
      </c>
      <c r="I21" s="3">
        <f t="shared" si="0"/>
        <v>0</v>
      </c>
      <c r="J21" s="3">
        <f t="shared" si="1"/>
        <v>0</v>
      </c>
    </row>
    <row r="22" x14ac:dyDescent="0.25">
      <c r="A22" s="1" t="s">
        <v>1741</v>
      </c>
      <c r="B22" s="3">
        <v>5.1699999999999999</v>
      </c>
      <c r="C22" s="3">
        <v>6.2039999999999997</v>
      </c>
      <c r="D22" s="3">
        <v>4.1360000000000001</v>
      </c>
      <c r="E22" s="3">
        <v>1593.7335</v>
      </c>
      <c r="F22" s="3">
        <v>1593.7335</v>
      </c>
      <c r="G22" s="3">
        <v>1593.7335</v>
      </c>
      <c r="H22" s="3">
        <v>0</v>
      </c>
      <c r="I22" s="3">
        <f t="shared" si="0"/>
        <v>0</v>
      </c>
      <c r="J22" s="3">
        <f t="shared" si="1"/>
        <v>0</v>
      </c>
    </row>
    <row r="23" x14ac:dyDescent="0.25">
      <c r="A23" s="1" t="s">
        <v>1742</v>
      </c>
      <c r="B23" s="3">
        <v>250</v>
      </c>
      <c r="C23" s="3">
        <v>300</v>
      </c>
      <c r="D23" s="3">
        <v>200</v>
      </c>
      <c r="E23" s="3">
        <v>1593.7335</v>
      </c>
      <c r="F23" s="3">
        <v>1593.7367999999999</v>
      </c>
      <c r="G23" s="3">
        <v>1593.7302999999999</v>
      </c>
      <c r="H23" s="3">
        <v>0.0032385999999999999</v>
      </c>
      <c r="I23" s="3">
        <f t="shared" si="0"/>
        <v>0</v>
      </c>
      <c r="J23" s="3">
        <f t="shared" si="1"/>
        <v>0</v>
      </c>
    </row>
    <row r="24" x14ac:dyDescent="0.25">
      <c r="A24" s="1" t="s">
        <v>1743</v>
      </c>
      <c r="B24" s="3">
        <v>0.10000000000000001</v>
      </c>
      <c r="C24" s="3">
        <v>0.12</v>
      </c>
      <c r="D24" s="3">
        <v>0.080000000000000002</v>
      </c>
      <c r="E24" s="3">
        <v>1593.7335</v>
      </c>
      <c r="F24" s="3">
        <v>1593.8596</v>
      </c>
      <c r="G24" s="3">
        <v>1593.7335</v>
      </c>
      <c r="H24" s="3">
        <v>0.12609000000000001</v>
      </c>
      <c r="I24" s="3">
        <f t="shared" si="0"/>
        <v>2.8000000000929504E-3</v>
      </c>
      <c r="J24" s="3">
        <f t="shared" si="1"/>
        <v>-2.7999999999792635E-3</v>
      </c>
    </row>
    <row r="25" x14ac:dyDescent="0.25">
      <c r="A25" s="1" t="s">
        <v>1744</v>
      </c>
      <c r="B25" s="3">
        <v>0.0022000000000000001</v>
      </c>
      <c r="C25" s="3">
        <v>0.00264</v>
      </c>
      <c r="D25" s="3">
        <v>0.0017600000000000001</v>
      </c>
      <c r="E25" s="3">
        <v>1593.7335</v>
      </c>
      <c r="F25" s="3">
        <v>1595.0462</v>
      </c>
      <c r="G25" s="3">
        <v>1592.4208000000001</v>
      </c>
      <c r="H25" s="3">
        <v>1.3127</v>
      </c>
      <c r="I25" s="3">
        <f t="shared" si="0"/>
        <v>1.4615000000000009</v>
      </c>
      <c r="J25" s="3">
        <f t="shared" si="1"/>
        <v>-1.4615000000000009</v>
      </c>
    </row>
    <row r="26" x14ac:dyDescent="0.25">
      <c r="A26" s="1" t="s">
        <v>1745</v>
      </c>
      <c r="B26" s="3">
        <v>0.66000000000000003</v>
      </c>
      <c r="C26" s="3">
        <v>0.79200000000000004</v>
      </c>
      <c r="D26" s="3">
        <v>0.52800000000000002</v>
      </c>
      <c r="E26" s="3">
        <v>1593.7335</v>
      </c>
      <c r="F26" s="3">
        <v>1595.4126000000001</v>
      </c>
      <c r="G26" s="3">
        <v>1592.0545</v>
      </c>
      <c r="H26" s="3">
        <v>1.6791</v>
      </c>
      <c r="I26" s="3">
        <f t="shared" si="0"/>
        <v>1.9799000000000433</v>
      </c>
      <c r="J26" s="3">
        <f t="shared" si="1"/>
        <v>-1.9797999999999547</v>
      </c>
    </row>
    <row r="27" x14ac:dyDescent="0.25">
      <c r="A27" s="1" t="s">
        <v>1746</v>
      </c>
      <c r="B27" s="3">
        <v>0.80000000000000004</v>
      </c>
      <c r="C27" s="3">
        <v>0.95999999999999996</v>
      </c>
      <c r="D27" s="3">
        <v>0.64000000000000001</v>
      </c>
      <c r="E27" s="3">
        <v>1593.7335</v>
      </c>
      <c r="F27" s="3">
        <v>1597.4286</v>
      </c>
      <c r="G27" s="3">
        <v>1590.0385000000001</v>
      </c>
      <c r="H27" s="3">
        <v>3.6951000000000001</v>
      </c>
      <c r="I27" s="3">
        <f t="shared" si="0"/>
        <v>4.2707000000000335</v>
      </c>
      <c r="J27" s="3">
        <f t="shared" si="1"/>
        <v>-4.2706999999999198</v>
      </c>
    </row>
    <row r="28" x14ac:dyDescent="0.25">
      <c r="A28" s="1" t="s">
        <v>1747</v>
      </c>
      <c r="B28" s="3">
        <v>0.017999999999999999</v>
      </c>
      <c r="C28" s="3">
        <v>0.021600000000000001</v>
      </c>
      <c r="D28" s="3">
        <v>0.0144</v>
      </c>
      <c r="E28" s="3">
        <v>1593.7335</v>
      </c>
      <c r="F28" s="3">
        <v>1597.7949000000001</v>
      </c>
      <c r="G28" s="3">
        <v>1589.6721</v>
      </c>
      <c r="H28" s="3">
        <v>4.0613999999999999</v>
      </c>
      <c r="I28" s="3">
        <f t="shared" si="0"/>
        <v>4.7891000000000759</v>
      </c>
      <c r="J28" s="3">
        <f t="shared" si="1"/>
        <v>-4.7889999999999873</v>
      </c>
    </row>
    <row r="29" x14ac:dyDescent="0.25">
      <c r="A29" s="1" t="s">
        <v>1748</v>
      </c>
      <c r="B29" s="3">
        <v>100</v>
      </c>
      <c r="C29" s="3">
        <v>120</v>
      </c>
      <c r="D29" s="3">
        <v>80</v>
      </c>
      <c r="E29" s="3">
        <v>1593.7335</v>
      </c>
      <c r="F29" s="3">
        <v>1591.4399000000001</v>
      </c>
      <c r="G29" s="3">
        <v>1586.9849999999999</v>
      </c>
      <c r="H29" s="3">
        <v>6.7484999999999999</v>
      </c>
      <c r="I29" s="3">
        <f t="shared" si="0"/>
        <v>7.8251999999999953</v>
      </c>
      <c r="J29" s="3">
        <f t="shared" si="1"/>
        <v>-7.8251999999999953</v>
      </c>
    </row>
    <row r="30" x14ac:dyDescent="0.25">
      <c r="A30" s="1" t="s">
        <v>1749</v>
      </c>
      <c r="B30" s="3">
        <v>600</v>
      </c>
      <c r="C30" s="3">
        <v>720</v>
      </c>
      <c r="D30" s="3">
        <v>480</v>
      </c>
      <c r="E30" s="3">
        <v>1593.7335</v>
      </c>
      <c r="F30" s="3">
        <v>1586.5849000000001</v>
      </c>
      <c r="G30" s="3">
        <v>1599.48</v>
      </c>
      <c r="H30" s="3">
        <v>7.1486000000000001</v>
      </c>
      <c r="I30" s="3">
        <f t="shared" si="0"/>
        <v>2.180300000000102</v>
      </c>
      <c r="J30" s="3">
        <f t="shared" si="1"/>
        <v>9.668100000000095</v>
      </c>
    </row>
    <row r="31" x14ac:dyDescent="0.25">
      <c r="A31" s="1" t="s">
        <v>1750</v>
      </c>
      <c r="B31" s="3">
        <v>0.070000000000000007</v>
      </c>
      <c r="C31" s="3">
        <v>0.084000000000000005</v>
      </c>
      <c r="D31" s="3">
        <v>0.056000000000000001</v>
      </c>
      <c r="E31" s="3">
        <v>1593.7335</v>
      </c>
      <c r="F31" s="3">
        <v>1605.0762999999999</v>
      </c>
      <c r="G31" s="3">
        <v>1582.3907999999999</v>
      </c>
      <c r="H31" s="3">
        <v>11.342700000000001</v>
      </c>
      <c r="I31" s="3">
        <f t="shared" si="0"/>
        <v>18.757900000000063</v>
      </c>
      <c r="J31" s="3">
        <f t="shared" si="1"/>
        <v>-18.75789999999995</v>
      </c>
    </row>
    <row r="32" x14ac:dyDescent="0.25">
      <c r="A32" s="1" t="s">
        <v>1751</v>
      </c>
      <c r="B32" s="3">
        <v>5</v>
      </c>
      <c r="C32" s="3">
        <v>6</v>
      </c>
      <c r="D32" s="3">
        <v>4</v>
      </c>
      <c r="E32" s="3">
        <v>1593.7335</v>
      </c>
      <c r="F32" s="3">
        <v>1593.8276000000001</v>
      </c>
      <c r="G32" s="3">
        <v>1579.0689</v>
      </c>
      <c r="H32" s="3">
        <v>14.6647</v>
      </c>
      <c r="I32" s="3">
        <f t="shared" si="0"/>
        <v>-5.4227999999999383</v>
      </c>
      <c r="J32" s="3">
        <f t="shared" si="1"/>
        <v>27.086900000000014</v>
      </c>
    </row>
    <row r="33" x14ac:dyDescent="0.25">
      <c r="A33" s="1" t="s">
        <v>1752</v>
      </c>
      <c r="B33" s="3">
        <v>0.10000000000000001</v>
      </c>
      <c r="C33" s="3">
        <v>0.12</v>
      </c>
      <c r="D33" s="3">
        <v>0.080000000000000002</v>
      </c>
      <c r="E33" s="3">
        <v>1593.7335</v>
      </c>
      <c r="F33" s="3">
        <v>1686.4613999999999</v>
      </c>
      <c r="G33" s="3">
        <v>1502.1704</v>
      </c>
      <c r="H33" s="3">
        <v>92.727900000000005</v>
      </c>
      <c r="I33" s="3">
        <f t="shared" si="0"/>
        <v>56.198900000000094</v>
      </c>
      <c r="J33" s="3">
        <f t="shared" si="1"/>
        <v>-55.486099999999965</v>
      </c>
    </row>
    <row r="34" x14ac:dyDescent="0.25">
      <c r="A34" s="1" t="s">
        <v>1753</v>
      </c>
      <c r="B34" s="3">
        <v>230</v>
      </c>
      <c r="C34" s="3">
        <v>276</v>
      </c>
      <c r="D34" s="3">
        <v>184</v>
      </c>
      <c r="E34" s="3">
        <v>1593.7335</v>
      </c>
      <c r="F34" s="3">
        <v>1733.8566000000001</v>
      </c>
      <c r="G34" s="3">
        <v>1453.6105</v>
      </c>
      <c r="H34" s="3">
        <v>140.12309999999999</v>
      </c>
      <c r="I34" s="3">
        <f t="shared" si="0"/>
        <v>75.98700000000008</v>
      </c>
      <c r="J34" s="3">
        <f t="shared" si="1"/>
        <v>6.5808000000000675</v>
      </c>
    </row>
    <row r="35" x14ac:dyDescent="0.25">
      <c r="A35" s="1" t="s">
        <v>1754</v>
      </c>
      <c r="B35" s="3">
        <v>0.65000000000000002</v>
      </c>
      <c r="C35" s="3">
        <v>0.78000000000000003</v>
      </c>
      <c r="D35" s="3">
        <v>0.52000000000000002</v>
      </c>
      <c r="E35" s="3">
        <v>1593.7335</v>
      </c>
      <c r="F35" s="3">
        <v>1472.4944</v>
      </c>
      <c r="G35" s="3">
        <v>1775.5154</v>
      </c>
      <c r="H35" s="3">
        <v>181.78190000000001</v>
      </c>
      <c r="I35" s="3">
        <f t="shared" si="0"/>
        <v>1.5520000000000209</v>
      </c>
      <c r="J35" s="3">
        <f t="shared" si="1"/>
        <v>100.1785000000001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7535-D26B-4C71-ABAB-C2498E9185F9}">
  <sheetPr codeName="Sheet2"/>
  <dimension ref="A1:J35"/>
  <sheetViews>
    <sheetView workbookViewId="0">
      <selection activeCell="L38" sqref="L38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6</v>
      </c>
      <c r="F1" s="2" t="s">
        <v>9</v>
      </c>
      <c r="G1" s="2" t="s">
        <v>8</v>
      </c>
      <c r="H1" s="2" t="s">
        <v>10</v>
      </c>
      <c r="I1" s="2" t="s">
        <v>19</v>
      </c>
      <c r="J1" s="2" t="s">
        <v>20</v>
      </c>
    </row>
    <row r="2" x14ac:dyDescent="0.25">
      <c r="A2" s="1" t="s">
        <v>1755</v>
      </c>
      <c r="B2" s="3">
        <v>4000</v>
      </c>
      <c r="C2" s="3">
        <v>4800</v>
      </c>
      <c r="D2" s="3">
        <v>3200</v>
      </c>
      <c r="E2" s="3">
        <v>7.5678999999999998</v>
      </c>
      <c r="F2" s="3">
        <v>7.5678999999999998</v>
      </c>
      <c r="G2" s="3">
        <v>7.5678999999999998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1756</v>
      </c>
      <c r="B3" s="3">
        <v>0.69999999999999996</v>
      </c>
      <c r="C3" s="3">
        <v>0.83999999999999997</v>
      </c>
      <c r="D3" s="3">
        <v>0.56000000000000005</v>
      </c>
      <c r="E3" s="3">
        <v>7.5678999999999998</v>
      </c>
      <c r="F3" s="3">
        <v>7.5678999999999998</v>
      </c>
      <c r="G3" s="3">
        <v>7.5678999999999998</v>
      </c>
      <c r="H3" s="3">
        <v>0</v>
      </c>
      <c r="I3" s="3">
        <f t="shared" ref="I3:I35" si="0">F3-E3</f>
        <v>0</v>
      </c>
      <c r="J3" s="3">
        <f t="shared" ref="J3:J35" si="1">G3-E3</f>
        <v>0</v>
      </c>
    </row>
    <row r="4" x14ac:dyDescent="0.25">
      <c r="A4" s="1" t="s">
        <v>1757</v>
      </c>
      <c r="B4" s="3">
        <v>330</v>
      </c>
      <c r="C4" s="3">
        <v>365</v>
      </c>
      <c r="D4" s="3">
        <v>264</v>
      </c>
      <c r="E4" s="3">
        <v>7.5678999999999998</v>
      </c>
      <c r="F4" s="3">
        <v>7.5678999999999998</v>
      </c>
      <c r="G4" s="3">
        <v>7.5678999999999998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1758</v>
      </c>
      <c r="B5" s="3">
        <v>0</v>
      </c>
      <c r="C5" s="3">
        <v>0</v>
      </c>
      <c r="D5" s="3">
        <v>0</v>
      </c>
      <c r="E5" s="3">
        <v>7.5678999999999998</v>
      </c>
      <c r="F5" s="3">
        <v>7.5678999999999998</v>
      </c>
      <c r="G5" s="3">
        <v>7.5678999999999998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1759</v>
      </c>
      <c r="B6" s="3">
        <v>1.47</v>
      </c>
      <c r="C6" s="3">
        <v>1.764</v>
      </c>
      <c r="D6" s="3">
        <v>1.1759999999999999</v>
      </c>
      <c r="E6" s="3">
        <v>7.5678999999999998</v>
      </c>
      <c r="F6" s="3">
        <v>7.5678999999999998</v>
      </c>
      <c r="G6" s="3">
        <v>7.5678999999999998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1760</v>
      </c>
      <c r="B7" s="3">
        <v>0.000204</v>
      </c>
      <c r="C7" s="3">
        <v>0.00024479999999999999</v>
      </c>
      <c r="D7" s="3">
        <v>0.00016320000000000001</v>
      </c>
      <c r="E7" s="3">
        <v>7.5678999999999998</v>
      </c>
      <c r="F7" s="3">
        <v>7.5678999999999998</v>
      </c>
      <c r="G7" s="3">
        <v>7.5678999999999998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1761</v>
      </c>
      <c r="B8" s="3">
        <v>45</v>
      </c>
      <c r="C8" s="3">
        <v>54</v>
      </c>
      <c r="D8" s="3">
        <v>36</v>
      </c>
      <c r="E8" s="3">
        <v>7.5678999999999998</v>
      </c>
      <c r="F8" s="3">
        <v>7.5678999999999998</v>
      </c>
      <c r="G8" s="3">
        <v>7.5678999999999998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1762</v>
      </c>
      <c r="B9" s="3">
        <v>0.75</v>
      </c>
      <c r="C9" s="3">
        <v>0.90000000000000002</v>
      </c>
      <c r="D9" s="3">
        <v>0.59999999999999998</v>
      </c>
      <c r="E9" s="3">
        <v>7.5678999999999998</v>
      </c>
      <c r="F9" s="3">
        <v>7.5678999999999998</v>
      </c>
      <c r="G9" s="3">
        <v>7.5678999999999998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1763</v>
      </c>
      <c r="B10" s="3">
        <v>3.5499999999999998</v>
      </c>
      <c r="C10" s="3">
        <v>4.2599999999999998</v>
      </c>
      <c r="D10" s="3">
        <v>2.8399999999999999</v>
      </c>
      <c r="E10" s="3">
        <v>7.5678999999999998</v>
      </c>
      <c r="F10" s="3">
        <v>7.5678999999999998</v>
      </c>
      <c r="G10" s="3">
        <v>7.5678999999999998</v>
      </c>
      <c r="H10" s="3">
        <v>0</v>
      </c>
      <c r="I10" s="3">
        <f t="shared" si="0"/>
        <v>0</v>
      </c>
      <c r="J10" s="3">
        <f t="shared" si="1"/>
        <v>0</v>
      </c>
    </row>
    <row r="11" x14ac:dyDescent="0.25">
      <c r="A11" s="1" t="s">
        <v>1764</v>
      </c>
      <c r="B11" s="3">
        <v>3.6299999999999999</v>
      </c>
      <c r="C11" s="3">
        <v>4.3559999999999999</v>
      </c>
      <c r="D11" s="3">
        <v>2.9039999999999999</v>
      </c>
      <c r="E11" s="3">
        <v>7.5678999999999998</v>
      </c>
      <c r="F11" s="3">
        <v>7.5678999999999998</v>
      </c>
      <c r="G11" s="3">
        <v>7.5678999999999998</v>
      </c>
      <c r="H11" s="3">
        <v>0</v>
      </c>
      <c r="I11" s="3">
        <f t="shared" si="0"/>
        <v>0</v>
      </c>
      <c r="J11" s="3">
        <f t="shared" si="1"/>
        <v>0</v>
      </c>
    </row>
    <row r="12" x14ac:dyDescent="0.25">
      <c r="A12" s="1" t="s">
        <v>1765</v>
      </c>
      <c r="B12" s="3">
        <v>4.0499999999999998</v>
      </c>
      <c r="C12" s="3">
        <v>4.8600000000000003</v>
      </c>
      <c r="D12" s="3">
        <v>3.2400000000000002</v>
      </c>
      <c r="E12" s="3">
        <v>7.5678999999999998</v>
      </c>
      <c r="F12" s="3">
        <v>7.5678999999999998</v>
      </c>
      <c r="G12" s="3">
        <v>7.5678999999999998</v>
      </c>
      <c r="H12" s="3">
        <v>0</v>
      </c>
      <c r="I12" s="3">
        <f t="shared" si="0"/>
        <v>0</v>
      </c>
      <c r="J12" s="3">
        <f t="shared" si="1"/>
        <v>0</v>
      </c>
    </row>
    <row r="13" x14ac:dyDescent="0.25">
      <c r="A13" s="1" t="s">
        <v>1766</v>
      </c>
      <c r="B13" s="3">
        <v>2.46</v>
      </c>
      <c r="C13" s="3">
        <v>2.952</v>
      </c>
      <c r="D13" s="3">
        <v>1.968</v>
      </c>
      <c r="E13" s="3">
        <v>7.5678999999999998</v>
      </c>
      <c r="F13" s="3">
        <v>7.5678999999999998</v>
      </c>
      <c r="G13" s="3">
        <v>7.5678999999999998</v>
      </c>
      <c r="H13" s="3">
        <v>0</v>
      </c>
      <c r="I13" s="3">
        <f t="shared" si="0"/>
        <v>0</v>
      </c>
      <c r="J13" s="3">
        <f t="shared" si="1"/>
        <v>0</v>
      </c>
    </row>
    <row r="14" x14ac:dyDescent="0.25">
      <c r="A14" s="1" t="s">
        <v>1767</v>
      </c>
      <c r="B14" s="3">
        <v>5.1699999999999999</v>
      </c>
      <c r="C14" s="3">
        <v>6.2039999999999997</v>
      </c>
      <c r="D14" s="3">
        <v>4.1360000000000001</v>
      </c>
      <c r="E14" s="3">
        <v>7.5678999999999998</v>
      </c>
      <c r="F14" s="3">
        <v>7.5678999999999998</v>
      </c>
      <c r="G14" s="3">
        <v>7.5678999999999998</v>
      </c>
      <c r="H14" s="3">
        <v>0</v>
      </c>
      <c r="I14" s="3">
        <f t="shared" si="0"/>
        <v>0</v>
      </c>
      <c r="J14" s="3">
        <f t="shared" si="1"/>
        <v>0</v>
      </c>
    </row>
    <row r="15" x14ac:dyDescent="0.25">
      <c r="A15" s="1" t="s">
        <v>1768</v>
      </c>
      <c r="B15" s="3">
        <v>250</v>
      </c>
      <c r="C15" s="3">
        <v>300</v>
      </c>
      <c r="D15" s="3">
        <v>200</v>
      </c>
      <c r="E15" s="3">
        <v>7.5678999999999998</v>
      </c>
      <c r="F15" s="3">
        <v>7.5679999999999996</v>
      </c>
      <c r="G15" s="3">
        <v>7.5678999999999998</v>
      </c>
      <c r="H15" s="3">
        <v>0.0001</v>
      </c>
      <c r="I15" s="3">
        <f t="shared" si="0"/>
        <v>0</v>
      </c>
      <c r="J15" s="3">
        <f t="shared" si="1"/>
        <v>0</v>
      </c>
    </row>
    <row r="16" x14ac:dyDescent="0.25">
      <c r="A16" s="1" t="s">
        <v>1769</v>
      </c>
      <c r="B16" s="3">
        <v>1.8</v>
      </c>
      <c r="C16" s="3">
        <v>2.1600000000000001</v>
      </c>
      <c r="D16" s="3">
        <v>1.4399999999999999</v>
      </c>
      <c r="E16" s="3">
        <v>7.5678999999999998</v>
      </c>
      <c r="F16" s="3">
        <v>7.5681000000000003</v>
      </c>
      <c r="G16" s="3">
        <v>7.5678000000000001</v>
      </c>
      <c r="H16" s="3">
        <v>0.00020000000000000001</v>
      </c>
      <c r="I16" s="3">
        <f t="shared" si="0"/>
        <v>0</v>
      </c>
      <c r="J16" s="3">
        <f t="shared" si="1"/>
        <v>0</v>
      </c>
    </row>
    <row r="17" x14ac:dyDescent="0.25">
      <c r="A17" s="1" t="s">
        <v>1770</v>
      </c>
      <c r="B17" s="3">
        <v>5.2000000000000002</v>
      </c>
      <c r="C17" s="3">
        <v>6.2400000000000002</v>
      </c>
      <c r="D17" s="3">
        <v>4.1600000000000001</v>
      </c>
      <c r="E17" s="3">
        <v>7.5678999999999998</v>
      </c>
      <c r="F17" s="3">
        <v>7.5686999999999998</v>
      </c>
      <c r="G17" s="3">
        <v>7.5671999999999997</v>
      </c>
      <c r="H17" s="3">
        <v>0.00080000000000000004</v>
      </c>
      <c r="I17" s="3">
        <f t="shared" si="0"/>
        <v>0</v>
      </c>
      <c r="J17" s="3">
        <f t="shared" si="1"/>
        <v>0</v>
      </c>
    </row>
    <row r="18" x14ac:dyDescent="0.25">
      <c r="A18" s="1" t="s">
        <v>1771</v>
      </c>
      <c r="B18" s="3">
        <v>0.73519999999999996</v>
      </c>
      <c r="C18" s="3">
        <v>0.88224000000000002</v>
      </c>
      <c r="D18" s="3">
        <v>0.58816000000000002</v>
      </c>
      <c r="E18" s="3">
        <v>7.5678999999999998</v>
      </c>
      <c r="F18" s="3">
        <v>7.5689000000000002</v>
      </c>
      <c r="G18" s="3">
        <v>7.5670000000000002</v>
      </c>
      <c r="H18" s="3">
        <v>0.001</v>
      </c>
      <c r="I18" s="3">
        <f t="shared" si="0"/>
        <v>9.9999999999988987E-5</v>
      </c>
      <c r="J18" s="3">
        <f t="shared" si="1"/>
        <v>-9.9999999999988987E-5</v>
      </c>
    </row>
    <row r="19" x14ac:dyDescent="0.25">
      <c r="A19" s="1" t="s">
        <v>1772</v>
      </c>
      <c r="B19" s="3">
        <v>0.21540000000000001</v>
      </c>
      <c r="C19" s="3">
        <v>0.25847999999999999</v>
      </c>
      <c r="D19" s="3">
        <v>0.17232</v>
      </c>
      <c r="E19" s="3">
        <v>7.5678999999999998</v>
      </c>
      <c r="F19" s="3">
        <v>7.5696000000000003</v>
      </c>
      <c r="G19" s="3">
        <v>7.5663</v>
      </c>
      <c r="H19" s="3">
        <v>0.0016999999999999999</v>
      </c>
      <c r="I19" s="3">
        <f t="shared" si="0"/>
        <v>7.9999999999991189E-4</v>
      </c>
      <c r="J19" s="3">
        <f t="shared" si="1"/>
        <v>-6.9999999999992291E-4</v>
      </c>
    </row>
    <row r="20" x14ac:dyDescent="0.25">
      <c r="A20" s="1" t="s">
        <v>1773</v>
      </c>
      <c r="B20" s="3">
        <v>0.10000000000000001</v>
      </c>
      <c r="C20" s="3">
        <v>0.12</v>
      </c>
      <c r="D20" s="3">
        <v>0.080000000000000002</v>
      </c>
      <c r="E20" s="3">
        <v>7.5678999999999998</v>
      </c>
      <c r="F20" s="3">
        <v>7.5708000000000002</v>
      </c>
      <c r="G20" s="3">
        <v>7.5651999999999999</v>
      </c>
      <c r="H20" s="3">
        <v>0.0028999999999999998</v>
      </c>
      <c r="I20" s="3">
        <f t="shared" si="0"/>
        <v>8.9999999999990088E-4</v>
      </c>
      <c r="J20" s="3">
        <f t="shared" si="1"/>
        <v>-7.9999999999991189E-4</v>
      </c>
    </row>
    <row r="21" x14ac:dyDescent="0.25">
      <c r="A21" s="1" t="s">
        <v>1774</v>
      </c>
      <c r="B21" s="3">
        <v>0.0022000000000000001</v>
      </c>
      <c r="C21" s="3">
        <v>0.00264</v>
      </c>
      <c r="D21" s="3">
        <v>0.0017600000000000001</v>
      </c>
      <c r="E21" s="3">
        <v>7.5678999999999998</v>
      </c>
      <c r="F21" s="3">
        <v>7.5721999999999996</v>
      </c>
      <c r="G21" s="3">
        <v>7.5636999999999999</v>
      </c>
      <c r="H21" s="3">
        <v>0.0043</v>
      </c>
      <c r="I21" s="3">
        <f t="shared" si="0"/>
        <v>3.1000000000001027E-3</v>
      </c>
      <c r="J21" s="3">
        <f t="shared" si="1"/>
        <v>-3.0999999999998806E-3</v>
      </c>
    </row>
    <row r="22" x14ac:dyDescent="0.25">
      <c r="A22" s="1" t="s">
        <v>1775</v>
      </c>
      <c r="B22" s="3">
        <v>0.66000000000000003</v>
      </c>
      <c r="C22" s="3">
        <v>0.79200000000000004</v>
      </c>
      <c r="D22" s="3">
        <v>0.52800000000000002</v>
      </c>
      <c r="E22" s="3">
        <v>7.5678999999999998</v>
      </c>
      <c r="F22" s="3">
        <v>7.5738000000000003</v>
      </c>
      <c r="G22" s="3">
        <v>7.5621</v>
      </c>
      <c r="H22" s="3">
        <v>0.0058999999999999999</v>
      </c>
      <c r="I22" s="3">
        <f t="shared" si="0"/>
        <v>4.4999999999999485E-3</v>
      </c>
      <c r="J22" s="3">
        <f t="shared" si="1"/>
        <v>-4.4999999999999485E-3</v>
      </c>
    </row>
    <row r="23" x14ac:dyDescent="0.25">
      <c r="A23" s="1" t="s">
        <v>1776</v>
      </c>
      <c r="B23" s="3">
        <v>1.7</v>
      </c>
      <c r="C23" s="3">
        <v>2.04</v>
      </c>
      <c r="D23" s="3">
        <v>1.3600000000000001</v>
      </c>
      <c r="E23" s="3">
        <v>7.5678999999999998</v>
      </c>
      <c r="F23" s="3">
        <v>7.5749000000000004</v>
      </c>
      <c r="G23" s="3">
        <v>7.5609000000000002</v>
      </c>
      <c r="H23" s="3">
        <v>0.0070000000000000001</v>
      </c>
      <c r="I23" s="3">
        <f t="shared" si="0"/>
        <v>4.4999999999999485E-3</v>
      </c>
      <c r="J23" s="3">
        <f t="shared" si="1"/>
        <v>-4.3999999999999595E-3</v>
      </c>
    </row>
    <row r="24" x14ac:dyDescent="0.25">
      <c r="A24" s="1" t="s">
        <v>1777</v>
      </c>
      <c r="B24" s="3">
        <v>0.54000000000000004</v>
      </c>
      <c r="C24" s="3">
        <v>0.64800000000000002</v>
      </c>
      <c r="D24" s="3">
        <v>0.432</v>
      </c>
      <c r="E24" s="3">
        <v>7.5678999999999998</v>
      </c>
      <c r="F24" s="3">
        <v>7.5754999999999999</v>
      </c>
      <c r="G24" s="3">
        <v>7.5603999999999996</v>
      </c>
      <c r="H24" s="3">
        <v>0.0076</v>
      </c>
      <c r="I24" s="3">
        <f t="shared" si="0"/>
        <v>7.0000000000001172E-3</v>
      </c>
      <c r="J24" s="3">
        <f t="shared" si="1"/>
        <v>-6.9999999999998952E-3</v>
      </c>
    </row>
    <row r="25" x14ac:dyDescent="0.25">
      <c r="A25" s="1" t="s">
        <v>1778</v>
      </c>
      <c r="B25" s="3">
        <v>0.80000000000000004</v>
      </c>
      <c r="C25" s="3">
        <v>0.95999999999999996</v>
      </c>
      <c r="D25" s="3">
        <v>0.64000000000000001</v>
      </c>
      <c r="E25" s="3">
        <v>7.5678999999999998</v>
      </c>
      <c r="F25" s="3">
        <v>7.5773999999999999</v>
      </c>
      <c r="G25" s="3">
        <v>7.5585000000000004</v>
      </c>
      <c r="H25" s="3">
        <v>0.0094999999999999998</v>
      </c>
      <c r="I25" s="3">
        <f t="shared" si="0"/>
        <v>7.6000000000000512E-3</v>
      </c>
      <c r="J25" s="3">
        <f t="shared" si="1"/>
        <v>-7.5000000000000622E-3</v>
      </c>
    </row>
    <row r="26" x14ac:dyDescent="0.25">
      <c r="A26" s="1" t="s">
        <v>1779</v>
      </c>
      <c r="B26" s="3">
        <v>0.017999999999999999</v>
      </c>
      <c r="C26" s="3">
        <v>0.021600000000000001</v>
      </c>
      <c r="D26" s="3">
        <v>0.0144</v>
      </c>
      <c r="E26" s="3">
        <v>7.5678999999999998</v>
      </c>
      <c r="F26" s="3">
        <v>7.5789999999999997</v>
      </c>
      <c r="G26" s="3">
        <v>7.5568</v>
      </c>
      <c r="H26" s="3">
        <v>0.0111</v>
      </c>
      <c r="I26" s="3">
        <f t="shared" si="0"/>
        <v>7.9000000000000181E-3</v>
      </c>
      <c r="J26" s="3">
        <f t="shared" si="1"/>
        <v>-7.8000000000000291E-3</v>
      </c>
    </row>
    <row r="27" x14ac:dyDescent="0.25">
      <c r="A27" s="1" t="s">
        <v>1780</v>
      </c>
      <c r="B27" s="3">
        <v>100</v>
      </c>
      <c r="C27" s="3">
        <v>120</v>
      </c>
      <c r="D27" s="3">
        <v>80</v>
      </c>
      <c r="E27" s="3">
        <v>7.5678999999999998</v>
      </c>
      <c r="F27" s="3">
        <v>7.5572999999999997</v>
      </c>
      <c r="G27" s="3">
        <v>7.5364000000000004</v>
      </c>
      <c r="H27" s="3">
        <v>0.0315</v>
      </c>
      <c r="I27" s="3">
        <f t="shared" si="0"/>
        <v>9.300000000000086E-3</v>
      </c>
      <c r="J27" s="3">
        <f t="shared" si="1"/>
        <v>-9.200000000000097E-3</v>
      </c>
    </row>
    <row r="28" x14ac:dyDescent="0.25">
      <c r="A28" s="1" t="s">
        <v>1781</v>
      </c>
      <c r="B28" s="3">
        <v>600</v>
      </c>
      <c r="C28" s="3">
        <v>720</v>
      </c>
      <c r="D28" s="3">
        <v>480</v>
      </c>
      <c r="E28" s="3">
        <v>7.5678999999999998</v>
      </c>
      <c r="F28" s="3">
        <v>7.5359999999999996</v>
      </c>
      <c r="G28" s="3">
        <v>7.5930999999999997</v>
      </c>
      <c r="H28" s="3">
        <v>0.031899999999999998</v>
      </c>
      <c r="I28" s="3">
        <f t="shared" si="0"/>
        <v>2.2699999999999942E-2</v>
      </c>
      <c r="J28" s="3">
        <f t="shared" si="1"/>
        <v>-2.2599999999999953E-2</v>
      </c>
    </row>
    <row r="29" x14ac:dyDescent="0.25">
      <c r="A29" s="1" t="s">
        <v>1782</v>
      </c>
      <c r="B29" s="3">
        <v>0.070000000000000007</v>
      </c>
      <c r="C29" s="3">
        <v>0.084000000000000005</v>
      </c>
      <c r="D29" s="3">
        <v>0.056000000000000001</v>
      </c>
      <c r="E29" s="3">
        <v>7.5678999999999998</v>
      </c>
      <c r="F29" s="3">
        <v>7.6211000000000002</v>
      </c>
      <c r="G29" s="3">
        <v>7.5147000000000004</v>
      </c>
      <c r="H29" s="3">
        <v>0.053199999999999997</v>
      </c>
      <c r="I29" s="3">
        <f t="shared" si="0"/>
        <v>5.9000000000000163E-3</v>
      </c>
      <c r="J29" s="3">
        <f t="shared" si="1"/>
        <v>2.6100000000000012E-2</v>
      </c>
    </row>
    <row r="30" x14ac:dyDescent="0.25">
      <c r="A30" s="1" t="s">
        <v>1783</v>
      </c>
      <c r="B30" s="3">
        <v>5</v>
      </c>
      <c r="C30" s="3">
        <v>6</v>
      </c>
      <c r="D30" s="3">
        <v>4</v>
      </c>
      <c r="E30" s="3">
        <v>7.5678999999999998</v>
      </c>
      <c r="F30" s="3">
        <v>7.5681000000000003</v>
      </c>
      <c r="G30" s="3">
        <v>7.5008999999999997</v>
      </c>
      <c r="H30" s="3">
        <v>0.067000000000000004</v>
      </c>
      <c r="I30" s="3">
        <f t="shared" si="0"/>
        <v>5.06000000000002E-2</v>
      </c>
      <c r="J30" s="3">
        <f t="shared" si="1"/>
        <v>-5.0599999999999978E-2</v>
      </c>
    </row>
    <row r="31" x14ac:dyDescent="0.25">
      <c r="A31" s="1" t="s">
        <v>1784</v>
      </c>
      <c r="B31" s="3">
        <v>0.10000000000000001</v>
      </c>
      <c r="C31" s="3">
        <v>0.12</v>
      </c>
      <c r="D31" s="3">
        <v>0.080000000000000002</v>
      </c>
      <c r="E31" s="3">
        <v>7.5678999999999998</v>
      </c>
      <c r="F31" s="3">
        <v>8.0184999999999995</v>
      </c>
      <c r="G31" s="3">
        <v>7.1227</v>
      </c>
      <c r="H31" s="3">
        <v>0.4506</v>
      </c>
      <c r="I31" s="3">
        <f t="shared" si="0"/>
        <v>-1.4599999999999946E-2</v>
      </c>
      <c r="J31" s="3">
        <f t="shared" si="1"/>
        <v>7.3100000000000165E-2</v>
      </c>
    </row>
    <row r="32" x14ac:dyDescent="0.25">
      <c r="A32" s="1" t="s">
        <v>1785</v>
      </c>
      <c r="B32" s="3">
        <v>230</v>
      </c>
      <c r="C32" s="3">
        <v>276</v>
      </c>
      <c r="D32" s="3">
        <v>184</v>
      </c>
      <c r="E32" s="3">
        <v>7.5678999999999998</v>
      </c>
      <c r="F32" s="3">
        <v>8.1975999999999996</v>
      </c>
      <c r="G32" s="3">
        <v>6.9382999999999999</v>
      </c>
      <c r="H32" s="3">
        <v>0.62970000000000004</v>
      </c>
      <c r="I32" s="3">
        <f t="shared" si="0"/>
        <v>0.16780000000000017</v>
      </c>
      <c r="J32" s="3">
        <f t="shared" si="1"/>
        <v>-0.16579999999999995</v>
      </c>
    </row>
    <row r="33" x14ac:dyDescent="0.25">
      <c r="A33" s="1" t="s">
        <v>1786</v>
      </c>
      <c r="B33" s="3">
        <v>0.65000000000000002</v>
      </c>
      <c r="C33" s="3">
        <v>0.78000000000000003</v>
      </c>
      <c r="D33" s="3">
        <v>0.52000000000000002</v>
      </c>
      <c r="E33" s="3">
        <v>7.5678999999999998</v>
      </c>
      <c r="F33" s="3">
        <v>7.0231000000000003</v>
      </c>
      <c r="G33" s="3">
        <v>8.3848000000000003</v>
      </c>
      <c r="H33" s="3">
        <v>0.81689999999999996</v>
      </c>
      <c r="I33" s="3">
        <f t="shared" si="0"/>
        <v>0.20509999999999984</v>
      </c>
      <c r="J33" s="3">
        <f t="shared" si="1"/>
        <v>1.7700000000000049E-2</v>
      </c>
    </row>
    <row r="34" x14ac:dyDescent="0.25">
      <c r="A34" s="1" t="s">
        <v>1787</v>
      </c>
      <c r="B34" s="3">
        <v>0.90000000000000002</v>
      </c>
      <c r="C34" s="3">
        <v>1</v>
      </c>
      <c r="D34" s="3">
        <v>0.71999999999999997</v>
      </c>
      <c r="E34" s="3">
        <v>7.5678999999999998</v>
      </c>
      <c r="F34" s="3">
        <v>6.8228</v>
      </c>
      <c r="G34" s="3">
        <v>9.4313000000000002</v>
      </c>
      <c r="H34" s="3">
        <v>1.8633999999999999</v>
      </c>
      <c r="I34" s="3">
        <f t="shared" si="0"/>
        <v>4.1999999999999815E-3</v>
      </c>
      <c r="J34" s="3">
        <f t="shared" si="1"/>
        <v>0.27030000000000021</v>
      </c>
    </row>
    <row r="35" x14ac:dyDescent="0.25">
      <c r="A35" s="1" t="s">
        <v>1788</v>
      </c>
      <c r="B35" s="3">
        <v>7920</v>
      </c>
      <c r="C35" s="3">
        <v>8760</v>
      </c>
      <c r="D35" s="3">
        <v>6336</v>
      </c>
      <c r="E35" s="3">
        <v>7.5678999999999998</v>
      </c>
      <c r="F35" s="3">
        <v>6.8493000000000004</v>
      </c>
      <c r="G35" s="3">
        <v>9.4415999999999993</v>
      </c>
      <c r="H35" s="3">
        <v>1.8736999999999999</v>
      </c>
      <c r="I35" s="3">
        <f t="shared" si="0"/>
        <v>0</v>
      </c>
      <c r="J35" s="3">
        <f t="shared" si="1"/>
        <v>0.46479999999999988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10579-A8AD-4CB7-B108-570185C51150}">
  <sheetPr codeName="Sheet3"/>
  <dimension ref="A1:J35"/>
  <sheetViews>
    <sheetView workbookViewId="0">
      <selection activeCell="N37" sqref="N37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11</v>
      </c>
      <c r="F1" s="2" t="s">
        <v>7</v>
      </c>
      <c r="G1" s="2" t="s">
        <v>12</v>
      </c>
      <c r="H1" s="2" t="s">
        <v>10</v>
      </c>
      <c r="I1" s="2" t="s">
        <v>19</v>
      </c>
      <c r="J1" s="2" t="s">
        <v>20</v>
      </c>
    </row>
    <row r="2" x14ac:dyDescent="0.25">
      <c r="A2" s="1" t="s">
        <v>1789</v>
      </c>
      <c r="B2" s="3">
        <v>4000</v>
      </c>
      <c r="C2" s="3">
        <v>4800</v>
      </c>
      <c r="D2" s="3">
        <v>3200</v>
      </c>
      <c r="E2" s="3">
        <v>25.913</v>
      </c>
      <c r="F2" s="3">
        <v>25.913</v>
      </c>
      <c r="G2" s="3">
        <v>25.913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1790</v>
      </c>
      <c r="B3" s="3">
        <v>0.69999999999999996</v>
      </c>
      <c r="C3" s="3">
        <v>0.83999999999999997</v>
      </c>
      <c r="D3" s="3">
        <v>0.56000000000000005</v>
      </c>
      <c r="E3" s="3">
        <v>25.913</v>
      </c>
      <c r="F3" s="3">
        <v>25.913</v>
      </c>
      <c r="G3" s="3">
        <v>25.913</v>
      </c>
      <c r="H3" s="3">
        <v>0</v>
      </c>
      <c r="I3" s="3">
        <f t="shared" ref="I3:I35" si="0">F3-E3</f>
        <v>0</v>
      </c>
      <c r="J3" s="3">
        <f t="shared" ref="J3:J35" si="1">G3-E3</f>
        <v>0</v>
      </c>
    </row>
    <row r="4" x14ac:dyDescent="0.25">
      <c r="A4" s="1" t="s">
        <v>1791</v>
      </c>
      <c r="B4" s="3">
        <v>330</v>
      </c>
      <c r="C4" s="3">
        <v>365</v>
      </c>
      <c r="D4" s="3">
        <v>264</v>
      </c>
      <c r="E4" s="3">
        <v>25.913</v>
      </c>
      <c r="F4" s="3">
        <v>25.913</v>
      </c>
      <c r="G4" s="3">
        <v>25.913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1792</v>
      </c>
      <c r="B5" s="3">
        <v>0</v>
      </c>
      <c r="C5" s="3">
        <v>0</v>
      </c>
      <c r="D5" s="3">
        <v>0</v>
      </c>
      <c r="E5" s="3">
        <v>25.913</v>
      </c>
      <c r="F5" s="3">
        <v>25.913</v>
      </c>
      <c r="G5" s="3">
        <v>25.913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1793</v>
      </c>
      <c r="B6" s="3">
        <v>45</v>
      </c>
      <c r="C6" s="3">
        <v>54</v>
      </c>
      <c r="D6" s="3">
        <v>36</v>
      </c>
      <c r="E6" s="3">
        <v>25.913</v>
      </c>
      <c r="F6" s="3">
        <v>25.913</v>
      </c>
      <c r="G6" s="3">
        <v>25.913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1794</v>
      </c>
      <c r="B7" s="3">
        <v>0.75</v>
      </c>
      <c r="C7" s="3">
        <v>0.90000000000000002</v>
      </c>
      <c r="D7" s="3">
        <v>0.59999999999999998</v>
      </c>
      <c r="E7" s="3">
        <v>25.913</v>
      </c>
      <c r="F7" s="3">
        <v>25.913</v>
      </c>
      <c r="G7" s="3">
        <v>25.913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1795</v>
      </c>
      <c r="B8" s="3">
        <v>3.5499999999999998</v>
      </c>
      <c r="C8" s="3">
        <v>4.2599999999999998</v>
      </c>
      <c r="D8" s="3">
        <v>2.8399999999999999</v>
      </c>
      <c r="E8" s="3">
        <v>25.913</v>
      </c>
      <c r="F8" s="3">
        <v>25.913</v>
      </c>
      <c r="G8" s="3">
        <v>25.913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1796</v>
      </c>
      <c r="B9" s="3">
        <v>3.6299999999999999</v>
      </c>
      <c r="C9" s="3">
        <v>4.3559999999999999</v>
      </c>
      <c r="D9" s="3">
        <v>2.9039999999999999</v>
      </c>
      <c r="E9" s="3">
        <v>25.913</v>
      </c>
      <c r="F9" s="3">
        <v>25.913</v>
      </c>
      <c r="G9" s="3">
        <v>25.913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1797</v>
      </c>
      <c r="B10" s="3">
        <v>4.0499999999999998</v>
      </c>
      <c r="C10" s="3">
        <v>4.8600000000000003</v>
      </c>
      <c r="D10" s="3">
        <v>3.2400000000000002</v>
      </c>
      <c r="E10" s="3">
        <v>25.913</v>
      </c>
      <c r="F10" s="3">
        <v>25.913</v>
      </c>
      <c r="G10" s="3">
        <v>25.913</v>
      </c>
      <c r="H10" s="3">
        <v>0</v>
      </c>
      <c r="I10" s="3">
        <f t="shared" si="0"/>
        <v>0</v>
      </c>
      <c r="J10" s="3">
        <f t="shared" si="1"/>
        <v>-9.9999999999766942E-5</v>
      </c>
    </row>
    <row r="11" x14ac:dyDescent="0.25">
      <c r="A11" s="1" t="s">
        <v>1798</v>
      </c>
      <c r="B11" s="3">
        <v>2.46</v>
      </c>
      <c r="C11" s="3">
        <v>2.952</v>
      </c>
      <c r="D11" s="3">
        <v>1.968</v>
      </c>
      <c r="E11" s="3">
        <v>25.913</v>
      </c>
      <c r="F11" s="3">
        <v>25.913</v>
      </c>
      <c r="G11" s="3">
        <v>25.913</v>
      </c>
      <c r="H11" s="3">
        <v>0</v>
      </c>
      <c r="I11" s="3">
        <f t="shared" si="0"/>
        <v>0</v>
      </c>
      <c r="J11" s="3">
        <f t="shared" si="1"/>
        <v>-3.0000000000107718E-4</v>
      </c>
    </row>
    <row r="12" x14ac:dyDescent="0.25">
      <c r="A12" s="1" t="s">
        <v>1799</v>
      </c>
      <c r="B12" s="3">
        <v>5.1699999999999999</v>
      </c>
      <c r="C12" s="3">
        <v>6.2039999999999997</v>
      </c>
      <c r="D12" s="3">
        <v>4.1360000000000001</v>
      </c>
      <c r="E12" s="3">
        <v>25.913</v>
      </c>
      <c r="F12" s="3">
        <v>25.913</v>
      </c>
      <c r="G12" s="3">
        <v>25.913</v>
      </c>
      <c r="H12" s="3">
        <v>0</v>
      </c>
      <c r="I12" s="3">
        <f t="shared" si="0"/>
        <v>7.0000000000014495E-4</v>
      </c>
      <c r="J12" s="3">
        <f t="shared" si="1"/>
        <v>-7.0000000000014495E-4</v>
      </c>
    </row>
    <row r="13" x14ac:dyDescent="0.25">
      <c r="A13" s="1" t="s">
        <v>1800</v>
      </c>
      <c r="B13" s="3">
        <v>250</v>
      </c>
      <c r="C13" s="3">
        <v>300</v>
      </c>
      <c r="D13" s="3">
        <v>200</v>
      </c>
      <c r="E13" s="3">
        <v>25.913</v>
      </c>
      <c r="F13" s="3">
        <v>25.9131</v>
      </c>
      <c r="G13" s="3">
        <v>25.913</v>
      </c>
      <c r="H13" s="3">
        <v>0.0001</v>
      </c>
      <c r="I13" s="3">
        <f t="shared" si="0"/>
        <v>1.9999999999988916E-3</v>
      </c>
      <c r="J13" s="3">
        <f t="shared" si="1"/>
        <v>-2.0000000000006679E-3</v>
      </c>
    </row>
    <row r="14" x14ac:dyDescent="0.25">
      <c r="A14" s="1" t="s">
        <v>1801</v>
      </c>
      <c r="B14" s="3">
        <v>1.8</v>
      </c>
      <c r="C14" s="3">
        <v>2.1600000000000001</v>
      </c>
      <c r="D14" s="3">
        <v>1.4399999999999999</v>
      </c>
      <c r="E14" s="3">
        <v>25.913</v>
      </c>
      <c r="F14" s="3">
        <v>25.913599999999999</v>
      </c>
      <c r="G14" s="3">
        <v>25.912400000000002</v>
      </c>
      <c r="H14" s="3">
        <v>0.00059999999999999995</v>
      </c>
      <c r="I14" s="3">
        <f t="shared" si="0"/>
        <v>4.6999999999997044E-3</v>
      </c>
      <c r="J14" s="3">
        <f t="shared" si="1"/>
        <v>-4.6999999999997044E-3</v>
      </c>
    </row>
    <row r="15" x14ac:dyDescent="0.25">
      <c r="A15" s="1" t="s">
        <v>1802</v>
      </c>
      <c r="B15" s="3">
        <v>0.000204</v>
      </c>
      <c r="C15" s="3">
        <v>0.00024479999999999999</v>
      </c>
      <c r="D15" s="3">
        <v>0.00016320000000000001</v>
      </c>
      <c r="E15" s="3">
        <v>25.913</v>
      </c>
      <c r="F15" s="3">
        <v>25.914100000000001</v>
      </c>
      <c r="G15" s="3">
        <v>25.911999999999999</v>
      </c>
      <c r="H15" s="3">
        <v>0.0011000000000000001</v>
      </c>
      <c r="I15" s="3">
        <f t="shared" si="0"/>
        <v>5.3999999999998494E-3</v>
      </c>
      <c r="J15" s="3">
        <f t="shared" si="1"/>
        <v>-5.3999999999998494E-3</v>
      </c>
    </row>
    <row r="16" x14ac:dyDescent="0.25">
      <c r="A16" s="1" t="s">
        <v>1803</v>
      </c>
      <c r="B16" s="3">
        <v>5.2000000000000002</v>
      </c>
      <c r="C16" s="3">
        <v>6.2400000000000002</v>
      </c>
      <c r="D16" s="3">
        <v>4.1600000000000001</v>
      </c>
      <c r="E16" s="3">
        <v>25.913</v>
      </c>
      <c r="F16" s="3">
        <v>25.915500000000002</v>
      </c>
      <c r="G16" s="3">
        <v>25.910599999999999</v>
      </c>
      <c r="H16" s="3">
        <v>0.0025000000000000001</v>
      </c>
      <c r="I16" s="3">
        <f t="shared" si="0"/>
        <v>1.8899999999998585E-2</v>
      </c>
      <c r="J16" s="3">
        <f t="shared" si="1"/>
        <v>-1.9000000000000128E-2</v>
      </c>
    </row>
    <row r="17" x14ac:dyDescent="0.25">
      <c r="A17" s="1" t="s">
        <v>1804</v>
      </c>
      <c r="B17" s="3">
        <v>0.73519999999999996</v>
      </c>
      <c r="C17" s="3">
        <v>0.88224000000000002</v>
      </c>
      <c r="D17" s="3">
        <v>0.58816000000000002</v>
      </c>
      <c r="E17" s="3">
        <v>25.913</v>
      </c>
      <c r="F17" s="3">
        <v>25.9161</v>
      </c>
      <c r="G17" s="3">
        <v>25.91</v>
      </c>
      <c r="H17" s="3">
        <v>0.0030999999999999999</v>
      </c>
      <c r="I17" s="3">
        <f t="shared" si="0"/>
        <v>2.7499999999999858E-2</v>
      </c>
      <c r="J17" s="3">
        <f t="shared" si="1"/>
        <v>-2.7499999999999858E-2</v>
      </c>
    </row>
    <row r="18" x14ac:dyDescent="0.25">
      <c r="A18" s="1" t="s">
        <v>1805</v>
      </c>
      <c r="B18" s="3">
        <v>0.10000000000000001</v>
      </c>
      <c r="C18" s="3">
        <v>0.12</v>
      </c>
      <c r="D18" s="3">
        <v>0.080000000000000002</v>
      </c>
      <c r="E18" s="3">
        <v>25.913</v>
      </c>
      <c r="F18" s="3">
        <v>25.922499999999999</v>
      </c>
      <c r="G18" s="3">
        <v>25.9041</v>
      </c>
      <c r="H18" s="3">
        <v>0.0094999999999999998</v>
      </c>
      <c r="I18" s="3">
        <f t="shared" si="0"/>
        <v>4.2799999999999727E-2</v>
      </c>
      <c r="J18" s="3">
        <f t="shared" si="1"/>
        <v>-4.290000000000127E-2</v>
      </c>
    </row>
    <row r="19" x14ac:dyDescent="0.25">
      <c r="A19" s="1" t="s">
        <v>1806</v>
      </c>
      <c r="B19" s="3">
        <v>0.0022000000000000001</v>
      </c>
      <c r="C19" s="3">
        <v>0.00264</v>
      </c>
      <c r="D19" s="3">
        <v>0.0017600000000000001</v>
      </c>
      <c r="E19" s="3">
        <v>25.913</v>
      </c>
      <c r="F19" s="3">
        <v>25.9268</v>
      </c>
      <c r="G19" s="3">
        <v>25.8993</v>
      </c>
      <c r="H19" s="3">
        <v>0.0138</v>
      </c>
      <c r="I19" s="3">
        <f t="shared" si="0"/>
        <v>4.6299999999998676E-2</v>
      </c>
      <c r="J19" s="3">
        <f t="shared" si="1"/>
        <v>-4.6300000000000452E-2</v>
      </c>
    </row>
    <row r="20" x14ac:dyDescent="0.25">
      <c r="A20" s="1" t="s">
        <v>1807</v>
      </c>
      <c r="B20" s="3">
        <v>0.66000000000000003</v>
      </c>
      <c r="C20" s="3">
        <v>0.79200000000000004</v>
      </c>
      <c r="D20" s="3">
        <v>0.52800000000000002</v>
      </c>
      <c r="E20" s="3">
        <v>25.913</v>
      </c>
      <c r="F20" s="3">
        <v>25.932099999999998</v>
      </c>
      <c r="G20" s="3">
        <v>25.893899999999999</v>
      </c>
      <c r="H20" s="3">
        <v>0.019099999999999999</v>
      </c>
      <c r="I20" s="3">
        <f t="shared" si="0"/>
        <v>4.8199999999999577E-2</v>
      </c>
      <c r="J20" s="3">
        <f t="shared" si="1"/>
        <v>-4.8200000000001353E-2</v>
      </c>
    </row>
    <row r="21" x14ac:dyDescent="0.25">
      <c r="A21" s="1" t="s">
        <v>1808</v>
      </c>
      <c r="B21" s="3">
        <v>0.21540000000000001</v>
      </c>
      <c r="C21" s="3">
        <v>0.25847999999999999</v>
      </c>
      <c r="D21" s="3">
        <v>0.17232</v>
      </c>
      <c r="E21" s="3">
        <v>25.913</v>
      </c>
      <c r="F21" s="3">
        <v>25.933800000000002</v>
      </c>
      <c r="G21" s="3">
        <v>25.892299999999999</v>
      </c>
      <c r="H21" s="3">
        <v>0.020799999999999999</v>
      </c>
      <c r="I21" s="3">
        <f t="shared" si="0"/>
        <v>5.6099999999998929E-2</v>
      </c>
      <c r="J21" s="3">
        <f t="shared" si="1"/>
        <v>-5.6100000000000705E-2</v>
      </c>
    </row>
    <row r="22" x14ac:dyDescent="0.25">
      <c r="A22" s="1" t="s">
        <v>1809</v>
      </c>
      <c r="B22" s="3">
        <v>1.7</v>
      </c>
      <c r="C22" s="3">
        <v>2.04</v>
      </c>
      <c r="D22" s="3">
        <v>1.3600000000000001</v>
      </c>
      <c r="E22" s="3">
        <v>25.913</v>
      </c>
      <c r="F22" s="3">
        <v>25.935700000000001</v>
      </c>
      <c r="G22" s="3">
        <v>25.8904</v>
      </c>
      <c r="H22" s="3">
        <v>0.022700000000000001</v>
      </c>
      <c r="I22" s="3">
        <f t="shared" si="0"/>
        <v>5.6699999999999307E-2</v>
      </c>
      <c r="J22" s="3">
        <f t="shared" si="1"/>
        <v>-5.6700000000001083E-2</v>
      </c>
    </row>
    <row r="23" x14ac:dyDescent="0.25">
      <c r="A23" s="1" t="s">
        <v>1810</v>
      </c>
      <c r="B23" s="3">
        <v>0.54000000000000004</v>
      </c>
      <c r="C23" s="3">
        <v>0.64800000000000002</v>
      </c>
      <c r="D23" s="3">
        <v>0.432</v>
      </c>
      <c r="E23" s="3">
        <v>25.913</v>
      </c>
      <c r="F23" s="3">
        <v>25.9376</v>
      </c>
      <c r="G23" s="3">
        <v>25.888500000000001</v>
      </c>
      <c r="H23" s="3">
        <v>0.0246</v>
      </c>
      <c r="I23" s="3">
        <f t="shared" si="0"/>
        <v>7.2099999999998943E-2</v>
      </c>
      <c r="J23" s="3">
        <f t="shared" si="1"/>
        <v>-7.2100000000000719E-2</v>
      </c>
    </row>
    <row r="24" x14ac:dyDescent="0.25">
      <c r="A24" s="1" t="s">
        <v>1811</v>
      </c>
      <c r="B24" s="3">
        <v>0.80000000000000004</v>
      </c>
      <c r="C24" s="3">
        <v>0.95999999999999996</v>
      </c>
      <c r="D24" s="3">
        <v>0.64000000000000001</v>
      </c>
      <c r="E24" s="3">
        <v>25.913</v>
      </c>
      <c r="F24" s="3">
        <v>25.9438</v>
      </c>
      <c r="G24" s="3">
        <v>25.882300000000001</v>
      </c>
      <c r="H24" s="3">
        <v>0.030800000000000001</v>
      </c>
      <c r="I24" s="3">
        <f t="shared" si="0"/>
        <v>-9.7200000000000841E-2</v>
      </c>
      <c r="J24" s="3">
        <f t="shared" si="1"/>
        <v>9.7199999999999065E-2</v>
      </c>
    </row>
    <row r="25" x14ac:dyDescent="0.25">
      <c r="A25" s="1" t="s">
        <v>1812</v>
      </c>
      <c r="B25" s="3">
        <v>0.017999999999999999</v>
      </c>
      <c r="C25" s="3">
        <v>0.021600000000000001</v>
      </c>
      <c r="D25" s="3">
        <v>0.0144</v>
      </c>
      <c r="E25" s="3">
        <v>25.913</v>
      </c>
      <c r="F25" s="3">
        <v>25.949100000000001</v>
      </c>
      <c r="G25" s="3">
        <v>25.876999999999999</v>
      </c>
      <c r="H25" s="3">
        <v>0.0361</v>
      </c>
      <c r="I25" s="3">
        <f t="shared" si="0"/>
        <v>-9.8000000000000753E-2</v>
      </c>
      <c r="J25" s="3">
        <f t="shared" si="1"/>
        <v>9.789999999999921E-2</v>
      </c>
    </row>
    <row r="26" x14ac:dyDescent="0.25">
      <c r="A26" s="1" t="s">
        <v>1813</v>
      </c>
      <c r="B26" s="3">
        <v>1.47</v>
      </c>
      <c r="C26" s="3">
        <v>1.764</v>
      </c>
      <c r="D26" s="3">
        <v>1.1759999999999999</v>
      </c>
      <c r="E26" s="3">
        <v>25.913</v>
      </c>
      <c r="F26" s="3">
        <v>25.9512</v>
      </c>
      <c r="G26" s="3">
        <v>25.8749</v>
      </c>
      <c r="H26" s="3">
        <v>0.038199999999999998</v>
      </c>
      <c r="I26" s="3">
        <f t="shared" si="0"/>
        <v>-0.12330000000000041</v>
      </c>
      <c r="J26" s="3">
        <f t="shared" si="1"/>
        <v>0.12329999999999863</v>
      </c>
    </row>
    <row r="27" x14ac:dyDescent="0.25">
      <c r="A27" s="1" t="s">
        <v>1814</v>
      </c>
      <c r="B27" s="3">
        <v>600</v>
      </c>
      <c r="C27" s="3">
        <v>720</v>
      </c>
      <c r="D27" s="3">
        <v>480</v>
      </c>
      <c r="E27" s="3">
        <v>25.913</v>
      </c>
      <c r="F27" s="3">
        <v>25.810300000000002</v>
      </c>
      <c r="G27" s="3">
        <v>25.990200000000002</v>
      </c>
      <c r="H27" s="3">
        <v>0.1027</v>
      </c>
      <c r="I27" s="3">
        <f t="shared" si="0"/>
        <v>0.1424000000000003</v>
      </c>
      <c r="J27" s="3">
        <f t="shared" si="1"/>
        <v>-0.1424000000000003</v>
      </c>
    </row>
    <row r="28" x14ac:dyDescent="0.25">
      <c r="A28" s="1" t="s">
        <v>1815</v>
      </c>
      <c r="B28" s="3">
        <v>100</v>
      </c>
      <c r="C28" s="3">
        <v>120</v>
      </c>
      <c r="D28" s="3">
        <v>80</v>
      </c>
      <c r="E28" s="3">
        <v>25.913</v>
      </c>
      <c r="F28" s="3">
        <v>25.877400000000002</v>
      </c>
      <c r="G28" s="3">
        <v>25.805900000000001</v>
      </c>
      <c r="H28" s="3">
        <v>0.1071</v>
      </c>
      <c r="I28" s="3">
        <f t="shared" si="0"/>
        <v>3.8299999999999557E-2</v>
      </c>
      <c r="J28" s="3">
        <f t="shared" si="1"/>
        <v>0.15859999999999985</v>
      </c>
    </row>
    <row r="29" x14ac:dyDescent="0.25">
      <c r="A29" s="1" t="s">
        <v>1816</v>
      </c>
      <c r="B29" s="3">
        <v>0.070000000000000007</v>
      </c>
      <c r="C29" s="3">
        <v>0.084000000000000005</v>
      </c>
      <c r="D29" s="3">
        <v>0.056000000000000001</v>
      </c>
      <c r="E29" s="3">
        <v>25.913</v>
      </c>
      <c r="F29" s="3">
        <v>26.087700000000002</v>
      </c>
      <c r="G29" s="3">
        <v>25.738399999999999</v>
      </c>
      <c r="H29" s="3">
        <v>0.17469999999999999</v>
      </c>
      <c r="I29" s="3">
        <f t="shared" si="0"/>
        <v>0.31020000000000003</v>
      </c>
      <c r="J29" s="3">
        <f t="shared" si="1"/>
        <v>-0.31020000000000003</v>
      </c>
    </row>
    <row r="30" x14ac:dyDescent="0.25">
      <c r="A30" s="1" t="s">
        <v>1817</v>
      </c>
      <c r="B30" s="3">
        <v>5</v>
      </c>
      <c r="C30" s="3">
        <v>6</v>
      </c>
      <c r="D30" s="3">
        <v>4</v>
      </c>
      <c r="E30" s="3">
        <v>25.913</v>
      </c>
      <c r="F30" s="3">
        <v>25.9131</v>
      </c>
      <c r="G30" s="3">
        <v>25.688300000000002</v>
      </c>
      <c r="H30" s="3">
        <v>0.22470000000000001</v>
      </c>
      <c r="I30" s="3">
        <f t="shared" si="0"/>
        <v>-8.9700000000000557E-2</v>
      </c>
      <c r="J30" s="3">
        <f t="shared" si="1"/>
        <v>0.44799999999999862</v>
      </c>
    </row>
    <row r="31" x14ac:dyDescent="0.25">
      <c r="A31" s="1" t="s">
        <v>1818</v>
      </c>
      <c r="B31" s="3">
        <v>0.10000000000000001</v>
      </c>
      <c r="C31" s="3">
        <v>0.12</v>
      </c>
      <c r="D31" s="3">
        <v>0.080000000000000002</v>
      </c>
      <c r="E31" s="3">
        <v>25.913</v>
      </c>
      <c r="F31" s="3">
        <v>27.458100000000002</v>
      </c>
      <c r="G31" s="3">
        <v>24.3857</v>
      </c>
      <c r="H31" s="3">
        <v>1.5450999999999999</v>
      </c>
      <c r="I31" s="3">
        <f t="shared" si="0"/>
        <v>-0.46640000000000015</v>
      </c>
      <c r="J31" s="3">
        <f t="shared" si="1"/>
        <v>0.46640000000000015</v>
      </c>
    </row>
    <row r="32" x14ac:dyDescent="0.25">
      <c r="A32" s="1" t="s">
        <v>1819</v>
      </c>
      <c r="B32" s="3">
        <v>230</v>
      </c>
      <c r="C32" s="3">
        <v>276</v>
      </c>
      <c r="D32" s="3">
        <v>184</v>
      </c>
      <c r="E32" s="3">
        <v>25.913</v>
      </c>
      <c r="F32" s="3">
        <v>27.956600000000002</v>
      </c>
      <c r="G32" s="3">
        <v>23.869499999999999</v>
      </c>
      <c r="H32" s="3">
        <v>2.0436000000000001</v>
      </c>
      <c r="I32" s="3">
        <f t="shared" si="0"/>
        <v>1.1376999999999988</v>
      </c>
      <c r="J32" s="3">
        <f t="shared" si="1"/>
        <v>-1.1247000000000007</v>
      </c>
    </row>
    <row r="33" x14ac:dyDescent="0.25">
      <c r="A33" s="1" t="s">
        <v>1820</v>
      </c>
      <c r="B33" s="3">
        <v>0.65000000000000002</v>
      </c>
      <c r="C33" s="3">
        <v>0.78000000000000003</v>
      </c>
      <c r="D33" s="3">
        <v>0.52000000000000002</v>
      </c>
      <c r="E33" s="3">
        <v>25.913</v>
      </c>
      <c r="F33" s="3">
        <v>24.1449</v>
      </c>
      <c r="G33" s="3">
        <v>28.5641</v>
      </c>
      <c r="H33" s="3">
        <v>2.6511</v>
      </c>
      <c r="I33" s="3">
        <f t="shared" si="0"/>
        <v>1.2606999999999999</v>
      </c>
      <c r="J33" s="3">
        <f t="shared" si="1"/>
        <v>0.10489999999999888</v>
      </c>
    </row>
    <row r="34" x14ac:dyDescent="0.25">
      <c r="A34" s="1" t="s">
        <v>1821</v>
      </c>
      <c r="B34" s="3">
        <v>0.90000000000000002</v>
      </c>
      <c r="C34" s="3">
        <v>1</v>
      </c>
      <c r="D34" s="3">
        <v>0.71999999999999997</v>
      </c>
      <c r="E34" s="3">
        <v>25.913</v>
      </c>
      <c r="F34" s="3">
        <v>23.447500000000002</v>
      </c>
      <c r="G34" s="3">
        <v>32.0685</v>
      </c>
      <c r="H34" s="3">
        <v>6.1555</v>
      </c>
      <c r="I34" s="3">
        <f t="shared" si="0"/>
        <v>2.6600000000000179E-2</v>
      </c>
      <c r="J34" s="3">
        <f t="shared" si="1"/>
        <v>1.6557999999999993</v>
      </c>
    </row>
    <row r="35" x14ac:dyDescent="0.25">
      <c r="A35" s="1" t="s">
        <v>1822</v>
      </c>
      <c r="B35" s="3">
        <v>7920</v>
      </c>
      <c r="C35" s="3">
        <v>8760</v>
      </c>
      <c r="D35" s="3">
        <v>6336</v>
      </c>
      <c r="E35" s="3">
        <v>25.913</v>
      </c>
      <c r="F35" s="3">
        <v>23.4788</v>
      </c>
      <c r="G35" s="3">
        <v>32.259500000000003</v>
      </c>
      <c r="H35" s="3">
        <v>6.3464999999999998</v>
      </c>
      <c r="I35" s="3">
        <f t="shared" si="0"/>
        <v>0</v>
      </c>
      <c r="J35" s="3">
        <f t="shared" si="1"/>
        <v>2.9702000000000002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4ABF3-4BE7-4627-ACD3-9BFA4F1FBE6C}">
  <sheetPr codeName="Sheet4"/>
  <dimension ref="A1:J35"/>
  <sheetViews>
    <sheetView workbookViewId="0">
      <selection activeCell="J37" sqref="J37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13</v>
      </c>
      <c r="F1" s="2" t="s">
        <v>14</v>
      </c>
      <c r="G1" s="2" t="s">
        <v>15</v>
      </c>
      <c r="H1" s="2" t="s">
        <v>10</v>
      </c>
      <c r="I1" s="2" t="s">
        <v>19</v>
      </c>
      <c r="J1" s="2" t="s">
        <v>20</v>
      </c>
    </row>
    <row r="2" x14ac:dyDescent="0.25">
      <c r="A2" s="1" t="s">
        <v>1823</v>
      </c>
      <c r="B2" s="3">
        <v>4000</v>
      </c>
      <c r="C2" s="3">
        <v>4800</v>
      </c>
      <c r="D2" s="3">
        <v>3200</v>
      </c>
      <c r="E2" s="3">
        <v>93.5184</v>
      </c>
      <c r="F2" s="3">
        <v>93.5184</v>
      </c>
      <c r="G2" s="3">
        <v>93.5184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1824</v>
      </c>
      <c r="B3" s="3">
        <v>330</v>
      </c>
      <c r="C3" s="3">
        <v>365</v>
      </c>
      <c r="D3" s="3">
        <v>264</v>
      </c>
      <c r="E3" s="3">
        <v>93.5184</v>
      </c>
      <c r="F3" s="3">
        <v>93.5184</v>
      </c>
      <c r="G3" s="3">
        <v>93.5184</v>
      </c>
      <c r="H3" s="3">
        <v>0</v>
      </c>
      <c r="I3" s="3">
        <f t="shared" ref="I3:I35" si="0">F3-E3</f>
        <v>0</v>
      </c>
      <c r="J3" s="3">
        <f t="shared" ref="J3:J35" si="1">G3-E3</f>
        <v>0</v>
      </c>
    </row>
    <row r="4" x14ac:dyDescent="0.25">
      <c r="A4" s="1" t="s">
        <v>1825</v>
      </c>
      <c r="B4" s="3">
        <v>0.10000000000000001</v>
      </c>
      <c r="C4" s="3">
        <v>0.12</v>
      </c>
      <c r="D4" s="3">
        <v>0.080000000000000002</v>
      </c>
      <c r="E4" s="3">
        <v>93.5184</v>
      </c>
      <c r="F4" s="3">
        <v>93.5184</v>
      </c>
      <c r="G4" s="3">
        <v>93.5184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1826</v>
      </c>
      <c r="B5" s="3">
        <v>0.070000000000000007</v>
      </c>
      <c r="C5" s="3">
        <v>0.084000000000000005</v>
      </c>
      <c r="D5" s="3">
        <v>0.056000000000000001</v>
      </c>
      <c r="E5" s="3">
        <v>93.5184</v>
      </c>
      <c r="F5" s="3">
        <v>93.5184</v>
      </c>
      <c r="G5" s="3">
        <v>93.5184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1827</v>
      </c>
      <c r="B6" s="3">
        <v>0.80000000000000004</v>
      </c>
      <c r="C6" s="3">
        <v>0.95999999999999996</v>
      </c>
      <c r="D6" s="3">
        <v>0.64000000000000001</v>
      </c>
      <c r="E6" s="3">
        <v>93.5184</v>
      </c>
      <c r="F6" s="3">
        <v>93.5184</v>
      </c>
      <c r="G6" s="3">
        <v>93.5184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1828</v>
      </c>
      <c r="B7" s="3">
        <v>0.66000000000000003</v>
      </c>
      <c r="C7" s="3">
        <v>0.79200000000000004</v>
      </c>
      <c r="D7" s="3">
        <v>0.52800000000000002</v>
      </c>
      <c r="E7" s="3">
        <v>93.5184</v>
      </c>
      <c r="F7" s="3">
        <v>93.5184</v>
      </c>
      <c r="G7" s="3">
        <v>93.5184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1829</v>
      </c>
      <c r="B8" s="3">
        <v>230</v>
      </c>
      <c r="C8" s="3">
        <v>276</v>
      </c>
      <c r="D8" s="3">
        <v>184</v>
      </c>
      <c r="E8" s="3">
        <v>93.5184</v>
      </c>
      <c r="F8" s="3">
        <v>93.5184</v>
      </c>
      <c r="G8" s="3">
        <v>93.5184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1830</v>
      </c>
      <c r="B9" s="3">
        <v>0.21540000000000001</v>
      </c>
      <c r="C9" s="3">
        <v>0.25847999999999999</v>
      </c>
      <c r="D9" s="3">
        <v>0.17232</v>
      </c>
      <c r="E9" s="3">
        <v>93.5184</v>
      </c>
      <c r="F9" s="3">
        <v>93.5184</v>
      </c>
      <c r="G9" s="3">
        <v>93.5184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1831</v>
      </c>
      <c r="B10" s="3">
        <v>0</v>
      </c>
      <c r="C10" s="3">
        <v>0</v>
      </c>
      <c r="D10" s="3">
        <v>0</v>
      </c>
      <c r="E10" s="3">
        <v>93.5184</v>
      </c>
      <c r="F10" s="3">
        <v>93.5184</v>
      </c>
      <c r="G10" s="3">
        <v>93.5184</v>
      </c>
      <c r="H10" s="3">
        <v>0</v>
      </c>
      <c r="I10" s="3">
        <f t="shared" si="0"/>
        <v>0</v>
      </c>
      <c r="J10" s="3">
        <f t="shared" si="1"/>
        <v>0</v>
      </c>
    </row>
    <row r="11" x14ac:dyDescent="0.25">
      <c r="A11" s="1" t="s">
        <v>1832</v>
      </c>
      <c r="B11" s="3">
        <v>1.47</v>
      </c>
      <c r="C11" s="3">
        <v>1.764</v>
      </c>
      <c r="D11" s="3">
        <v>1.1759999999999999</v>
      </c>
      <c r="E11" s="3">
        <v>93.5184</v>
      </c>
      <c r="F11" s="3">
        <v>93.5184</v>
      </c>
      <c r="G11" s="3">
        <v>93.5184</v>
      </c>
      <c r="H11" s="3">
        <v>0</v>
      </c>
      <c r="I11" s="3">
        <f t="shared" si="0"/>
        <v>0</v>
      </c>
      <c r="J11" s="3">
        <f t="shared" si="1"/>
        <v>0</v>
      </c>
    </row>
    <row r="12" x14ac:dyDescent="0.25">
      <c r="A12" s="1" t="s">
        <v>1833</v>
      </c>
      <c r="B12" s="3">
        <v>0.000204</v>
      </c>
      <c r="C12" s="3">
        <v>0.00024479999999999999</v>
      </c>
      <c r="D12" s="3">
        <v>0.00016320000000000001</v>
      </c>
      <c r="E12" s="3">
        <v>93.5184</v>
      </c>
      <c r="F12" s="3">
        <v>93.5184</v>
      </c>
      <c r="G12" s="3">
        <v>93.5184</v>
      </c>
      <c r="H12" s="3">
        <v>0</v>
      </c>
      <c r="I12" s="3">
        <f t="shared" si="0"/>
        <v>0</v>
      </c>
      <c r="J12" s="3">
        <f t="shared" si="1"/>
        <v>0</v>
      </c>
    </row>
    <row r="13" x14ac:dyDescent="0.25">
      <c r="A13" s="1" t="s">
        <v>1834</v>
      </c>
      <c r="B13" s="3">
        <v>0.73519999999999996</v>
      </c>
      <c r="C13" s="3">
        <v>0.88224000000000002</v>
      </c>
      <c r="D13" s="3">
        <v>0.58816000000000002</v>
      </c>
      <c r="E13" s="3">
        <v>93.5184</v>
      </c>
      <c r="F13" s="3">
        <v>93.5184</v>
      </c>
      <c r="G13" s="3">
        <v>93.5184</v>
      </c>
      <c r="H13" s="3">
        <v>0</v>
      </c>
      <c r="I13" s="3">
        <f t="shared" si="0"/>
        <v>0</v>
      </c>
      <c r="J13" s="3">
        <f t="shared" si="1"/>
        <v>0</v>
      </c>
    </row>
    <row r="14" x14ac:dyDescent="0.25">
      <c r="A14" s="1" t="s">
        <v>1835</v>
      </c>
      <c r="B14" s="3">
        <v>45</v>
      </c>
      <c r="C14" s="3">
        <v>54</v>
      </c>
      <c r="D14" s="3">
        <v>36</v>
      </c>
      <c r="E14" s="3">
        <v>93.5184</v>
      </c>
      <c r="F14" s="3">
        <v>93.5184</v>
      </c>
      <c r="G14" s="3">
        <v>93.5184</v>
      </c>
      <c r="H14" s="3">
        <v>0</v>
      </c>
      <c r="I14" s="3">
        <f t="shared" si="0"/>
        <v>0</v>
      </c>
      <c r="J14" s="3">
        <f t="shared" si="1"/>
        <v>0</v>
      </c>
    </row>
    <row r="15" x14ac:dyDescent="0.25">
      <c r="A15" s="1" t="s">
        <v>1836</v>
      </c>
      <c r="B15" s="3">
        <v>0.75</v>
      </c>
      <c r="C15" s="3">
        <v>0.90000000000000002</v>
      </c>
      <c r="D15" s="3">
        <v>0.59999999999999998</v>
      </c>
      <c r="E15" s="3">
        <v>93.5184</v>
      </c>
      <c r="F15" s="3">
        <v>93.5184</v>
      </c>
      <c r="G15" s="3">
        <v>93.5184</v>
      </c>
      <c r="H15" s="3">
        <v>0</v>
      </c>
      <c r="I15" s="3">
        <f t="shared" si="0"/>
        <v>0</v>
      </c>
      <c r="J15" s="3">
        <f t="shared" si="1"/>
        <v>0</v>
      </c>
    </row>
    <row r="16" x14ac:dyDescent="0.25">
      <c r="A16" s="1" t="s">
        <v>1837</v>
      </c>
      <c r="B16" s="3">
        <v>3.5499999999999998</v>
      </c>
      <c r="C16" s="3">
        <v>4.2599999999999998</v>
      </c>
      <c r="D16" s="3">
        <v>2.8399999999999999</v>
      </c>
      <c r="E16" s="3">
        <v>93.5184</v>
      </c>
      <c r="F16" s="3">
        <v>93.5184</v>
      </c>
      <c r="G16" s="3">
        <v>93.5184</v>
      </c>
      <c r="H16" s="3">
        <v>0</v>
      </c>
      <c r="I16" s="3">
        <f t="shared" si="0"/>
        <v>0</v>
      </c>
      <c r="J16" s="3">
        <f t="shared" si="1"/>
        <v>0</v>
      </c>
    </row>
    <row r="17" x14ac:dyDescent="0.25">
      <c r="A17" s="1" t="s">
        <v>1838</v>
      </c>
      <c r="B17" s="3">
        <v>3.6299999999999999</v>
      </c>
      <c r="C17" s="3">
        <v>4.3559999999999999</v>
      </c>
      <c r="D17" s="3">
        <v>2.9039999999999999</v>
      </c>
      <c r="E17" s="3">
        <v>93.5184</v>
      </c>
      <c r="F17" s="3">
        <v>93.5184</v>
      </c>
      <c r="G17" s="3">
        <v>93.5184</v>
      </c>
      <c r="H17" s="3">
        <v>0</v>
      </c>
      <c r="I17" s="3">
        <f t="shared" si="0"/>
        <v>0</v>
      </c>
      <c r="J17" s="3">
        <f t="shared" si="1"/>
        <v>0</v>
      </c>
    </row>
    <row r="18" x14ac:dyDescent="0.25">
      <c r="A18" s="1" t="s">
        <v>1839</v>
      </c>
      <c r="B18" s="3">
        <v>4.0499999999999998</v>
      </c>
      <c r="C18" s="3">
        <v>4.8600000000000003</v>
      </c>
      <c r="D18" s="3">
        <v>3.2400000000000002</v>
      </c>
      <c r="E18" s="3">
        <v>93.5184</v>
      </c>
      <c r="F18" s="3">
        <v>93.5184</v>
      </c>
      <c r="G18" s="3">
        <v>93.5184</v>
      </c>
      <c r="H18" s="3">
        <v>0</v>
      </c>
      <c r="I18" s="3">
        <f t="shared" si="0"/>
        <v>0</v>
      </c>
      <c r="J18" s="3">
        <f t="shared" si="1"/>
        <v>0</v>
      </c>
    </row>
    <row r="19" x14ac:dyDescent="0.25">
      <c r="A19" s="1" t="s">
        <v>1840</v>
      </c>
      <c r="B19" s="3">
        <v>2.46</v>
      </c>
      <c r="C19" s="3">
        <v>2.952</v>
      </c>
      <c r="D19" s="3">
        <v>1.968</v>
      </c>
      <c r="E19" s="3">
        <v>93.5184</v>
      </c>
      <c r="F19" s="3">
        <v>93.5184</v>
      </c>
      <c r="G19" s="3">
        <v>93.5184</v>
      </c>
      <c r="H19" s="3">
        <v>0</v>
      </c>
      <c r="I19" s="3">
        <f t="shared" si="0"/>
        <v>0</v>
      </c>
      <c r="J19" s="3">
        <f t="shared" si="1"/>
        <v>0</v>
      </c>
    </row>
    <row r="20" x14ac:dyDescent="0.25">
      <c r="A20" s="1" t="s">
        <v>1841</v>
      </c>
      <c r="B20" s="3">
        <v>5.1699999999999999</v>
      </c>
      <c r="C20" s="3">
        <v>6.2039999999999997</v>
      </c>
      <c r="D20" s="3">
        <v>4.1360000000000001</v>
      </c>
      <c r="E20" s="3">
        <v>93.5184</v>
      </c>
      <c r="F20" s="3">
        <v>93.5184</v>
      </c>
      <c r="G20" s="3">
        <v>93.5184</v>
      </c>
      <c r="H20" s="3">
        <v>0</v>
      </c>
      <c r="I20" s="3">
        <f t="shared" si="0"/>
        <v>0</v>
      </c>
      <c r="J20" s="3">
        <f t="shared" si="1"/>
        <v>0</v>
      </c>
    </row>
    <row r="21" x14ac:dyDescent="0.25">
      <c r="A21" s="1" t="s">
        <v>1842</v>
      </c>
      <c r="B21" s="3">
        <v>1.8</v>
      </c>
      <c r="C21" s="3">
        <v>2.1600000000000001</v>
      </c>
      <c r="D21" s="3">
        <v>1.4399999999999999</v>
      </c>
      <c r="E21" s="3">
        <v>93.5184</v>
      </c>
      <c r="F21" s="3">
        <v>93.519000000000005</v>
      </c>
      <c r="G21" s="3">
        <v>93.517799999999994</v>
      </c>
      <c r="H21" s="3">
        <v>0.00063801999999999999</v>
      </c>
      <c r="I21" s="3">
        <f t="shared" si="0"/>
        <v>0</v>
      </c>
      <c r="J21" s="3">
        <f t="shared" si="1"/>
        <v>0</v>
      </c>
    </row>
    <row r="22" x14ac:dyDescent="0.25">
      <c r="A22" s="1" t="s">
        <v>1843</v>
      </c>
      <c r="B22" s="3">
        <v>250</v>
      </c>
      <c r="C22" s="3">
        <v>300</v>
      </c>
      <c r="D22" s="3">
        <v>200</v>
      </c>
      <c r="E22" s="3">
        <v>93.5184</v>
      </c>
      <c r="F22" s="3">
        <v>93.519199999999998</v>
      </c>
      <c r="G22" s="3">
        <v>93.517600000000002</v>
      </c>
      <c r="H22" s="3">
        <v>0.00082735999999999997</v>
      </c>
      <c r="I22" s="3">
        <f t="shared" si="0"/>
        <v>3.9999999999906777E-4</v>
      </c>
      <c r="J22" s="3">
        <f t="shared" si="1"/>
        <v>-4.000000000061732E-4</v>
      </c>
    </row>
    <row r="23" x14ac:dyDescent="0.25">
      <c r="A23" s="1" t="s">
        <v>1844</v>
      </c>
      <c r="B23" s="3">
        <v>0.10000000000000001</v>
      </c>
      <c r="C23" s="3">
        <v>0.12</v>
      </c>
      <c r="D23" s="3">
        <v>0.080000000000000002</v>
      </c>
      <c r="E23" s="3">
        <v>93.5184</v>
      </c>
      <c r="F23" s="3">
        <v>93.5154</v>
      </c>
      <c r="G23" s="3">
        <v>93.518100000000004</v>
      </c>
      <c r="H23" s="3">
        <v>0.0029810000000000001</v>
      </c>
      <c r="I23" s="3">
        <f t="shared" si="0"/>
        <v>5.9999999999860165E-4</v>
      </c>
      <c r="J23" s="3">
        <f t="shared" si="1"/>
        <v>-5.0000000000238742E-4</v>
      </c>
    </row>
    <row r="24" x14ac:dyDescent="0.25">
      <c r="A24" s="1" t="s">
        <v>1845</v>
      </c>
      <c r="B24" s="3">
        <v>0.69999999999999996</v>
      </c>
      <c r="C24" s="3">
        <v>0.83999999999999997</v>
      </c>
      <c r="D24" s="3">
        <v>0.56000000000000005</v>
      </c>
      <c r="E24" s="3">
        <v>93.5184</v>
      </c>
      <c r="F24" s="3">
        <v>93.509399999999999</v>
      </c>
      <c r="G24" s="3">
        <v>93.531899999999993</v>
      </c>
      <c r="H24" s="3">
        <v>0.013514</v>
      </c>
      <c r="I24" s="3">
        <f t="shared" si="0"/>
        <v>2.8000000000005798E-3</v>
      </c>
      <c r="J24" s="3">
        <f t="shared" si="1"/>
        <v>-3.4000000000062869E-3</v>
      </c>
    </row>
    <row r="25" x14ac:dyDescent="0.25">
      <c r="A25" s="1" t="s">
        <v>1846</v>
      </c>
      <c r="B25" s="3">
        <v>5.2000000000000002</v>
      </c>
      <c r="C25" s="3">
        <v>6.2400000000000002</v>
      </c>
      <c r="D25" s="3">
        <v>4.1600000000000001</v>
      </c>
      <c r="E25" s="3">
        <v>93.5184</v>
      </c>
      <c r="F25" s="3">
        <v>93.540099999999995</v>
      </c>
      <c r="G25" s="3">
        <v>93.496700000000004</v>
      </c>
      <c r="H25" s="3">
        <v>0.021677999999999999</v>
      </c>
      <c r="I25" s="3">
        <f t="shared" si="0"/>
        <v>-2.3000000000052978E-3</v>
      </c>
      <c r="J25" s="3">
        <f t="shared" si="1"/>
        <v>3.4999999999953957E-3</v>
      </c>
    </row>
    <row r="26" x14ac:dyDescent="0.25">
      <c r="A26" s="1" t="s">
        <v>1847</v>
      </c>
      <c r="B26" s="3">
        <v>0.0022000000000000001</v>
      </c>
      <c r="C26" s="3">
        <v>0.00264</v>
      </c>
      <c r="D26" s="3">
        <v>0.0017600000000000001</v>
      </c>
      <c r="E26" s="3">
        <v>93.5184</v>
      </c>
      <c r="F26" s="3">
        <v>93.730800000000002</v>
      </c>
      <c r="G26" s="3">
        <v>93.306100000000001</v>
      </c>
      <c r="H26" s="3">
        <v>0.21235000000000001</v>
      </c>
      <c r="I26" s="3">
        <f t="shared" si="0"/>
        <v>2.1699999999995612E-2</v>
      </c>
      <c r="J26" s="3">
        <f t="shared" si="1"/>
        <v>-2.1700000000002717E-2</v>
      </c>
    </row>
    <row r="27" x14ac:dyDescent="0.25">
      <c r="A27" s="1" t="s">
        <v>1848</v>
      </c>
      <c r="B27" s="3">
        <v>100</v>
      </c>
      <c r="C27" s="3">
        <v>120</v>
      </c>
      <c r="D27" s="3">
        <v>80</v>
      </c>
      <c r="E27" s="3">
        <v>93.5184</v>
      </c>
      <c r="F27" s="3">
        <v>93.387600000000006</v>
      </c>
      <c r="G27" s="3">
        <v>93.239400000000003</v>
      </c>
      <c r="H27" s="3">
        <v>0.27898000000000001</v>
      </c>
      <c r="I27" s="3">
        <f t="shared" si="0"/>
        <v>9.4599999999999795E-2</v>
      </c>
      <c r="J27" s="3">
        <f t="shared" si="1"/>
        <v>4.4399999999995998E-2</v>
      </c>
    </row>
    <row r="28" x14ac:dyDescent="0.25">
      <c r="A28" s="1" t="s">
        <v>1849</v>
      </c>
      <c r="B28" s="3">
        <v>5</v>
      </c>
      <c r="C28" s="3">
        <v>6</v>
      </c>
      <c r="D28" s="3">
        <v>4</v>
      </c>
      <c r="E28" s="3">
        <v>93.5184</v>
      </c>
      <c r="F28" s="3">
        <v>93.627099999999999</v>
      </c>
      <c r="G28" s="3">
        <v>93.179500000000004</v>
      </c>
      <c r="H28" s="3">
        <v>0.33887</v>
      </c>
      <c r="I28" s="3">
        <f t="shared" si="0"/>
        <v>0.14949999999999619</v>
      </c>
      <c r="J28" s="3">
        <f t="shared" si="1"/>
        <v>-0.14939999999999998</v>
      </c>
    </row>
    <row r="29" x14ac:dyDescent="0.25">
      <c r="A29" s="1" t="s">
        <v>1850</v>
      </c>
      <c r="B29" s="3">
        <v>1.7</v>
      </c>
      <c r="C29" s="3">
        <v>2.04</v>
      </c>
      <c r="D29" s="3">
        <v>1.3600000000000001</v>
      </c>
      <c r="E29" s="3">
        <v>93.5184</v>
      </c>
      <c r="F29" s="3">
        <v>94.147000000000006</v>
      </c>
      <c r="G29" s="3">
        <v>92.889799999999994</v>
      </c>
      <c r="H29" s="3">
        <v>0.62858000000000003</v>
      </c>
      <c r="I29" s="3">
        <f t="shared" si="0"/>
        <v>7.1199999999997488E-2</v>
      </c>
      <c r="J29" s="3">
        <f t="shared" si="1"/>
        <v>0.17960000000000065</v>
      </c>
    </row>
    <row r="30" x14ac:dyDescent="0.25">
      <c r="A30" s="1" t="s">
        <v>1851</v>
      </c>
      <c r="B30" s="3">
        <v>600</v>
      </c>
      <c r="C30" s="3">
        <v>720</v>
      </c>
      <c r="D30" s="3">
        <v>480</v>
      </c>
      <c r="E30" s="3">
        <v>93.5184</v>
      </c>
      <c r="F30" s="3">
        <v>93.408100000000005</v>
      </c>
      <c r="G30" s="3">
        <v>94.172200000000004</v>
      </c>
      <c r="H30" s="3">
        <v>0.65381999999999996</v>
      </c>
      <c r="I30" s="3">
        <f t="shared" si="0"/>
        <v>0.11769999999999925</v>
      </c>
      <c r="J30" s="3">
        <f t="shared" si="1"/>
        <v>0.30679999999999552</v>
      </c>
    </row>
    <row r="31" x14ac:dyDescent="0.25">
      <c r="A31" s="1" t="s">
        <v>1852</v>
      </c>
      <c r="B31" s="3">
        <v>0.017999999999999999</v>
      </c>
      <c r="C31" s="3">
        <v>0.021600000000000001</v>
      </c>
      <c r="D31" s="3">
        <v>0.0144</v>
      </c>
      <c r="E31" s="3">
        <v>93.5184</v>
      </c>
      <c r="F31" s="3">
        <v>94.496899999999997</v>
      </c>
      <c r="G31" s="3">
        <v>92.539900000000003</v>
      </c>
      <c r="H31" s="3">
        <v>0.97846999999999995</v>
      </c>
      <c r="I31" s="3">
        <f t="shared" si="0"/>
        <v>0.62859999999999872</v>
      </c>
      <c r="J31" s="3">
        <f t="shared" si="1"/>
        <v>-0.62860000000000582</v>
      </c>
    </row>
    <row r="32" x14ac:dyDescent="0.25">
      <c r="A32" s="1" t="s">
        <v>1853</v>
      </c>
      <c r="B32" s="3">
        <v>0.54000000000000004</v>
      </c>
      <c r="C32" s="3">
        <v>0.64800000000000002</v>
      </c>
      <c r="D32" s="3">
        <v>0.432</v>
      </c>
      <c r="E32" s="3">
        <v>93.5184</v>
      </c>
      <c r="F32" s="3">
        <v>94.854100000000003</v>
      </c>
      <c r="G32" s="3">
        <v>92.1828</v>
      </c>
      <c r="H32" s="3">
        <v>1.3357000000000001</v>
      </c>
      <c r="I32" s="3">
        <f t="shared" si="0"/>
        <v>-0.13589999999999947</v>
      </c>
      <c r="J32" s="3">
        <f t="shared" si="1"/>
        <v>0.67980000000000018</v>
      </c>
    </row>
    <row r="33" x14ac:dyDescent="0.25">
      <c r="A33" s="1" t="s">
        <v>1854</v>
      </c>
      <c r="B33" s="3">
        <v>0.65000000000000002</v>
      </c>
      <c r="C33" s="3">
        <v>0.78000000000000003</v>
      </c>
      <c r="D33" s="3">
        <v>0.52000000000000002</v>
      </c>
      <c r="E33" s="3">
        <v>93.5184</v>
      </c>
      <c r="F33" s="3">
        <v>92.415199999999999</v>
      </c>
      <c r="G33" s="3">
        <v>95.173199999999994</v>
      </c>
      <c r="H33" s="3">
        <v>1.6548</v>
      </c>
      <c r="I33" s="3">
        <f t="shared" si="0"/>
        <v>0.81530000000000058</v>
      </c>
      <c r="J33" s="3">
        <f t="shared" si="1"/>
        <v>-0.81520000000000437</v>
      </c>
    </row>
    <row r="34" x14ac:dyDescent="0.25">
      <c r="A34" s="1" t="s">
        <v>1855</v>
      </c>
      <c r="B34" s="3">
        <v>7920</v>
      </c>
      <c r="C34" s="3">
        <v>8760</v>
      </c>
      <c r="D34" s="3">
        <v>6336</v>
      </c>
      <c r="E34" s="3">
        <v>93.5184</v>
      </c>
      <c r="F34" s="3">
        <v>87.734700000000004</v>
      </c>
      <c r="G34" s="3">
        <v>108.59739999999999</v>
      </c>
      <c r="H34" s="3">
        <v>15.079000000000001</v>
      </c>
      <c r="I34" s="3">
        <f t="shared" si="0"/>
        <v>1.3356999999999957</v>
      </c>
      <c r="J34" s="3">
        <f t="shared" si="1"/>
        <v>-1.3355999999999995</v>
      </c>
    </row>
    <row r="35" x14ac:dyDescent="0.25">
      <c r="A35" s="1" t="s">
        <v>1856</v>
      </c>
      <c r="B35" s="3">
        <v>0.90000000000000002</v>
      </c>
      <c r="C35" s="3">
        <v>1</v>
      </c>
      <c r="D35" s="3">
        <v>0.71999999999999997</v>
      </c>
      <c r="E35" s="3">
        <v>93.5184</v>
      </c>
      <c r="F35" s="3">
        <v>87.005799999999994</v>
      </c>
      <c r="G35" s="3">
        <v>109.8</v>
      </c>
      <c r="H35" s="3">
        <v>16.281600000000001</v>
      </c>
      <c r="I35" s="3">
        <f t="shared" si="0"/>
        <v>0</v>
      </c>
      <c r="J35" s="3">
        <f t="shared" si="1"/>
        <v>6.4767999999999972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1088-8B56-4370-8F7D-6D15D1C4380D}">
  <sheetPr codeName="Sheet5"/>
  <dimension ref="A1:J35"/>
  <sheetViews>
    <sheetView workbookViewId="0">
      <selection activeCell="W26" sqref="W26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16</v>
      </c>
      <c r="F1" s="2" t="s">
        <v>17</v>
      </c>
      <c r="G1" s="2" t="s">
        <v>18</v>
      </c>
      <c r="H1" s="2" t="s">
        <v>10</v>
      </c>
      <c r="I1" s="2" t="s">
        <v>19</v>
      </c>
      <c r="J1" s="2" t="s">
        <v>20</v>
      </c>
    </row>
    <row r="2" x14ac:dyDescent="0.25">
      <c r="A2" s="1" t="s">
        <v>1857</v>
      </c>
      <c r="B2" s="3">
        <v>4000</v>
      </c>
      <c r="C2" s="3">
        <v>4800</v>
      </c>
      <c r="D2" s="3">
        <v>3200</v>
      </c>
      <c r="E2" s="3">
        <v>27.418900000000001</v>
      </c>
      <c r="F2" s="3">
        <v>27.418900000000001</v>
      </c>
      <c r="G2" s="3">
        <v>27.418900000000001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1858</v>
      </c>
      <c r="B3" s="3">
        <v>330</v>
      </c>
      <c r="C3" s="3">
        <v>365</v>
      </c>
      <c r="D3" s="3">
        <v>264</v>
      </c>
      <c r="E3" s="3">
        <v>27.418900000000001</v>
      </c>
      <c r="F3" s="3">
        <v>27.418900000000001</v>
      </c>
      <c r="G3" s="3">
        <v>27.418900000000001</v>
      </c>
      <c r="H3" s="3">
        <v>0</v>
      </c>
      <c r="I3" s="3">
        <f t="shared" ref="I3:I35" si="0">F3-E3</f>
        <v>0</v>
      </c>
      <c r="J3" s="3">
        <f t="shared" ref="J3:J35" si="1">G3-E3</f>
        <v>0</v>
      </c>
    </row>
    <row r="4" x14ac:dyDescent="0.25">
      <c r="A4" s="1" t="s">
        <v>1859</v>
      </c>
      <c r="B4" s="3">
        <v>1.7</v>
      </c>
      <c r="C4" s="3">
        <v>2.04</v>
      </c>
      <c r="D4" s="3">
        <v>1.3600000000000001</v>
      </c>
      <c r="E4" s="3">
        <v>27.418900000000001</v>
      </c>
      <c r="F4" s="3">
        <v>27.418900000000001</v>
      </c>
      <c r="G4" s="3">
        <v>27.418900000000001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1860</v>
      </c>
      <c r="B5" s="3">
        <v>0.10000000000000001</v>
      </c>
      <c r="C5" s="3">
        <v>0.12</v>
      </c>
      <c r="D5" s="3">
        <v>0.080000000000000002</v>
      </c>
      <c r="E5" s="3">
        <v>27.418900000000001</v>
      </c>
      <c r="F5" s="3">
        <v>27.418900000000001</v>
      </c>
      <c r="G5" s="3">
        <v>27.418900000000001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1861</v>
      </c>
      <c r="B6" s="3">
        <v>0.070000000000000007</v>
      </c>
      <c r="C6" s="3">
        <v>0.084000000000000005</v>
      </c>
      <c r="D6" s="3">
        <v>0.056000000000000001</v>
      </c>
      <c r="E6" s="3">
        <v>27.418900000000001</v>
      </c>
      <c r="F6" s="3">
        <v>27.418900000000001</v>
      </c>
      <c r="G6" s="3">
        <v>27.418900000000001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1862</v>
      </c>
      <c r="B7" s="3">
        <v>0.80000000000000004</v>
      </c>
      <c r="C7" s="3">
        <v>0.95999999999999996</v>
      </c>
      <c r="D7" s="3">
        <v>0.64000000000000001</v>
      </c>
      <c r="E7" s="3">
        <v>27.418900000000001</v>
      </c>
      <c r="F7" s="3">
        <v>27.418900000000001</v>
      </c>
      <c r="G7" s="3">
        <v>27.418900000000001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1863</v>
      </c>
      <c r="B8" s="3">
        <v>0.66000000000000003</v>
      </c>
      <c r="C8" s="3">
        <v>0.79200000000000004</v>
      </c>
      <c r="D8" s="3">
        <v>0.52800000000000002</v>
      </c>
      <c r="E8" s="3">
        <v>27.418900000000001</v>
      </c>
      <c r="F8" s="3">
        <v>27.418900000000001</v>
      </c>
      <c r="G8" s="3">
        <v>27.418900000000001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1864</v>
      </c>
      <c r="B9" s="3">
        <v>230</v>
      </c>
      <c r="C9" s="3">
        <v>276</v>
      </c>
      <c r="D9" s="3">
        <v>184</v>
      </c>
      <c r="E9" s="3">
        <v>27.418900000000001</v>
      </c>
      <c r="F9" s="3">
        <v>27.418900000000001</v>
      </c>
      <c r="G9" s="3">
        <v>27.418900000000001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1865</v>
      </c>
      <c r="B10" s="3">
        <v>0.21540000000000001</v>
      </c>
      <c r="C10" s="3">
        <v>0.25847999999999999</v>
      </c>
      <c r="D10" s="3">
        <v>0.17232</v>
      </c>
      <c r="E10" s="3">
        <v>27.418900000000001</v>
      </c>
      <c r="F10" s="3">
        <v>27.418900000000001</v>
      </c>
      <c r="G10" s="3">
        <v>27.418900000000001</v>
      </c>
      <c r="H10" s="3">
        <v>0</v>
      </c>
      <c r="I10" s="3">
        <f t="shared" si="0"/>
        <v>0</v>
      </c>
      <c r="J10" s="3">
        <f t="shared" si="1"/>
        <v>0</v>
      </c>
    </row>
    <row r="11" x14ac:dyDescent="0.25">
      <c r="A11" s="1" t="s">
        <v>1866</v>
      </c>
      <c r="B11" s="3">
        <v>0</v>
      </c>
      <c r="C11" s="3">
        <v>0</v>
      </c>
      <c r="D11" s="3">
        <v>0</v>
      </c>
      <c r="E11" s="3">
        <v>27.418900000000001</v>
      </c>
      <c r="F11" s="3">
        <v>27.418900000000001</v>
      </c>
      <c r="G11" s="3">
        <v>27.418900000000001</v>
      </c>
      <c r="H11" s="3">
        <v>0</v>
      </c>
      <c r="I11" s="3">
        <f t="shared" si="0"/>
        <v>0</v>
      </c>
      <c r="J11" s="3">
        <f t="shared" si="1"/>
        <v>0</v>
      </c>
    </row>
    <row r="12" x14ac:dyDescent="0.25">
      <c r="A12" s="1" t="s">
        <v>1867</v>
      </c>
      <c r="B12" s="3">
        <v>1.47</v>
      </c>
      <c r="C12" s="3">
        <v>1.764</v>
      </c>
      <c r="D12" s="3">
        <v>1.1759999999999999</v>
      </c>
      <c r="E12" s="3">
        <v>27.418900000000001</v>
      </c>
      <c r="F12" s="3">
        <v>27.418900000000001</v>
      </c>
      <c r="G12" s="3">
        <v>27.418900000000001</v>
      </c>
      <c r="H12" s="3">
        <v>0</v>
      </c>
      <c r="I12" s="3">
        <f t="shared" si="0"/>
        <v>0</v>
      </c>
      <c r="J12" s="3">
        <f t="shared" si="1"/>
        <v>0</v>
      </c>
    </row>
    <row r="13" x14ac:dyDescent="0.25">
      <c r="A13" s="1" t="s">
        <v>1868</v>
      </c>
      <c r="B13" s="3">
        <v>0.000204</v>
      </c>
      <c r="C13" s="3">
        <v>0.00024479999999999999</v>
      </c>
      <c r="D13" s="3">
        <v>0.00016320000000000001</v>
      </c>
      <c r="E13" s="3">
        <v>27.418900000000001</v>
      </c>
      <c r="F13" s="3">
        <v>27.418900000000001</v>
      </c>
      <c r="G13" s="3">
        <v>27.418900000000001</v>
      </c>
      <c r="H13" s="3">
        <v>0</v>
      </c>
      <c r="I13" s="3">
        <f t="shared" si="0"/>
        <v>0</v>
      </c>
      <c r="J13" s="3">
        <f t="shared" si="1"/>
        <v>0</v>
      </c>
    </row>
    <row r="14" x14ac:dyDescent="0.25">
      <c r="A14" s="1" t="s">
        <v>1869</v>
      </c>
      <c r="B14" s="3">
        <v>0.73519999999999996</v>
      </c>
      <c r="C14" s="3">
        <v>0.88224000000000002</v>
      </c>
      <c r="D14" s="3">
        <v>0.58816000000000002</v>
      </c>
      <c r="E14" s="3">
        <v>27.418900000000001</v>
      </c>
      <c r="F14" s="3">
        <v>27.418900000000001</v>
      </c>
      <c r="G14" s="3">
        <v>27.418900000000001</v>
      </c>
      <c r="H14" s="3">
        <v>0</v>
      </c>
      <c r="I14" s="3">
        <f t="shared" si="0"/>
        <v>0</v>
      </c>
      <c r="J14" s="3">
        <f t="shared" si="1"/>
        <v>0</v>
      </c>
    </row>
    <row r="15" x14ac:dyDescent="0.25">
      <c r="A15" s="1" t="s">
        <v>1870</v>
      </c>
      <c r="B15" s="3">
        <v>45</v>
      </c>
      <c r="C15" s="3">
        <v>54</v>
      </c>
      <c r="D15" s="3">
        <v>36</v>
      </c>
      <c r="E15" s="3">
        <v>27.418900000000001</v>
      </c>
      <c r="F15" s="3">
        <v>27.418900000000001</v>
      </c>
      <c r="G15" s="3">
        <v>27.418900000000001</v>
      </c>
      <c r="H15" s="3">
        <v>0</v>
      </c>
      <c r="I15" s="3">
        <f t="shared" si="0"/>
        <v>0</v>
      </c>
      <c r="J15" s="3">
        <f t="shared" si="1"/>
        <v>0</v>
      </c>
    </row>
    <row r="16" x14ac:dyDescent="0.25">
      <c r="A16" s="1" t="s">
        <v>1871</v>
      </c>
      <c r="B16" s="3">
        <v>0.75</v>
      </c>
      <c r="C16" s="3">
        <v>0.90000000000000002</v>
      </c>
      <c r="D16" s="3">
        <v>0.59999999999999998</v>
      </c>
      <c r="E16" s="3">
        <v>27.418900000000001</v>
      </c>
      <c r="F16" s="3">
        <v>27.418900000000001</v>
      </c>
      <c r="G16" s="3">
        <v>27.418900000000001</v>
      </c>
      <c r="H16" s="3">
        <v>0</v>
      </c>
      <c r="I16" s="3">
        <f t="shared" si="0"/>
        <v>0</v>
      </c>
      <c r="J16" s="3">
        <f t="shared" si="1"/>
        <v>0</v>
      </c>
    </row>
    <row r="17" x14ac:dyDescent="0.25">
      <c r="A17" s="1" t="s">
        <v>1872</v>
      </c>
      <c r="B17" s="3">
        <v>3.5499999999999998</v>
      </c>
      <c r="C17" s="3">
        <v>4.2599999999999998</v>
      </c>
      <c r="D17" s="3">
        <v>2.8399999999999999</v>
      </c>
      <c r="E17" s="3">
        <v>27.418900000000001</v>
      </c>
      <c r="F17" s="3">
        <v>27.418900000000001</v>
      </c>
      <c r="G17" s="3">
        <v>27.418900000000001</v>
      </c>
      <c r="H17" s="3">
        <v>0</v>
      </c>
      <c r="I17" s="3">
        <f t="shared" si="0"/>
        <v>0</v>
      </c>
      <c r="J17" s="3">
        <f t="shared" si="1"/>
        <v>0</v>
      </c>
    </row>
    <row r="18" x14ac:dyDescent="0.25">
      <c r="A18" s="1" t="s">
        <v>1873</v>
      </c>
      <c r="B18" s="3">
        <v>3.6299999999999999</v>
      </c>
      <c r="C18" s="3">
        <v>4.3559999999999999</v>
      </c>
      <c r="D18" s="3">
        <v>2.9039999999999999</v>
      </c>
      <c r="E18" s="3">
        <v>27.418900000000001</v>
      </c>
      <c r="F18" s="3">
        <v>27.418900000000001</v>
      </c>
      <c r="G18" s="3">
        <v>27.418900000000001</v>
      </c>
      <c r="H18" s="3">
        <v>0</v>
      </c>
      <c r="I18" s="3">
        <f t="shared" si="0"/>
        <v>0</v>
      </c>
      <c r="J18" s="3">
        <f t="shared" si="1"/>
        <v>0</v>
      </c>
    </row>
    <row r="19" x14ac:dyDescent="0.25">
      <c r="A19" s="1" t="s">
        <v>1874</v>
      </c>
      <c r="B19" s="3">
        <v>4.0499999999999998</v>
      </c>
      <c r="C19" s="3">
        <v>4.8600000000000003</v>
      </c>
      <c r="D19" s="3">
        <v>3.2400000000000002</v>
      </c>
      <c r="E19" s="3">
        <v>27.418900000000001</v>
      </c>
      <c r="F19" s="3">
        <v>27.418900000000001</v>
      </c>
      <c r="G19" s="3">
        <v>27.418900000000001</v>
      </c>
      <c r="H19" s="3">
        <v>0</v>
      </c>
      <c r="I19" s="3">
        <f t="shared" si="0"/>
        <v>0</v>
      </c>
      <c r="J19" s="3">
        <f t="shared" si="1"/>
        <v>0</v>
      </c>
    </row>
    <row r="20" x14ac:dyDescent="0.25">
      <c r="A20" s="1" t="s">
        <v>1875</v>
      </c>
      <c r="B20" s="3">
        <v>2.46</v>
      </c>
      <c r="C20" s="3">
        <v>2.952</v>
      </c>
      <c r="D20" s="3">
        <v>1.968</v>
      </c>
      <c r="E20" s="3">
        <v>27.418900000000001</v>
      </c>
      <c r="F20" s="3">
        <v>27.418900000000001</v>
      </c>
      <c r="G20" s="3">
        <v>27.418900000000001</v>
      </c>
      <c r="H20" s="3">
        <v>0</v>
      </c>
      <c r="I20" s="3">
        <f t="shared" si="0"/>
        <v>0</v>
      </c>
      <c r="J20" s="3">
        <f t="shared" si="1"/>
        <v>0</v>
      </c>
    </row>
    <row r="21" x14ac:dyDescent="0.25">
      <c r="A21" s="1" t="s">
        <v>1876</v>
      </c>
      <c r="B21" s="3">
        <v>5.1699999999999999</v>
      </c>
      <c r="C21" s="3">
        <v>6.2039999999999997</v>
      </c>
      <c r="D21" s="3">
        <v>4.1360000000000001</v>
      </c>
      <c r="E21" s="3">
        <v>27.418900000000001</v>
      </c>
      <c r="F21" s="3">
        <v>27.418900000000001</v>
      </c>
      <c r="G21" s="3">
        <v>27.418900000000001</v>
      </c>
      <c r="H21" s="3">
        <v>0</v>
      </c>
      <c r="I21" s="3">
        <f t="shared" si="0"/>
        <v>0</v>
      </c>
      <c r="J21" s="3">
        <f t="shared" si="1"/>
        <v>0</v>
      </c>
    </row>
    <row r="22" x14ac:dyDescent="0.25">
      <c r="A22" s="1" t="s">
        <v>1877</v>
      </c>
      <c r="B22" s="3">
        <v>250</v>
      </c>
      <c r="C22" s="3">
        <v>300</v>
      </c>
      <c r="D22" s="3">
        <v>200</v>
      </c>
      <c r="E22" s="3">
        <v>27.418900000000001</v>
      </c>
      <c r="F22" s="3">
        <v>27.418900000000001</v>
      </c>
      <c r="G22" s="3">
        <v>27.418900000000001</v>
      </c>
      <c r="H22" s="3">
        <v>5.1977000000000002e-06</v>
      </c>
      <c r="I22" s="3">
        <f t="shared" si="0"/>
        <v>0</v>
      </c>
      <c r="J22" s="3">
        <f t="shared" si="1"/>
        <v>0</v>
      </c>
    </row>
    <row r="23" x14ac:dyDescent="0.25">
      <c r="A23" s="1" t="s">
        <v>1878</v>
      </c>
      <c r="B23" s="3">
        <v>1.8</v>
      </c>
      <c r="C23" s="3">
        <v>2.1600000000000001</v>
      </c>
      <c r="D23" s="3">
        <v>1.4399999999999999</v>
      </c>
      <c r="E23" s="3">
        <v>27.418900000000001</v>
      </c>
      <c r="F23" s="3">
        <v>27.418900000000001</v>
      </c>
      <c r="G23" s="3">
        <v>27.418900000000001</v>
      </c>
      <c r="H23" s="3">
        <v>6.8774999999999998e-06</v>
      </c>
      <c r="I23" s="3">
        <f t="shared" si="0"/>
        <v>0</v>
      </c>
      <c r="J23" s="3">
        <f t="shared" si="1"/>
        <v>-9.9999999999766942E-5</v>
      </c>
    </row>
    <row r="24" x14ac:dyDescent="0.25">
      <c r="A24" s="1" t="s">
        <v>1879</v>
      </c>
      <c r="B24" s="3">
        <v>0.69999999999999996</v>
      </c>
      <c r="C24" s="3">
        <v>0.83999999999999997</v>
      </c>
      <c r="D24" s="3">
        <v>0.56000000000000005</v>
      </c>
      <c r="E24" s="3">
        <v>27.418900000000001</v>
      </c>
      <c r="F24" s="3">
        <v>27.418800000000001</v>
      </c>
      <c r="G24" s="3">
        <v>27.419</v>
      </c>
      <c r="H24" s="3">
        <v>8.4895999999999995e-05</v>
      </c>
      <c r="I24" s="3">
        <f t="shared" si="0"/>
        <v>0</v>
      </c>
      <c r="J24" s="3">
        <f t="shared" si="1"/>
        <v>-9.9999999999766942E-5</v>
      </c>
    </row>
    <row r="25" x14ac:dyDescent="0.25">
      <c r="A25" s="1" t="s">
        <v>1880</v>
      </c>
      <c r="B25" s="3">
        <v>5.2000000000000002</v>
      </c>
      <c r="C25" s="3">
        <v>6.2400000000000002</v>
      </c>
      <c r="D25" s="3">
        <v>4.1600000000000001</v>
      </c>
      <c r="E25" s="3">
        <v>27.418900000000001</v>
      </c>
      <c r="F25" s="3">
        <v>27.4191</v>
      </c>
      <c r="G25" s="3">
        <v>27.418600000000001</v>
      </c>
      <c r="H25" s="3">
        <v>0.00023367</v>
      </c>
      <c r="I25" s="3">
        <f t="shared" si="0"/>
        <v>-9.9999999999766942E-5</v>
      </c>
      <c r="J25" s="3">
        <f t="shared" si="1"/>
        <v>0</v>
      </c>
    </row>
    <row r="26" x14ac:dyDescent="0.25">
      <c r="A26" s="1" t="s">
        <v>1881</v>
      </c>
      <c r="B26" s="3">
        <v>0.017999999999999999</v>
      </c>
      <c r="C26" s="3">
        <v>0.021600000000000001</v>
      </c>
      <c r="D26" s="3">
        <v>0.0144</v>
      </c>
      <c r="E26" s="3">
        <v>27.418900000000001</v>
      </c>
      <c r="F26" s="3">
        <v>27.419499999999999</v>
      </c>
      <c r="G26" s="3">
        <v>27.418199999999999</v>
      </c>
      <c r="H26" s="3">
        <v>0.00063212000000000001</v>
      </c>
      <c r="I26" s="3">
        <f t="shared" si="0"/>
        <v>1.9999999999953388E-4</v>
      </c>
      <c r="J26" s="3">
        <f t="shared" si="1"/>
        <v>-2.9999999999930083E-4</v>
      </c>
    </row>
    <row r="27" x14ac:dyDescent="0.25">
      <c r="A27" s="1" t="s">
        <v>1882</v>
      </c>
      <c r="B27" s="3">
        <v>0.54000000000000004</v>
      </c>
      <c r="C27" s="3">
        <v>0.64800000000000002</v>
      </c>
      <c r="D27" s="3">
        <v>0.432</v>
      </c>
      <c r="E27" s="3">
        <v>27.418900000000001</v>
      </c>
      <c r="F27" s="3">
        <v>27.427299999999999</v>
      </c>
      <c r="G27" s="3">
        <v>27.410499999999999</v>
      </c>
      <c r="H27" s="3">
        <v>0.0083908999999999997</v>
      </c>
      <c r="I27" s="3">
        <f t="shared" si="0"/>
        <v>0</v>
      </c>
      <c r="J27" s="3">
        <f t="shared" si="1"/>
        <v>-3.9999999999906777E-4</v>
      </c>
    </row>
    <row r="28" x14ac:dyDescent="0.25">
      <c r="A28" s="1" t="s">
        <v>1883</v>
      </c>
      <c r="B28" s="3">
        <v>0.0022000000000000001</v>
      </c>
      <c r="C28" s="3">
        <v>0.00264</v>
      </c>
      <c r="D28" s="3">
        <v>0.0017600000000000001</v>
      </c>
      <c r="E28" s="3">
        <v>27.418900000000001</v>
      </c>
      <c r="F28" s="3">
        <v>27.427499999999998</v>
      </c>
      <c r="G28" s="3">
        <v>27.410299999999999</v>
      </c>
      <c r="H28" s="3">
        <v>0.0085853000000000006</v>
      </c>
      <c r="I28" s="3">
        <f t="shared" si="0"/>
        <v>5.0000000000061107E-4</v>
      </c>
      <c r="J28" s="3">
        <f t="shared" si="1"/>
        <v>-6.0000000000037801E-4</v>
      </c>
    </row>
    <row r="29" x14ac:dyDescent="0.25">
      <c r="A29" s="1" t="s">
        <v>1884</v>
      </c>
      <c r="B29" s="3">
        <v>0.65000000000000002</v>
      </c>
      <c r="C29" s="3">
        <v>0.78000000000000003</v>
      </c>
      <c r="D29" s="3">
        <v>0.52000000000000002</v>
      </c>
      <c r="E29" s="3">
        <v>27.418900000000001</v>
      </c>
      <c r="F29" s="3">
        <v>27.411899999999999</v>
      </c>
      <c r="G29" s="3">
        <v>27.429300000000001</v>
      </c>
      <c r="H29" s="3">
        <v>0.010396000000000001</v>
      </c>
      <c r="I29" s="3">
        <f t="shared" si="0"/>
        <v>-8.9999999999967883E-4</v>
      </c>
      <c r="J29" s="3">
        <f t="shared" si="1"/>
        <v>4.2000000000008697E-3</v>
      </c>
    </row>
    <row r="30" x14ac:dyDescent="0.25">
      <c r="A30" s="1" t="s">
        <v>1885</v>
      </c>
      <c r="B30" s="3">
        <v>0.10000000000000001</v>
      </c>
      <c r="C30" s="3">
        <v>0.12</v>
      </c>
      <c r="D30" s="3">
        <v>0.080000000000000002</v>
      </c>
      <c r="E30" s="3">
        <v>27.418900000000001</v>
      </c>
      <c r="F30" s="3">
        <v>27.428899999999999</v>
      </c>
      <c r="G30" s="3">
        <v>27.407499999999999</v>
      </c>
      <c r="H30" s="3">
        <v>0.011351</v>
      </c>
      <c r="I30" s="3">
        <f t="shared" si="0"/>
        <v>6.5000000000008384E-3</v>
      </c>
      <c r="J30" s="3">
        <f t="shared" si="1"/>
        <v>-6.6000000000006054E-3</v>
      </c>
    </row>
    <row r="31" x14ac:dyDescent="0.25">
      <c r="A31" s="1" t="s">
        <v>1886</v>
      </c>
      <c r="B31" s="3">
        <v>100</v>
      </c>
      <c r="C31" s="3">
        <v>120</v>
      </c>
      <c r="D31" s="3">
        <v>80</v>
      </c>
      <c r="E31" s="3">
        <v>27.418900000000001</v>
      </c>
      <c r="F31" s="3">
        <v>27.296700000000001</v>
      </c>
      <c r="G31" s="3">
        <v>27.055900000000001</v>
      </c>
      <c r="H31" s="3">
        <v>0.36296</v>
      </c>
      <c r="I31" s="3">
        <f t="shared" si="0"/>
        <v>8.3000000000001961E-3</v>
      </c>
      <c r="J31" s="3">
        <f t="shared" si="1"/>
        <v>-8.3999999999999631E-3</v>
      </c>
    </row>
    <row r="32" x14ac:dyDescent="0.25">
      <c r="A32" s="1" t="s">
        <v>1887</v>
      </c>
      <c r="B32" s="3">
        <v>600</v>
      </c>
      <c r="C32" s="3">
        <v>720</v>
      </c>
      <c r="D32" s="3">
        <v>480</v>
      </c>
      <c r="E32" s="3">
        <v>27.418900000000001</v>
      </c>
      <c r="F32" s="3">
        <v>27.513200000000001</v>
      </c>
      <c r="G32" s="3">
        <v>27.052800000000001</v>
      </c>
      <c r="H32" s="3">
        <v>0.36610999999999999</v>
      </c>
      <c r="I32" s="3">
        <f t="shared" si="0"/>
        <v>2.7300000000000324E-2</v>
      </c>
      <c r="J32" s="3">
        <f t="shared" si="1"/>
        <v>-1.8900000000000361E-2</v>
      </c>
    </row>
    <row r="33" x14ac:dyDescent="0.25">
      <c r="A33" s="1" t="s">
        <v>1888</v>
      </c>
      <c r="B33" s="3">
        <v>5</v>
      </c>
      <c r="C33" s="3">
        <v>6</v>
      </c>
      <c r="D33" s="3">
        <v>4</v>
      </c>
      <c r="E33" s="3">
        <v>27.418900000000001</v>
      </c>
      <c r="F33" s="3">
        <v>27.372199999999999</v>
      </c>
      <c r="G33" s="3">
        <v>26.8065</v>
      </c>
      <c r="H33" s="3">
        <v>0.61238999999999999</v>
      </c>
      <c r="I33" s="3">
        <f t="shared" si="0"/>
        <v>6.9300000000000139E-2</v>
      </c>
      <c r="J33" s="3">
        <f t="shared" si="1"/>
        <v>-3.4800000000000608E-2</v>
      </c>
    </row>
    <row r="34" x14ac:dyDescent="0.25">
      <c r="A34" s="1" t="s">
        <v>1889</v>
      </c>
      <c r="B34" s="3">
        <v>0.90000000000000002</v>
      </c>
      <c r="C34" s="3">
        <v>1</v>
      </c>
      <c r="D34" s="3">
        <v>0.71999999999999997</v>
      </c>
      <c r="E34" s="3">
        <v>27.418900000000001</v>
      </c>
      <c r="F34" s="3">
        <v>24.709199999999999</v>
      </c>
      <c r="G34" s="3">
        <v>34.192900000000002</v>
      </c>
      <c r="H34" s="3">
        <v>6.7740999999999998</v>
      </c>
      <c r="I34" s="3">
        <f t="shared" si="0"/>
        <v>0.13640000000000008</v>
      </c>
      <c r="J34" s="3">
        <f t="shared" si="1"/>
        <v>-0.13449999999999918</v>
      </c>
    </row>
    <row r="35" x14ac:dyDescent="0.25">
      <c r="A35" s="1" t="s">
        <v>1890</v>
      </c>
      <c r="B35" s="3">
        <v>7920</v>
      </c>
      <c r="C35" s="3">
        <v>8760</v>
      </c>
      <c r="D35" s="3">
        <v>6336</v>
      </c>
      <c r="E35" s="3">
        <v>27.418900000000001</v>
      </c>
      <c r="F35" s="3">
        <v>24.811399999999999</v>
      </c>
      <c r="G35" s="3">
        <v>34.216999999999999</v>
      </c>
      <c r="H35" s="3">
        <v>6.7980999999999998</v>
      </c>
      <c r="I35" s="3">
        <f t="shared" si="0"/>
        <v>0</v>
      </c>
      <c r="J35" s="3">
        <f t="shared" si="1"/>
        <v>3.7131000000000007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SAF_MBSP</vt:lpstr>
      <vt:lpstr>SAF_MLSP</vt:lpstr>
      <vt:lpstr>SAF_MFSP</vt:lpstr>
      <vt:lpstr>SAF_GWP</vt:lpstr>
      <vt:lpstr>SAF_BWF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Jonah Greene</dc:creator>
  <cp:lastModifiedBy>Jonah Greene</cp:lastModifiedBy>
  <dcterms:created xsi:type="dcterms:W3CDTF">2024-05-07T16:59:34Z</dcterms:created>
  <dcterms:modified xsi:type="dcterms:W3CDTF">2024-05-08T18:49:11Z</dcterms:modified>
</cp:coreProperties>
</file>